
<file path=[Content_Types].xml><?xml version="1.0" encoding="utf-8"?>
<Types xmlns="http://schemas.openxmlformats.org/package/2006/content-types">
  <Default Extension="bin" ContentType="application/vnd.openxmlformats-officedocument.spreadsheetml.printerSettings"/>
  <Default Extension="emf" ContentType="image/x-emf"/>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slicerCaches/slicerCache2.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pivotTables/pivotTable5.xml" ContentType="application/vnd.openxmlformats-officedocument.spreadsheetml.pivotTable+xml"/>
  <Override PartName="/xl/pivotTables/pivotTable6.xml" ContentType="application/vnd.openxmlformats-officedocument.spreadsheetml.pivotTable+xml"/>
  <Override PartName="/xl/pivotTables/pivotTable7.xml" ContentType="application/vnd.openxmlformats-officedocument.spreadsheetml.pivotTable+xml"/>
  <Override PartName="/xl/pivotTables/pivotTable8.xml" ContentType="application/vnd.openxmlformats-officedocument.spreadsheetml.pivotTable+xml"/>
  <Override PartName="/xl/pivotTables/pivotTable9.xml" ContentType="application/vnd.openxmlformats-officedocument.spreadsheetml.pivotTable+xml"/>
  <Override PartName="/xl/tables/table1.xml" ContentType="application/vnd.openxmlformats-officedocument.spreadsheetml.table+xml"/>
  <Override PartName="/xl/drawings/drawing1.xml" ContentType="application/vnd.openxmlformats-officedocument.drawing+xml"/>
  <Override PartName="/xl/slicers/slicer1.xml" ContentType="application/vnd.ms-excel.slicer+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chart4.xml" ContentType="application/vnd.openxmlformats-officedocument.drawingml.chart+xml"/>
  <Override PartName="/xl/charts/style3.xml" ContentType="application/vnd.ms-office.chartstyle+xml"/>
  <Override PartName="/xl/charts/colors3.xml" ContentType="application/vnd.ms-office.chartcolorstyle+xml"/>
  <Override PartName="/xl/charts/chart5.xml" ContentType="application/vnd.openxmlformats-officedocument.drawingml.chart+xml"/>
  <Override PartName="/xl/charts/style4.xml" ContentType="application/vnd.ms-office.chartstyle+xml"/>
  <Override PartName="/xl/charts/colors4.xml" ContentType="application/vnd.ms-office.chartcolorstyle+xml"/>
  <Override PartName="/xl/charts/chart6.xml" ContentType="application/vnd.openxmlformats-officedocument.drawingml.chart+xml"/>
  <Override PartName="/xl/charts/style5.xml" ContentType="application/vnd.ms-office.chartstyle+xml"/>
  <Override PartName="/xl/charts/colors5.xml" ContentType="application/vnd.ms-office.chartcolorstyle+xml"/>
  <Override PartName="/xl/charts/chart7.xml" ContentType="application/vnd.openxmlformats-officedocument.drawingml.chart+xml"/>
  <Override PartName="/xl/charts/style6.xml" ContentType="application/vnd.ms-office.chartstyle+xml"/>
  <Override PartName="/xl/charts/colors6.xml" ContentType="application/vnd.ms-office.chartcolorsty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xl/persons/person.xml" ContentType="application/vnd.ms-excel.person+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7932" codeName="{372AB895-14C1-FC20-EB20-F1B4BCFD95AE}"/>
  <workbookPr codeName="ThisWorkbook" defaultThemeVersion="166925"/>
  <mc:AlternateContent xmlns:mc="http://schemas.openxmlformats.org/markup-compatibility/2006">
    <mc:Choice Requires="x15">
      <x15ac:absPath xmlns:x15ac="http://schemas.microsoft.com/office/spreadsheetml/2010/11/ac" url="D:\"/>
    </mc:Choice>
  </mc:AlternateContent>
  <xr:revisionPtr revIDLastSave="0" documentId="13_ncr:1_{E876ACBF-57B6-4CEA-939F-2474B8F70621}" xr6:coauthVersionLast="47" xr6:coauthVersionMax="47" xr10:uidLastSave="{00000000-0000-0000-0000-000000000000}"/>
  <bookViews>
    <workbookView xWindow="-120" yWindow="-120" windowWidth="29040" windowHeight="15720" firstSheet="2" activeTab="7" xr2:uid="{00000000-000D-0000-FFFF-FFFF00000000}"/>
  </bookViews>
  <sheets>
    <sheet name="Supermarket Sales" sheetId="1" r:id="rId1"/>
    <sheet name="Customer-details" sheetId="2" r:id="rId2"/>
    <sheet name="Product-details" sheetId="4" r:id="rId3"/>
    <sheet name="City-details" sheetId="3" r:id="rId4"/>
    <sheet name="Analysis" sheetId="6" r:id="rId5"/>
    <sheet name="hitmap" sheetId="8" r:id="rId6"/>
    <sheet name="Working data" sheetId="5" r:id="rId7"/>
    <sheet name="Dashboard" sheetId="7" r:id="rId8"/>
  </sheets>
  <definedNames>
    <definedName name="_xlnm._FilterDatabase" localSheetId="0" hidden="1">'Supermarket Sales'!$A$1:$L$1001</definedName>
    <definedName name="_xlnm._FilterDatabase" localSheetId="6" hidden="1">'Working data'!$N$1:$N$1001</definedName>
    <definedName name="Slicer_City">#N/A</definedName>
    <definedName name="Slicer_Gender">#N/A</definedName>
  </definedNames>
  <calcPr calcId="191029"/>
  <pivotCaches>
    <pivotCache cacheId="0" r:id="rId9"/>
  </pivotCaches>
  <extLst>
    <ext xmlns:x14="http://schemas.microsoft.com/office/spreadsheetml/2009/9/main" uri="{BBE1A952-AA13-448e-AADC-164F8A28A991}">
      <x14:slicerCaches>
        <x14:slicerCache r:id="rId10"/>
        <x14:slicerCache r:id="rId11"/>
      </x14:slicerCaches>
    </ext>
    <ext xmlns:x14="http://schemas.microsoft.com/office/spreadsheetml/2009/9/main" uri="{79F54976-1DA5-4618-B147-4CDE4B953A38}">
      <x14:workbookPr/>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 xmlns:xlwcv="http://schemas.microsoft.com/office/spreadsheetml/2024/workbookCompatibilityVersion" uri="{D14903EA-33C4-47F7-8F05-3474C54BE107}">
      <xlwcv:version setVersion="1"/>
    </ext>
  </extLst>
</workbook>
</file>

<file path=xl/calcChain.xml><?xml version="1.0" encoding="utf-8"?>
<calcChain xmlns="http://schemas.openxmlformats.org/spreadsheetml/2006/main">
  <c r="R25" i="6" l="1"/>
  <c r="R26" i="6"/>
  <c r="R27" i="6"/>
  <c r="R28" i="6"/>
  <c r="R29" i="6"/>
  <c r="R30" i="6"/>
  <c r="R24" i="6"/>
  <c r="AH22" i="6"/>
  <c r="AI22" i="6"/>
  <c r="AH23" i="6"/>
  <c r="AI23" i="6"/>
  <c r="AI21" i="6"/>
  <c r="AH21" i="6"/>
  <c r="AM13" i="6"/>
  <c r="AN13" i="6"/>
  <c r="AM14" i="6"/>
  <c r="AN14" i="6"/>
  <c r="AM15" i="6"/>
  <c r="AN15" i="6"/>
  <c r="AM16" i="6"/>
  <c r="AN16" i="6"/>
  <c r="AM17" i="6"/>
  <c r="AN17" i="6"/>
  <c r="AM18" i="6"/>
  <c r="AN18" i="6"/>
  <c r="AN12" i="6"/>
  <c r="AM12" i="6"/>
  <c r="AM21" i="6" l="1"/>
  <c r="AO16" i="6"/>
  <c r="AO15" i="6"/>
  <c r="AO18" i="6"/>
  <c r="AO13" i="6"/>
  <c r="AO14" i="6"/>
  <c r="AO17" i="6"/>
  <c r="AH9" i="6" l="1"/>
  <c r="AI9" i="6"/>
  <c r="AH10" i="6"/>
  <c r="AI10" i="6"/>
  <c r="AI8" i="6"/>
  <c r="AH8" i="6"/>
  <c r="AB10" i="6"/>
  <c r="AC10" i="6"/>
  <c r="AB11" i="6"/>
  <c r="AC11" i="6"/>
  <c r="AB12" i="6"/>
  <c r="AC12" i="6"/>
  <c r="AC9" i="6"/>
  <c r="AB9" i="6"/>
  <c r="V11" i="6"/>
  <c r="W11" i="6"/>
  <c r="V12" i="6"/>
  <c r="W12" i="6"/>
  <c r="V13" i="6"/>
  <c r="W13" i="6"/>
  <c r="V14" i="6"/>
  <c r="W14" i="6"/>
  <c r="W10" i="6"/>
  <c r="V10" i="6"/>
  <c r="M37" i="6"/>
  <c r="B4" i="8" s="1"/>
  <c r="N37" i="6"/>
  <c r="O37" i="6"/>
  <c r="D4" i="8" s="1"/>
  <c r="P37" i="6"/>
  <c r="E4" i="8" s="1"/>
  <c r="Q37" i="6"/>
  <c r="F4" i="8" s="1"/>
  <c r="M38" i="6"/>
  <c r="B5" i="8" s="1"/>
  <c r="N38" i="6"/>
  <c r="O38" i="6"/>
  <c r="D5" i="8" s="1"/>
  <c r="P38" i="6"/>
  <c r="Q38" i="6"/>
  <c r="F5" i="8" s="1"/>
  <c r="M39" i="6"/>
  <c r="B6" i="8" s="1"/>
  <c r="N39" i="6"/>
  <c r="O39" i="6"/>
  <c r="D6" i="8" s="1"/>
  <c r="P39" i="6"/>
  <c r="E6" i="8" s="1"/>
  <c r="Q39" i="6"/>
  <c r="F6" i="8" s="1"/>
  <c r="M40" i="6"/>
  <c r="B7" i="8" s="1"/>
  <c r="N40" i="6"/>
  <c r="O40" i="6"/>
  <c r="D7" i="8" s="1"/>
  <c r="P40" i="6"/>
  <c r="E7" i="8" s="1"/>
  <c r="Q40" i="6"/>
  <c r="F7" i="8" s="1"/>
  <c r="M41" i="6"/>
  <c r="B8" i="8" s="1"/>
  <c r="N41" i="6"/>
  <c r="O41" i="6"/>
  <c r="D8" i="8" s="1"/>
  <c r="P41" i="6"/>
  <c r="E8" i="8" s="1"/>
  <c r="Q41" i="6"/>
  <c r="F8" i="8" s="1"/>
  <c r="M42" i="6"/>
  <c r="B9" i="8" s="1"/>
  <c r="N42" i="6"/>
  <c r="O42" i="6"/>
  <c r="D9" i="8" s="1"/>
  <c r="P42" i="6"/>
  <c r="E9" i="8" s="1"/>
  <c r="Q42" i="6"/>
  <c r="F9" i="8" s="1"/>
  <c r="M43" i="6"/>
  <c r="B10" i="8" s="1"/>
  <c r="N43" i="6"/>
  <c r="O43" i="6"/>
  <c r="D10" i="8" s="1"/>
  <c r="P43" i="6"/>
  <c r="E10" i="8" s="1"/>
  <c r="Q43" i="6"/>
  <c r="F10" i="8" s="1"/>
  <c r="N36" i="6"/>
  <c r="C3" i="8" s="1"/>
  <c r="O36" i="6"/>
  <c r="D3" i="8" s="1"/>
  <c r="P36" i="6"/>
  <c r="E3" i="8" s="1"/>
  <c r="Q36" i="6"/>
  <c r="F3" i="8" s="1"/>
  <c r="M36" i="6"/>
  <c r="B3" i="8" s="1"/>
  <c r="M11" i="6"/>
  <c r="N11" i="6"/>
  <c r="M12" i="6"/>
  <c r="N12" i="6"/>
  <c r="M13" i="6"/>
  <c r="N13" i="6"/>
  <c r="M14" i="6"/>
  <c r="N14" i="6"/>
  <c r="N10" i="6"/>
  <c r="M10" i="6"/>
  <c r="R37" i="6" l="1"/>
  <c r="N45" i="6"/>
  <c r="AB15" i="6"/>
  <c r="C8" i="8"/>
  <c r="R41" i="6"/>
  <c r="S41" i="6" s="1"/>
  <c r="C6" i="8"/>
  <c r="R39" i="6"/>
  <c r="S39" i="6" s="1"/>
  <c r="C9" i="8"/>
  <c r="R42" i="6"/>
  <c r="S42" i="6" s="1"/>
  <c r="C4" i="8"/>
  <c r="C7" i="8"/>
  <c r="R40" i="6"/>
  <c r="S40" i="6" s="1"/>
  <c r="C10" i="8"/>
  <c r="R43" i="6"/>
  <c r="S43" i="6" s="1"/>
  <c r="V17" i="6"/>
  <c r="C5" i="8"/>
  <c r="R38" i="6"/>
  <c r="S38" i="6" s="1"/>
  <c r="P12" i="6"/>
  <c r="P14" i="6"/>
  <c r="P11" i="6"/>
  <c r="P13" i="6"/>
  <c r="M16" i="6" s="1"/>
  <c r="X12" i="6"/>
  <c r="AD10" i="6"/>
  <c r="AD12" i="6"/>
  <c r="AD11" i="6"/>
  <c r="X14" i="6"/>
  <c r="X11" i="6"/>
  <c r="O12" i="6"/>
  <c r="X13" i="6"/>
  <c r="O14" i="6"/>
  <c r="O13" i="6"/>
  <c r="O11" i="6"/>
  <c r="E5" i="8"/>
  <c r="N52" i="6" l="1"/>
  <c r="S37" i="6"/>
  <c r="M52" i="6" s="1"/>
  <c r="M46" i="6"/>
  <c r="M48" i="6" s="1"/>
  <c r="H13" i="6"/>
  <c r="I13" i="6"/>
  <c r="H14" i="6"/>
  <c r="I14" i="6"/>
  <c r="H15" i="6"/>
  <c r="I15" i="6"/>
  <c r="H16" i="6"/>
  <c r="I16" i="6"/>
  <c r="H17" i="6"/>
  <c r="I17" i="6"/>
  <c r="H18" i="6"/>
  <c r="I18" i="6"/>
  <c r="H19" i="6"/>
  <c r="I19" i="6"/>
  <c r="I12" i="6"/>
  <c r="H12" i="6"/>
  <c r="T2" i="5" a="1"/>
  <c r="T2" i="5" s="1"/>
  <c r="T3" i="5" a="1"/>
  <c r="T3" i="5" s="1"/>
  <c r="T4" i="5" a="1"/>
  <c r="T4" i="5" s="1"/>
  <c r="T5" i="5" a="1"/>
  <c r="T5" i="5" s="1"/>
  <c r="T6" i="5" a="1"/>
  <c r="T6" i="5"/>
  <c r="T7" i="5" a="1"/>
  <c r="T7" i="5" s="1"/>
  <c r="T8" i="5" a="1"/>
  <c r="T8" i="5" s="1"/>
  <c r="T9" i="5" a="1"/>
  <c r="T9" i="5" s="1"/>
  <c r="T10" i="5" a="1"/>
  <c r="T10" i="5"/>
  <c r="T11" i="5" a="1"/>
  <c r="T11" i="5" s="1"/>
  <c r="T12" i="5" a="1"/>
  <c r="T12" i="5" s="1"/>
  <c r="T13" i="5" a="1"/>
  <c r="T13" i="5" s="1"/>
  <c r="T14" i="5" a="1"/>
  <c r="T14" i="5" s="1"/>
  <c r="T15" i="5" a="1"/>
  <c r="T15" i="5" s="1"/>
  <c r="T16" i="5" a="1"/>
  <c r="T16" i="5" s="1"/>
  <c r="T17" i="5" a="1"/>
  <c r="T17" i="5" s="1"/>
  <c r="T18" i="5" a="1"/>
  <c r="T18" i="5"/>
  <c r="T19" i="5" a="1"/>
  <c r="T19" i="5" s="1"/>
  <c r="T20" i="5" a="1"/>
  <c r="T20" i="5" s="1"/>
  <c r="T21" i="5" a="1"/>
  <c r="T21" i="5" s="1"/>
  <c r="T22" i="5" a="1"/>
  <c r="T22" i="5" s="1"/>
  <c r="T23" i="5" a="1"/>
  <c r="T23" i="5" s="1"/>
  <c r="T24" i="5" a="1"/>
  <c r="T24" i="5" s="1"/>
  <c r="T25" i="5" a="1"/>
  <c r="T25" i="5" s="1"/>
  <c r="T26" i="5" a="1"/>
  <c r="T26" i="5"/>
  <c r="T27" i="5" a="1"/>
  <c r="T27" i="5" s="1"/>
  <c r="T28" i="5" a="1"/>
  <c r="T28" i="5"/>
  <c r="T29" i="5" a="1"/>
  <c r="T29" i="5" s="1"/>
  <c r="T30" i="5" a="1"/>
  <c r="T30" i="5" s="1"/>
  <c r="T31" i="5" a="1"/>
  <c r="T31" i="5" s="1"/>
  <c r="T32" i="5" a="1"/>
  <c r="T32" i="5" s="1"/>
  <c r="T33" i="5" a="1"/>
  <c r="T33" i="5" s="1"/>
  <c r="T34" i="5" a="1"/>
  <c r="T34" i="5"/>
  <c r="T35" i="5" a="1"/>
  <c r="T35" i="5" s="1"/>
  <c r="T36" i="5" a="1"/>
  <c r="T36" i="5" s="1"/>
  <c r="T37" i="5" a="1"/>
  <c r="T37" i="5" s="1"/>
  <c r="T38" i="5" a="1"/>
  <c r="T38" i="5" s="1"/>
  <c r="T39" i="5" a="1"/>
  <c r="T39" i="5" s="1"/>
  <c r="T40" i="5" a="1"/>
  <c r="T40" i="5" s="1"/>
  <c r="T41" i="5" a="1"/>
  <c r="T41" i="5" s="1"/>
  <c r="T42" i="5" a="1"/>
  <c r="T42" i="5"/>
  <c r="T43" i="5" a="1"/>
  <c r="T43" i="5" s="1"/>
  <c r="T44" i="5" a="1"/>
  <c r="T44" i="5" s="1"/>
  <c r="T45" i="5" a="1"/>
  <c r="T45" i="5" s="1"/>
  <c r="T46" i="5" a="1"/>
  <c r="T46" i="5" s="1"/>
  <c r="T47" i="5" a="1"/>
  <c r="T47" i="5" s="1"/>
  <c r="T48" i="5" a="1"/>
  <c r="T48" i="5" s="1"/>
  <c r="T49" i="5" a="1"/>
  <c r="T49" i="5" s="1"/>
  <c r="T50" i="5" a="1"/>
  <c r="T50" i="5"/>
  <c r="T51" i="5" a="1"/>
  <c r="T51" i="5" s="1"/>
  <c r="T52" i="5" a="1"/>
  <c r="T52" i="5" s="1"/>
  <c r="T53" i="5" a="1"/>
  <c r="T53" i="5" s="1"/>
  <c r="T54" i="5" a="1"/>
  <c r="T54" i="5" s="1"/>
  <c r="T55" i="5" a="1"/>
  <c r="T55" i="5" s="1"/>
  <c r="T56" i="5" a="1"/>
  <c r="T56" i="5" s="1"/>
  <c r="T57" i="5" a="1"/>
  <c r="T57" i="5" s="1"/>
  <c r="T58" i="5" a="1"/>
  <c r="T58" i="5"/>
  <c r="T59" i="5" a="1"/>
  <c r="T59" i="5" s="1"/>
  <c r="T60" i="5" a="1"/>
  <c r="T60" i="5" s="1"/>
  <c r="T61" i="5" a="1"/>
  <c r="T61" i="5" s="1"/>
  <c r="T62" i="5" a="1"/>
  <c r="T62" i="5" s="1"/>
  <c r="T63" i="5" a="1"/>
  <c r="T63" i="5" s="1"/>
  <c r="T64" i="5" a="1"/>
  <c r="T64" i="5" s="1"/>
  <c r="T65" i="5" a="1"/>
  <c r="T65" i="5" s="1"/>
  <c r="T66" i="5" a="1"/>
  <c r="T66" i="5"/>
  <c r="T67" i="5" a="1"/>
  <c r="T67" i="5" s="1"/>
  <c r="T68" i="5" a="1"/>
  <c r="T68" i="5" s="1"/>
  <c r="T69" i="5" a="1"/>
  <c r="T69" i="5" s="1"/>
  <c r="T70" i="5" a="1"/>
  <c r="T70" i="5" s="1"/>
  <c r="T71" i="5" a="1"/>
  <c r="T71" i="5" s="1"/>
  <c r="T72" i="5" a="1"/>
  <c r="T72" i="5" s="1"/>
  <c r="T73" i="5" a="1"/>
  <c r="T73" i="5" s="1"/>
  <c r="T74" i="5" a="1"/>
  <c r="T74" i="5"/>
  <c r="T75" i="5" a="1"/>
  <c r="T75" i="5" s="1"/>
  <c r="T76" i="5" a="1"/>
  <c r="T76" i="5"/>
  <c r="T77" i="5" a="1"/>
  <c r="T77" i="5" s="1"/>
  <c r="T78" i="5" a="1"/>
  <c r="T78" i="5" s="1"/>
  <c r="T79" i="5" a="1"/>
  <c r="T79" i="5" s="1"/>
  <c r="T80" i="5" a="1"/>
  <c r="T80" i="5" s="1"/>
  <c r="T81" i="5" a="1"/>
  <c r="T81" i="5" s="1"/>
  <c r="T82" i="5" a="1"/>
  <c r="T82" i="5"/>
  <c r="T83" i="5" a="1"/>
  <c r="T83" i="5" s="1"/>
  <c r="T84" i="5" a="1"/>
  <c r="T84" i="5" s="1"/>
  <c r="T85" i="5" a="1"/>
  <c r="T85" i="5" s="1"/>
  <c r="T86" i="5" a="1"/>
  <c r="T86" i="5" s="1"/>
  <c r="T87" i="5" a="1"/>
  <c r="T87" i="5" s="1"/>
  <c r="T88" i="5" a="1"/>
  <c r="T88" i="5" s="1"/>
  <c r="T89" i="5" a="1"/>
  <c r="T89" i="5" s="1"/>
  <c r="T90" i="5" a="1"/>
  <c r="T90" i="5"/>
  <c r="T91" i="5" a="1"/>
  <c r="T91" i="5" s="1"/>
  <c r="T92" i="5" a="1"/>
  <c r="T92" i="5"/>
  <c r="T93" i="5" a="1"/>
  <c r="T93" i="5" s="1"/>
  <c r="T94" i="5" a="1"/>
  <c r="T94" i="5" s="1"/>
  <c r="T95" i="5" a="1"/>
  <c r="T95" i="5" s="1"/>
  <c r="T96" i="5" a="1"/>
  <c r="T96" i="5" s="1"/>
  <c r="T97" i="5" a="1"/>
  <c r="T97" i="5" s="1"/>
  <c r="T98" i="5" a="1"/>
  <c r="T98" i="5"/>
  <c r="T99" i="5" a="1"/>
  <c r="T99" i="5" s="1"/>
  <c r="T100" i="5" a="1"/>
  <c r="T100" i="5"/>
  <c r="T101" i="5" a="1"/>
  <c r="T101" i="5" s="1"/>
  <c r="T102" i="5" a="1"/>
  <c r="T102" i="5" s="1"/>
  <c r="T103" i="5" a="1"/>
  <c r="T103" i="5" s="1"/>
  <c r="T104" i="5" a="1"/>
  <c r="T104" i="5" s="1"/>
  <c r="T105" i="5" a="1"/>
  <c r="T105" i="5" s="1"/>
  <c r="T106" i="5" a="1"/>
  <c r="T106" i="5"/>
  <c r="T107" i="5" a="1"/>
  <c r="T107" i="5" s="1"/>
  <c r="T108" i="5" a="1"/>
  <c r="T108" i="5" s="1"/>
  <c r="T109" i="5" a="1"/>
  <c r="T109" i="5" s="1"/>
  <c r="T110" i="5" a="1"/>
  <c r="T110" i="5" s="1"/>
  <c r="T111" i="5" a="1"/>
  <c r="T111" i="5" s="1"/>
  <c r="T112" i="5" a="1"/>
  <c r="T112" i="5" s="1"/>
  <c r="T113" i="5" a="1"/>
  <c r="T113" i="5" s="1"/>
  <c r="T114" i="5" a="1"/>
  <c r="T114" i="5"/>
  <c r="T115" i="5" a="1"/>
  <c r="T115" i="5" s="1"/>
  <c r="T116" i="5" a="1"/>
  <c r="T116" i="5"/>
  <c r="T117" i="5" a="1"/>
  <c r="T117" i="5" s="1"/>
  <c r="T118" i="5" a="1"/>
  <c r="T118" i="5" s="1"/>
  <c r="T119" i="5" a="1"/>
  <c r="T119" i="5" s="1"/>
  <c r="T120" i="5" a="1"/>
  <c r="T120" i="5" s="1"/>
  <c r="T121" i="5" a="1"/>
  <c r="T121" i="5" s="1"/>
  <c r="T122" i="5" a="1"/>
  <c r="T122" i="5"/>
  <c r="T123" i="5" a="1"/>
  <c r="T123" i="5" s="1"/>
  <c r="T124" i="5" a="1"/>
  <c r="T124" i="5"/>
  <c r="T125" i="5" a="1"/>
  <c r="T125" i="5" s="1"/>
  <c r="T126" i="5" a="1"/>
  <c r="T126" i="5" s="1"/>
  <c r="T127" i="5" a="1"/>
  <c r="T127" i="5" s="1"/>
  <c r="T128" i="5" a="1"/>
  <c r="T128" i="5" s="1"/>
  <c r="T129" i="5" a="1"/>
  <c r="T129" i="5" s="1"/>
  <c r="T130" i="5" a="1"/>
  <c r="T130" i="5"/>
  <c r="T131" i="5" a="1"/>
  <c r="T131" i="5" s="1"/>
  <c r="T132" i="5" a="1"/>
  <c r="T132" i="5" s="1"/>
  <c r="T133" i="5" a="1"/>
  <c r="T133" i="5" s="1"/>
  <c r="T134" i="5" a="1"/>
  <c r="T134" i="5" s="1"/>
  <c r="T135" i="5" a="1"/>
  <c r="T135" i="5" s="1"/>
  <c r="T136" i="5" a="1"/>
  <c r="T136" i="5" s="1"/>
  <c r="T137" i="5" a="1"/>
  <c r="T137" i="5" s="1"/>
  <c r="T138" i="5" a="1"/>
  <c r="T138" i="5"/>
  <c r="T139" i="5" a="1"/>
  <c r="T139" i="5" s="1"/>
  <c r="T140" i="5" a="1"/>
  <c r="T140" i="5" s="1"/>
  <c r="T141" i="5" a="1"/>
  <c r="T141" i="5" s="1"/>
  <c r="T142" i="5" a="1"/>
  <c r="T142" i="5" s="1"/>
  <c r="T143" i="5" a="1"/>
  <c r="T143" i="5" s="1"/>
  <c r="T144" i="5" a="1"/>
  <c r="T144" i="5" s="1"/>
  <c r="T145" i="5" a="1"/>
  <c r="T145" i="5" s="1"/>
  <c r="T146" i="5" a="1"/>
  <c r="T146" i="5"/>
  <c r="T147" i="5" a="1"/>
  <c r="T147" i="5" s="1"/>
  <c r="T148" i="5" a="1"/>
  <c r="T148" i="5" s="1"/>
  <c r="T149" i="5" a="1"/>
  <c r="T149" i="5" s="1"/>
  <c r="T150" i="5" a="1"/>
  <c r="T150" i="5" s="1"/>
  <c r="T151" i="5" a="1"/>
  <c r="T151" i="5" s="1"/>
  <c r="T152" i="5" a="1"/>
  <c r="T152" i="5" s="1"/>
  <c r="T153" i="5" a="1"/>
  <c r="T153" i="5" s="1"/>
  <c r="T154" i="5" a="1"/>
  <c r="T154" i="5"/>
  <c r="T155" i="5" a="1"/>
  <c r="T155" i="5" s="1"/>
  <c r="T156" i="5" a="1"/>
  <c r="T156" i="5" s="1"/>
  <c r="T157" i="5" a="1"/>
  <c r="T157" i="5" s="1"/>
  <c r="T158" i="5" a="1"/>
  <c r="T158" i="5" s="1"/>
  <c r="T159" i="5" a="1"/>
  <c r="T159" i="5" s="1"/>
  <c r="T160" i="5" a="1"/>
  <c r="T160" i="5" s="1"/>
  <c r="T161" i="5" a="1"/>
  <c r="T161" i="5" s="1"/>
  <c r="T162" i="5" a="1"/>
  <c r="T162" i="5"/>
  <c r="T163" i="5" a="1"/>
  <c r="T163" i="5" s="1"/>
  <c r="T164" i="5" a="1"/>
  <c r="T164" i="5" s="1"/>
  <c r="T165" i="5" a="1"/>
  <c r="T165" i="5" s="1"/>
  <c r="T166" i="5" a="1"/>
  <c r="T166" i="5" s="1"/>
  <c r="T167" i="5" a="1"/>
  <c r="T167" i="5" s="1"/>
  <c r="T168" i="5" a="1"/>
  <c r="T168" i="5" s="1"/>
  <c r="T169" i="5" a="1"/>
  <c r="T169" i="5" s="1"/>
  <c r="T170" i="5" a="1"/>
  <c r="T170" i="5"/>
  <c r="T171" i="5" a="1"/>
  <c r="T171" i="5" s="1"/>
  <c r="T172" i="5" a="1"/>
  <c r="T172" i="5" s="1"/>
  <c r="T173" i="5" a="1"/>
  <c r="T173" i="5" s="1"/>
  <c r="T174" i="5" a="1"/>
  <c r="T174" i="5" s="1"/>
  <c r="T175" i="5" a="1"/>
  <c r="T175" i="5" s="1"/>
  <c r="T176" i="5" a="1"/>
  <c r="T176" i="5" s="1"/>
  <c r="T177" i="5" a="1"/>
  <c r="T177" i="5" s="1"/>
  <c r="T178" i="5" a="1"/>
  <c r="T178" i="5" s="1"/>
  <c r="T179" i="5" a="1"/>
  <c r="T179" i="5" s="1"/>
  <c r="T180" i="5" a="1"/>
  <c r="T180" i="5" s="1"/>
  <c r="T181" i="5" a="1"/>
  <c r="T181" i="5" s="1"/>
  <c r="T182" i="5" a="1"/>
  <c r="T182" i="5" s="1"/>
  <c r="T183" i="5" a="1"/>
  <c r="T183" i="5" s="1"/>
  <c r="T184" i="5" a="1"/>
  <c r="T184" i="5" s="1"/>
  <c r="T185" i="5" a="1"/>
  <c r="T185" i="5" s="1"/>
  <c r="T186" i="5" a="1"/>
  <c r="T186" i="5" s="1"/>
  <c r="T187" i="5" a="1"/>
  <c r="T187" i="5" s="1"/>
  <c r="T188" i="5" a="1"/>
  <c r="T188" i="5" s="1"/>
  <c r="T189" i="5" a="1"/>
  <c r="T189" i="5" s="1"/>
  <c r="T190" i="5" a="1"/>
  <c r="T190" i="5" s="1"/>
  <c r="T191" i="5" a="1"/>
  <c r="T191" i="5" s="1"/>
  <c r="T192" i="5" a="1"/>
  <c r="T192" i="5" s="1"/>
  <c r="T193" i="5" a="1"/>
  <c r="T193" i="5" s="1"/>
  <c r="T194" i="5" a="1"/>
  <c r="T194" i="5" s="1"/>
  <c r="T195" i="5" a="1"/>
  <c r="T195" i="5" s="1"/>
  <c r="T196" i="5" a="1"/>
  <c r="T196" i="5" s="1"/>
  <c r="T197" i="5" a="1"/>
  <c r="T197" i="5" s="1"/>
  <c r="T198" i="5" a="1"/>
  <c r="T198" i="5" s="1"/>
  <c r="T199" i="5" a="1"/>
  <c r="T199" i="5" s="1"/>
  <c r="T200" i="5" a="1"/>
  <c r="T200" i="5" s="1"/>
  <c r="T201" i="5" a="1"/>
  <c r="T201" i="5" s="1"/>
  <c r="T202" i="5" a="1"/>
  <c r="T202" i="5" s="1"/>
  <c r="T203" i="5" a="1"/>
  <c r="T203" i="5" s="1"/>
  <c r="T204" i="5" a="1"/>
  <c r="T204" i="5" s="1"/>
  <c r="T205" i="5" a="1"/>
  <c r="T205" i="5" s="1"/>
  <c r="T206" i="5" a="1"/>
  <c r="T206" i="5" s="1"/>
  <c r="T207" i="5" a="1"/>
  <c r="T207" i="5" s="1"/>
  <c r="T208" i="5" a="1"/>
  <c r="T208" i="5" s="1"/>
  <c r="T209" i="5" a="1"/>
  <c r="T209" i="5" s="1"/>
  <c r="T210" i="5" a="1"/>
  <c r="T210" i="5" s="1"/>
  <c r="T211" i="5" a="1"/>
  <c r="T211" i="5" s="1"/>
  <c r="T212" i="5" a="1"/>
  <c r="T212" i="5" s="1"/>
  <c r="T213" i="5" a="1"/>
  <c r="T213" i="5" s="1"/>
  <c r="T214" i="5" a="1"/>
  <c r="T214" i="5" s="1"/>
  <c r="T215" i="5" a="1"/>
  <c r="T215" i="5" s="1"/>
  <c r="T216" i="5" a="1"/>
  <c r="T216" i="5" s="1"/>
  <c r="T217" i="5" a="1"/>
  <c r="T217" i="5" s="1"/>
  <c r="T218" i="5" a="1"/>
  <c r="T218" i="5" s="1"/>
  <c r="T219" i="5" a="1"/>
  <c r="T219" i="5" s="1"/>
  <c r="T220" i="5" a="1"/>
  <c r="T220" i="5" s="1"/>
  <c r="T221" i="5" a="1"/>
  <c r="T221" i="5" s="1"/>
  <c r="T222" i="5" a="1"/>
  <c r="T222" i="5" s="1"/>
  <c r="T223" i="5" a="1"/>
  <c r="T223" i="5" s="1"/>
  <c r="T224" i="5" a="1"/>
  <c r="T224" i="5" s="1"/>
  <c r="T225" i="5" a="1"/>
  <c r="T225" i="5" s="1"/>
  <c r="T226" i="5" a="1"/>
  <c r="T226" i="5" s="1"/>
  <c r="T227" i="5" a="1"/>
  <c r="T227" i="5" s="1"/>
  <c r="T228" i="5" a="1"/>
  <c r="T228" i="5" s="1"/>
  <c r="T229" i="5" a="1"/>
  <c r="T229" i="5" s="1"/>
  <c r="T230" i="5" a="1"/>
  <c r="T230" i="5" s="1"/>
  <c r="T231" i="5" a="1"/>
  <c r="T231" i="5" s="1"/>
  <c r="T232" i="5" a="1"/>
  <c r="T232" i="5" s="1"/>
  <c r="T233" i="5" a="1"/>
  <c r="T233" i="5" s="1"/>
  <c r="T234" i="5" a="1"/>
  <c r="T234" i="5" s="1"/>
  <c r="T235" i="5" a="1"/>
  <c r="T235" i="5" s="1"/>
  <c r="T236" i="5" a="1"/>
  <c r="T236" i="5" s="1"/>
  <c r="T237" i="5" a="1"/>
  <c r="T237" i="5" s="1"/>
  <c r="T238" i="5" a="1"/>
  <c r="T238" i="5" s="1"/>
  <c r="T239" i="5" a="1"/>
  <c r="T239" i="5" s="1"/>
  <c r="T240" i="5" a="1"/>
  <c r="T240" i="5" s="1"/>
  <c r="T241" i="5" a="1"/>
  <c r="T241" i="5" s="1"/>
  <c r="T242" i="5" a="1"/>
  <c r="T242" i="5" s="1"/>
  <c r="T243" i="5" a="1"/>
  <c r="T243" i="5" s="1"/>
  <c r="T244" i="5" a="1"/>
  <c r="T244" i="5" s="1"/>
  <c r="T245" i="5" a="1"/>
  <c r="T245" i="5" s="1"/>
  <c r="T246" i="5" a="1"/>
  <c r="T246" i="5" s="1"/>
  <c r="T247" i="5" a="1"/>
  <c r="T247" i="5" s="1"/>
  <c r="T248" i="5" a="1"/>
  <c r="T248" i="5" s="1"/>
  <c r="T249" i="5" a="1"/>
  <c r="T249" i="5" s="1"/>
  <c r="T250" i="5" a="1"/>
  <c r="T250" i="5" s="1"/>
  <c r="T251" i="5" a="1"/>
  <c r="T251" i="5" s="1"/>
  <c r="T252" i="5" a="1"/>
  <c r="T252" i="5" s="1"/>
  <c r="T253" i="5" a="1"/>
  <c r="T253" i="5" s="1"/>
  <c r="T254" i="5" a="1"/>
  <c r="T254" i="5" s="1"/>
  <c r="T255" i="5" a="1"/>
  <c r="T255" i="5" s="1"/>
  <c r="T256" i="5" a="1"/>
  <c r="T256" i="5" s="1"/>
  <c r="T257" i="5" a="1"/>
  <c r="T257" i="5" s="1"/>
  <c r="T258" i="5" a="1"/>
  <c r="T258" i="5" s="1"/>
  <c r="T259" i="5" a="1"/>
  <c r="T259" i="5" s="1"/>
  <c r="T260" i="5" a="1"/>
  <c r="T260" i="5" s="1"/>
  <c r="T261" i="5" a="1"/>
  <c r="T261" i="5" s="1"/>
  <c r="T262" i="5" a="1"/>
  <c r="T262" i="5" s="1"/>
  <c r="T263" i="5" a="1"/>
  <c r="T263" i="5" s="1"/>
  <c r="T264" i="5" a="1"/>
  <c r="T264" i="5" s="1"/>
  <c r="T265" i="5" a="1"/>
  <c r="T265" i="5"/>
  <c r="T266" i="5" a="1"/>
  <c r="T266" i="5" s="1"/>
  <c r="T267" i="5" a="1"/>
  <c r="T267" i="5" s="1"/>
  <c r="T268" i="5" a="1"/>
  <c r="T268" i="5" s="1"/>
  <c r="T269" i="5" a="1"/>
  <c r="T269" i="5" s="1"/>
  <c r="T270" i="5" a="1"/>
  <c r="T270" i="5" s="1"/>
  <c r="T271" i="5" a="1"/>
  <c r="T271" i="5" s="1"/>
  <c r="T272" i="5" a="1"/>
  <c r="T272" i="5" s="1"/>
  <c r="T273" i="5" a="1"/>
  <c r="T273" i="5"/>
  <c r="T274" i="5" a="1"/>
  <c r="T274" i="5" s="1"/>
  <c r="T275" i="5" a="1"/>
  <c r="T275" i="5" s="1"/>
  <c r="T276" i="5" a="1"/>
  <c r="T276" i="5" s="1"/>
  <c r="T277" i="5" a="1"/>
  <c r="T277" i="5" s="1"/>
  <c r="T278" i="5" a="1"/>
  <c r="T278" i="5" s="1"/>
  <c r="T279" i="5" a="1"/>
  <c r="T279" i="5" s="1"/>
  <c r="T280" i="5" a="1"/>
  <c r="T280" i="5" s="1"/>
  <c r="T281" i="5" a="1"/>
  <c r="T281" i="5"/>
  <c r="T282" i="5" a="1"/>
  <c r="T282" i="5" s="1"/>
  <c r="T283" i="5" a="1"/>
  <c r="T283" i="5" s="1"/>
  <c r="T284" i="5" a="1"/>
  <c r="T284" i="5" s="1"/>
  <c r="T285" i="5" a="1"/>
  <c r="T285" i="5" s="1"/>
  <c r="T286" i="5" a="1"/>
  <c r="T286" i="5" s="1"/>
  <c r="T287" i="5" a="1"/>
  <c r="T287" i="5" s="1"/>
  <c r="T288" i="5" a="1"/>
  <c r="T288" i="5" s="1"/>
  <c r="T289" i="5" a="1"/>
  <c r="T289" i="5"/>
  <c r="T290" i="5" a="1"/>
  <c r="T290" i="5" s="1"/>
  <c r="T291" i="5" a="1"/>
  <c r="T291" i="5" s="1"/>
  <c r="T292" i="5" a="1"/>
  <c r="T292" i="5" s="1"/>
  <c r="T293" i="5" a="1"/>
  <c r="T293" i="5" s="1"/>
  <c r="T294" i="5" a="1"/>
  <c r="T294" i="5" s="1"/>
  <c r="T295" i="5" a="1"/>
  <c r="T295" i="5" s="1"/>
  <c r="T296" i="5" a="1"/>
  <c r="T296" i="5" s="1"/>
  <c r="T297" i="5" a="1"/>
  <c r="T297" i="5"/>
  <c r="T298" i="5" a="1"/>
  <c r="T298" i="5" s="1"/>
  <c r="T299" i="5" a="1"/>
  <c r="T299" i="5" s="1"/>
  <c r="T300" i="5" a="1"/>
  <c r="T300" i="5" s="1"/>
  <c r="T301" i="5" a="1"/>
  <c r="T301" i="5" s="1"/>
  <c r="T302" i="5" a="1"/>
  <c r="T302" i="5" s="1"/>
  <c r="T303" i="5" a="1"/>
  <c r="T303" i="5" s="1"/>
  <c r="T304" i="5" a="1"/>
  <c r="T304" i="5" s="1"/>
  <c r="T305" i="5" a="1"/>
  <c r="T305" i="5"/>
  <c r="T306" i="5" a="1"/>
  <c r="T306" i="5" s="1"/>
  <c r="T307" i="5" a="1"/>
  <c r="T307" i="5"/>
  <c r="T308" i="5" a="1"/>
  <c r="T308" i="5" s="1"/>
  <c r="T309" i="5" a="1"/>
  <c r="T309" i="5" s="1"/>
  <c r="T310" i="5" a="1"/>
  <c r="T310" i="5" s="1"/>
  <c r="T311" i="5" a="1"/>
  <c r="T311" i="5" s="1"/>
  <c r="T312" i="5" a="1"/>
  <c r="T312" i="5"/>
  <c r="T313" i="5" a="1"/>
  <c r="T313" i="5" s="1"/>
  <c r="T314" i="5" a="1"/>
  <c r="T314" i="5" s="1"/>
  <c r="T315" i="5" a="1"/>
  <c r="T315" i="5" s="1"/>
  <c r="T316" i="5" a="1"/>
  <c r="T316" i="5" s="1"/>
  <c r="T317" i="5" a="1"/>
  <c r="T317" i="5" s="1"/>
  <c r="T318" i="5" a="1"/>
  <c r="T318" i="5" s="1"/>
  <c r="T319" i="5" a="1"/>
  <c r="T319" i="5" s="1"/>
  <c r="T320" i="5" a="1"/>
  <c r="T320" i="5" s="1"/>
  <c r="T321" i="5" a="1"/>
  <c r="T321" i="5" s="1"/>
  <c r="T322" i="5" a="1"/>
  <c r="T322" i="5" s="1"/>
  <c r="T323" i="5" a="1"/>
  <c r="T323" i="5" s="1"/>
  <c r="T324" i="5" a="1"/>
  <c r="T324" i="5" s="1"/>
  <c r="T325" i="5" a="1"/>
  <c r="T325" i="5" s="1"/>
  <c r="T326" i="5" a="1"/>
  <c r="T326" i="5" s="1"/>
  <c r="T327" i="5" a="1"/>
  <c r="T327" i="5" s="1"/>
  <c r="T328" i="5" a="1"/>
  <c r="T328" i="5" s="1"/>
  <c r="T329" i="5" a="1"/>
  <c r="T329" i="5" s="1"/>
  <c r="T330" i="5" a="1"/>
  <c r="T330" i="5" s="1"/>
  <c r="T331" i="5" a="1"/>
  <c r="T331" i="5" s="1"/>
  <c r="T332" i="5" a="1"/>
  <c r="T332" i="5" s="1"/>
  <c r="T333" i="5" a="1"/>
  <c r="T333" i="5" s="1"/>
  <c r="T334" i="5" a="1"/>
  <c r="T334" i="5" s="1"/>
  <c r="T335" i="5" a="1"/>
  <c r="T335" i="5" s="1"/>
  <c r="T336" i="5" a="1"/>
  <c r="T336" i="5" s="1"/>
  <c r="T337" i="5" a="1"/>
  <c r="T337" i="5" s="1"/>
  <c r="T338" i="5" a="1"/>
  <c r="T338" i="5" s="1"/>
  <c r="T339" i="5" a="1"/>
  <c r="T339" i="5" s="1"/>
  <c r="T340" i="5" a="1"/>
  <c r="T340" i="5" s="1"/>
  <c r="T341" i="5" a="1"/>
  <c r="T341" i="5" s="1"/>
  <c r="T342" i="5" a="1"/>
  <c r="T342" i="5" s="1"/>
  <c r="T343" i="5" a="1"/>
  <c r="T343" i="5" s="1"/>
  <c r="T344" i="5" a="1"/>
  <c r="T344" i="5" s="1"/>
  <c r="T345" i="5" a="1"/>
  <c r="T345" i="5" s="1"/>
  <c r="T346" i="5" a="1"/>
  <c r="T346" i="5" s="1"/>
  <c r="T347" i="5" a="1"/>
  <c r="T347" i="5" s="1"/>
  <c r="T348" i="5" a="1"/>
  <c r="T348" i="5" s="1"/>
  <c r="T349" i="5" a="1"/>
  <c r="T349" i="5" s="1"/>
  <c r="T350" i="5" a="1"/>
  <c r="T350" i="5" s="1"/>
  <c r="T351" i="5" a="1"/>
  <c r="T351" i="5" s="1"/>
  <c r="T352" i="5" a="1"/>
  <c r="T352" i="5" s="1"/>
  <c r="T353" i="5" a="1"/>
  <c r="T353" i="5" s="1"/>
  <c r="T354" i="5" a="1"/>
  <c r="T354" i="5" s="1"/>
  <c r="T355" i="5" a="1"/>
  <c r="T355" i="5" s="1"/>
  <c r="T356" i="5" a="1"/>
  <c r="T356" i="5" s="1"/>
  <c r="T357" i="5" a="1"/>
  <c r="T357" i="5" s="1"/>
  <c r="T358" i="5" a="1"/>
  <c r="T358" i="5" s="1"/>
  <c r="T359" i="5" a="1"/>
  <c r="T359" i="5" s="1"/>
  <c r="T360" i="5" a="1"/>
  <c r="T360" i="5" s="1"/>
  <c r="T361" i="5" a="1"/>
  <c r="T361" i="5" s="1"/>
  <c r="T362" i="5" a="1"/>
  <c r="T362" i="5" s="1"/>
  <c r="T363" i="5" a="1"/>
  <c r="T363" i="5" s="1"/>
  <c r="T364" i="5" a="1"/>
  <c r="T364" i="5" s="1"/>
  <c r="T365" i="5" a="1"/>
  <c r="T365" i="5" s="1"/>
  <c r="T366" i="5" a="1"/>
  <c r="T366" i="5" s="1"/>
  <c r="T367" i="5" a="1"/>
  <c r="T367" i="5" s="1"/>
  <c r="T368" i="5" a="1"/>
  <c r="T368" i="5" s="1"/>
  <c r="T369" i="5" a="1"/>
  <c r="T369" i="5" s="1"/>
  <c r="T370" i="5" a="1"/>
  <c r="T370" i="5" s="1"/>
  <c r="T371" i="5" a="1"/>
  <c r="T371" i="5" s="1"/>
  <c r="T372" i="5" a="1"/>
  <c r="T372" i="5" s="1"/>
  <c r="T373" i="5" a="1"/>
  <c r="T373" i="5" s="1"/>
  <c r="T374" i="5" a="1"/>
  <c r="T374" i="5" s="1"/>
  <c r="T375" i="5" a="1"/>
  <c r="T375" i="5" s="1"/>
  <c r="T376" i="5" a="1"/>
  <c r="T376" i="5" s="1"/>
  <c r="T377" i="5" a="1"/>
  <c r="T377" i="5" s="1"/>
  <c r="T378" i="5" a="1"/>
  <c r="T378" i="5" s="1"/>
  <c r="T379" i="5" a="1"/>
  <c r="T379" i="5" s="1"/>
  <c r="T380" i="5" a="1"/>
  <c r="T380" i="5" s="1"/>
  <c r="T381" i="5" a="1"/>
  <c r="T381" i="5" s="1"/>
  <c r="T382" i="5" a="1"/>
  <c r="T382" i="5" s="1"/>
  <c r="T383" i="5" a="1"/>
  <c r="T383" i="5" s="1"/>
  <c r="T384" i="5" a="1"/>
  <c r="T384" i="5" s="1"/>
  <c r="T385" i="5" a="1"/>
  <c r="T385" i="5" s="1"/>
  <c r="T386" i="5" a="1"/>
  <c r="T386" i="5" s="1"/>
  <c r="T387" i="5" a="1"/>
  <c r="T387" i="5" s="1"/>
  <c r="T388" i="5" a="1"/>
  <c r="T388" i="5" s="1"/>
  <c r="T389" i="5" a="1"/>
  <c r="T389" i="5" s="1"/>
  <c r="T390" i="5" a="1"/>
  <c r="T390" i="5" s="1"/>
  <c r="T391" i="5" a="1"/>
  <c r="T391" i="5" s="1"/>
  <c r="T392" i="5" a="1"/>
  <c r="T392" i="5" s="1"/>
  <c r="T393" i="5" a="1"/>
  <c r="T393" i="5" s="1"/>
  <c r="T394" i="5" a="1"/>
  <c r="T394" i="5" s="1"/>
  <c r="T395" i="5" a="1"/>
  <c r="T395" i="5" s="1"/>
  <c r="T396" i="5" a="1"/>
  <c r="T396" i="5" s="1"/>
  <c r="T397" i="5" a="1"/>
  <c r="T397" i="5" s="1"/>
  <c r="T398" i="5" a="1"/>
  <c r="T398" i="5" s="1"/>
  <c r="T399" i="5" a="1"/>
  <c r="T399" i="5" s="1"/>
  <c r="T400" i="5" a="1"/>
  <c r="T400" i="5" s="1"/>
  <c r="T401" i="5" a="1"/>
  <c r="T401" i="5" s="1"/>
  <c r="T402" i="5" a="1"/>
  <c r="T402" i="5" s="1"/>
  <c r="T403" i="5" a="1"/>
  <c r="T403" i="5" s="1"/>
  <c r="T404" i="5" a="1"/>
  <c r="T404" i="5" s="1"/>
  <c r="T405" i="5" a="1"/>
  <c r="T405" i="5" s="1"/>
  <c r="T406" i="5" a="1"/>
  <c r="T406" i="5" s="1"/>
  <c r="T407" i="5" a="1"/>
  <c r="T407" i="5" s="1"/>
  <c r="T408" i="5" a="1"/>
  <c r="T408" i="5" s="1"/>
  <c r="T409" i="5" a="1"/>
  <c r="T409" i="5" s="1"/>
  <c r="T410" i="5" a="1"/>
  <c r="T410" i="5" s="1"/>
  <c r="T411" i="5" a="1"/>
  <c r="T411" i="5" s="1"/>
  <c r="T412" i="5" a="1"/>
  <c r="T412" i="5" s="1"/>
  <c r="T413" i="5" a="1"/>
  <c r="T413" i="5" s="1"/>
  <c r="T414" i="5" a="1"/>
  <c r="T414" i="5" s="1"/>
  <c r="T415" i="5" a="1"/>
  <c r="T415" i="5" s="1"/>
  <c r="T416" i="5" a="1"/>
  <c r="T416" i="5" s="1"/>
  <c r="T417" i="5" a="1"/>
  <c r="T417" i="5" s="1"/>
  <c r="T418" i="5" a="1"/>
  <c r="T418" i="5" s="1"/>
  <c r="T419" i="5" a="1"/>
  <c r="T419" i="5" s="1"/>
  <c r="T420" i="5" a="1"/>
  <c r="T420" i="5" s="1"/>
  <c r="T421" i="5" a="1"/>
  <c r="T421" i="5" s="1"/>
  <c r="T422" i="5" a="1"/>
  <c r="T422" i="5" s="1"/>
  <c r="T423" i="5" a="1"/>
  <c r="T423" i="5" s="1"/>
  <c r="T424" i="5" a="1"/>
  <c r="T424" i="5" s="1"/>
  <c r="T425" i="5" a="1"/>
  <c r="T425" i="5" s="1"/>
  <c r="T426" i="5" a="1"/>
  <c r="T426" i="5" s="1"/>
  <c r="T427" i="5" a="1"/>
  <c r="T427" i="5" s="1"/>
  <c r="T428" i="5" a="1"/>
  <c r="T428" i="5" s="1"/>
  <c r="T429" i="5" a="1"/>
  <c r="T429" i="5" s="1"/>
  <c r="T430" i="5" a="1"/>
  <c r="T430" i="5" s="1"/>
  <c r="T431" i="5" a="1"/>
  <c r="T431" i="5" s="1"/>
  <c r="T432" i="5" a="1"/>
  <c r="T432" i="5" s="1"/>
  <c r="T433" i="5" a="1"/>
  <c r="T433" i="5" s="1"/>
  <c r="T434" i="5" a="1"/>
  <c r="T434" i="5" s="1"/>
  <c r="T435" i="5" a="1"/>
  <c r="T435" i="5" s="1"/>
  <c r="T436" i="5" a="1"/>
  <c r="T436" i="5" s="1"/>
  <c r="T437" i="5" a="1"/>
  <c r="T437" i="5" s="1"/>
  <c r="T438" i="5" a="1"/>
  <c r="T438" i="5" s="1"/>
  <c r="T439" i="5" a="1"/>
  <c r="T439" i="5" s="1"/>
  <c r="T440" i="5" a="1"/>
  <c r="T440" i="5" s="1"/>
  <c r="T441" i="5" a="1"/>
  <c r="T441" i="5" s="1"/>
  <c r="T442" i="5" a="1"/>
  <c r="T442" i="5" s="1"/>
  <c r="T443" i="5" a="1"/>
  <c r="T443" i="5" s="1"/>
  <c r="T444" i="5" a="1"/>
  <c r="T444" i="5" s="1"/>
  <c r="T445" i="5" a="1"/>
  <c r="T445" i="5" s="1"/>
  <c r="T446" i="5" a="1"/>
  <c r="T446" i="5" s="1"/>
  <c r="T447" i="5" a="1"/>
  <c r="T447" i="5" s="1"/>
  <c r="T448" i="5" a="1"/>
  <c r="T448" i="5" s="1"/>
  <c r="T449" i="5" a="1"/>
  <c r="T449" i="5" s="1"/>
  <c r="T450" i="5" a="1"/>
  <c r="T450" i="5" s="1"/>
  <c r="T451" i="5" a="1"/>
  <c r="T451" i="5" s="1"/>
  <c r="T452" i="5" a="1"/>
  <c r="T452" i="5" s="1"/>
  <c r="T453" i="5" a="1"/>
  <c r="T453" i="5" s="1"/>
  <c r="T454" i="5" a="1"/>
  <c r="T454" i="5" s="1"/>
  <c r="T455" i="5" a="1"/>
  <c r="T455" i="5" s="1"/>
  <c r="T456" i="5" a="1"/>
  <c r="T456" i="5" s="1"/>
  <c r="T457" i="5" a="1"/>
  <c r="T457" i="5" s="1"/>
  <c r="T458" i="5" a="1"/>
  <c r="T458" i="5" s="1"/>
  <c r="T459" i="5" a="1"/>
  <c r="T459" i="5" s="1"/>
  <c r="T460" i="5" a="1"/>
  <c r="T460" i="5" s="1"/>
  <c r="T461" i="5" a="1"/>
  <c r="T461" i="5" s="1"/>
  <c r="T462" i="5" a="1"/>
  <c r="T462" i="5" s="1"/>
  <c r="T463" i="5" a="1"/>
  <c r="T463" i="5" s="1"/>
  <c r="T464" i="5" a="1"/>
  <c r="T464" i="5" s="1"/>
  <c r="T465" i="5" a="1"/>
  <c r="T465" i="5" s="1"/>
  <c r="T466" i="5" a="1"/>
  <c r="T466" i="5" s="1"/>
  <c r="T467" i="5" a="1"/>
  <c r="T467" i="5" s="1"/>
  <c r="T468" i="5" a="1"/>
  <c r="T468" i="5" s="1"/>
  <c r="T469" i="5" a="1"/>
  <c r="T469" i="5" s="1"/>
  <c r="T470" i="5" a="1"/>
  <c r="T470" i="5" s="1"/>
  <c r="T471" i="5" a="1"/>
  <c r="T471" i="5" s="1"/>
  <c r="T472" i="5" a="1"/>
  <c r="T472" i="5" s="1"/>
  <c r="T473" i="5" a="1"/>
  <c r="T473" i="5"/>
  <c r="T474" i="5" a="1"/>
  <c r="T474" i="5" s="1"/>
  <c r="T475" i="5" a="1"/>
  <c r="T475" i="5"/>
  <c r="T476" i="5" a="1"/>
  <c r="T476" i="5" s="1"/>
  <c r="T477" i="5" a="1"/>
  <c r="T477" i="5" s="1"/>
  <c r="T478" i="5" a="1"/>
  <c r="T478" i="5" s="1"/>
  <c r="T479" i="5" a="1"/>
  <c r="T479" i="5" s="1"/>
  <c r="T480" i="5" a="1"/>
  <c r="T480" i="5" s="1"/>
  <c r="T481" i="5" a="1"/>
  <c r="T481" i="5" s="1"/>
  <c r="T482" i="5" a="1"/>
  <c r="T482" i="5" s="1"/>
  <c r="T483" i="5" a="1"/>
  <c r="T483" i="5"/>
  <c r="T484" i="5" a="1"/>
  <c r="T484" i="5" s="1"/>
  <c r="T485" i="5" a="1"/>
  <c r="T485" i="5" s="1"/>
  <c r="T486" i="5" a="1"/>
  <c r="T486" i="5" s="1"/>
  <c r="T487" i="5" a="1"/>
  <c r="T487" i="5" s="1"/>
  <c r="T488" i="5" a="1"/>
  <c r="T488" i="5" s="1"/>
  <c r="T489" i="5" a="1"/>
  <c r="T489" i="5"/>
  <c r="T490" i="5" a="1"/>
  <c r="T490" i="5" s="1"/>
  <c r="T491" i="5" a="1"/>
  <c r="T491" i="5"/>
  <c r="T492" i="5" a="1"/>
  <c r="T492" i="5" s="1"/>
  <c r="T493" i="5" a="1"/>
  <c r="T493" i="5" s="1"/>
  <c r="T494" i="5" a="1"/>
  <c r="T494" i="5" s="1"/>
  <c r="T495" i="5" a="1"/>
  <c r="T495" i="5" s="1"/>
  <c r="T496" i="5" a="1"/>
  <c r="T496" i="5" s="1"/>
  <c r="T497" i="5" a="1"/>
  <c r="T497" i="5" s="1"/>
  <c r="T498" i="5" a="1"/>
  <c r="T498" i="5" s="1"/>
  <c r="T499" i="5" a="1"/>
  <c r="T499" i="5"/>
  <c r="T500" i="5" a="1"/>
  <c r="T500" i="5" s="1"/>
  <c r="T501" i="5" a="1"/>
  <c r="T501" i="5"/>
  <c r="T502" i="5" a="1"/>
  <c r="T502" i="5" s="1"/>
  <c r="T503" i="5" a="1"/>
  <c r="T503" i="5"/>
  <c r="T504" i="5" a="1"/>
  <c r="T504" i="5" s="1"/>
  <c r="T505" i="5" a="1"/>
  <c r="T505" i="5"/>
  <c r="T506" i="5" a="1"/>
  <c r="T506" i="5" s="1"/>
  <c r="T507" i="5" a="1"/>
  <c r="T507" i="5"/>
  <c r="T508" i="5" a="1"/>
  <c r="T508" i="5" s="1"/>
  <c r="T509" i="5" a="1"/>
  <c r="T509" i="5"/>
  <c r="T510" i="5" a="1"/>
  <c r="T510" i="5" s="1"/>
  <c r="T511" i="5" a="1"/>
  <c r="T511" i="5"/>
  <c r="T512" i="5" a="1"/>
  <c r="T512" i="5" s="1"/>
  <c r="T513" i="5" a="1"/>
  <c r="T513" i="5"/>
  <c r="T514" i="5" a="1"/>
  <c r="T514" i="5" s="1"/>
  <c r="T515" i="5" a="1"/>
  <c r="T515" i="5"/>
  <c r="T516" i="5" a="1"/>
  <c r="T516" i="5" s="1"/>
  <c r="T517" i="5" a="1"/>
  <c r="T517" i="5"/>
  <c r="T518" i="5" a="1"/>
  <c r="T518" i="5" s="1"/>
  <c r="T519" i="5" a="1"/>
  <c r="T519" i="5"/>
  <c r="T520" i="5" a="1"/>
  <c r="T520" i="5" s="1"/>
  <c r="T521" i="5" a="1"/>
  <c r="T521" i="5"/>
  <c r="T522" i="5" a="1"/>
  <c r="T522" i="5" s="1"/>
  <c r="T523" i="5" a="1"/>
  <c r="T523" i="5"/>
  <c r="T524" i="5" a="1"/>
  <c r="T524" i="5" s="1"/>
  <c r="T525" i="5" a="1"/>
  <c r="T525" i="5"/>
  <c r="T526" i="5" a="1"/>
  <c r="T526" i="5" s="1"/>
  <c r="T527" i="5" a="1"/>
  <c r="T527" i="5"/>
  <c r="T528" i="5" a="1"/>
  <c r="T528" i="5" s="1"/>
  <c r="T529" i="5" a="1"/>
  <c r="T529" i="5"/>
  <c r="T530" i="5" a="1"/>
  <c r="T530" i="5" s="1"/>
  <c r="T531" i="5" a="1"/>
  <c r="T531" i="5"/>
  <c r="T532" i="5" a="1"/>
  <c r="T532" i="5" s="1"/>
  <c r="T533" i="5" a="1"/>
  <c r="T533" i="5"/>
  <c r="T534" i="5" a="1"/>
  <c r="T534" i="5" s="1"/>
  <c r="T535" i="5" a="1"/>
  <c r="T535" i="5"/>
  <c r="T536" i="5" a="1"/>
  <c r="T536" i="5" s="1"/>
  <c r="T537" i="5" a="1"/>
  <c r="T537" i="5"/>
  <c r="T538" i="5" a="1"/>
  <c r="T538" i="5" s="1"/>
  <c r="T539" i="5" a="1"/>
  <c r="T539" i="5"/>
  <c r="T540" i="5" a="1"/>
  <c r="T540" i="5" s="1"/>
  <c r="T541" i="5" a="1"/>
  <c r="T541" i="5"/>
  <c r="T542" i="5" a="1"/>
  <c r="T542" i="5" s="1"/>
  <c r="T543" i="5" a="1"/>
  <c r="T543" i="5"/>
  <c r="T544" i="5" a="1"/>
  <c r="T544" i="5" s="1"/>
  <c r="T545" i="5" a="1"/>
  <c r="T545" i="5"/>
  <c r="T546" i="5" a="1"/>
  <c r="T546" i="5" s="1"/>
  <c r="T547" i="5" a="1"/>
  <c r="T547" i="5"/>
  <c r="T548" i="5" a="1"/>
  <c r="T548" i="5" s="1"/>
  <c r="T549" i="5" a="1"/>
  <c r="T549" i="5"/>
  <c r="T550" i="5" a="1"/>
  <c r="T550" i="5" s="1"/>
  <c r="T551" i="5" a="1"/>
  <c r="T551" i="5" s="1"/>
  <c r="T552" i="5" a="1"/>
  <c r="T552" i="5" s="1"/>
  <c r="T553" i="5" a="1"/>
  <c r="T553" i="5" s="1"/>
  <c r="T554" i="5" a="1"/>
  <c r="T554" i="5" s="1"/>
  <c r="T555" i="5" a="1"/>
  <c r="T555" i="5" s="1"/>
  <c r="T556" i="5" a="1"/>
  <c r="T556" i="5" s="1"/>
  <c r="T557" i="5" a="1"/>
  <c r="T557" i="5"/>
  <c r="T558" i="5" a="1"/>
  <c r="T558" i="5" s="1"/>
  <c r="T559" i="5" a="1"/>
  <c r="T559" i="5" s="1"/>
  <c r="T560" i="5" a="1"/>
  <c r="T560" i="5" s="1"/>
  <c r="T561" i="5" a="1"/>
  <c r="T561" i="5" s="1"/>
  <c r="T562" i="5" a="1"/>
  <c r="T562" i="5" s="1"/>
  <c r="T563" i="5" a="1"/>
  <c r="T563" i="5" s="1"/>
  <c r="T564" i="5" a="1"/>
  <c r="T564" i="5" s="1"/>
  <c r="T565" i="5" a="1"/>
  <c r="T565" i="5"/>
  <c r="T566" i="5" a="1"/>
  <c r="T566" i="5" s="1"/>
  <c r="T567" i="5" a="1"/>
  <c r="T567" i="5" s="1"/>
  <c r="T568" i="5" a="1"/>
  <c r="T568" i="5" s="1"/>
  <c r="T569" i="5" a="1"/>
  <c r="T569" i="5" s="1"/>
  <c r="T570" i="5" a="1"/>
  <c r="T570" i="5" s="1"/>
  <c r="T571" i="5" a="1"/>
  <c r="T571" i="5" s="1"/>
  <c r="T572" i="5" a="1"/>
  <c r="T572" i="5" s="1"/>
  <c r="T573" i="5" a="1"/>
  <c r="T573" i="5"/>
  <c r="T574" i="5" a="1"/>
  <c r="T574" i="5" s="1"/>
  <c r="T575" i="5" a="1"/>
  <c r="T575" i="5" s="1"/>
  <c r="T576" i="5" a="1"/>
  <c r="T576" i="5" s="1"/>
  <c r="T577" i="5" a="1"/>
  <c r="T577" i="5" s="1"/>
  <c r="T578" i="5" a="1"/>
  <c r="T578" i="5" s="1"/>
  <c r="T579" i="5" a="1"/>
  <c r="T579" i="5" s="1"/>
  <c r="T580" i="5" a="1"/>
  <c r="T580" i="5" s="1"/>
  <c r="T581" i="5" a="1"/>
  <c r="T581" i="5"/>
  <c r="T582" i="5" a="1"/>
  <c r="T582" i="5" s="1"/>
  <c r="T583" i="5" a="1"/>
  <c r="T583" i="5" s="1"/>
  <c r="T584" i="5" a="1"/>
  <c r="T584" i="5" s="1"/>
  <c r="T585" i="5" a="1"/>
  <c r="T585" i="5" s="1"/>
  <c r="T586" i="5" a="1"/>
  <c r="T586" i="5" s="1"/>
  <c r="T587" i="5" a="1"/>
  <c r="T587" i="5" s="1"/>
  <c r="T588" i="5" a="1"/>
  <c r="T588" i="5" s="1"/>
  <c r="T589" i="5" a="1"/>
  <c r="T589" i="5"/>
  <c r="T590" i="5" a="1"/>
  <c r="T590" i="5" s="1"/>
  <c r="T591" i="5" a="1"/>
  <c r="T591" i="5" s="1"/>
  <c r="T592" i="5" a="1"/>
  <c r="T592" i="5" s="1"/>
  <c r="T593" i="5" a="1"/>
  <c r="T593" i="5" s="1"/>
  <c r="T594" i="5" a="1"/>
  <c r="T594" i="5" s="1"/>
  <c r="T595" i="5" a="1"/>
  <c r="T595" i="5" s="1"/>
  <c r="T596" i="5" a="1"/>
  <c r="T596" i="5" s="1"/>
  <c r="T597" i="5" a="1"/>
  <c r="T597" i="5"/>
  <c r="T598" i="5" a="1"/>
  <c r="T598" i="5" s="1"/>
  <c r="T599" i="5" a="1"/>
  <c r="T599" i="5" s="1"/>
  <c r="T600" i="5" a="1"/>
  <c r="T600" i="5" s="1"/>
  <c r="T601" i="5" a="1"/>
  <c r="T601" i="5" s="1"/>
  <c r="T602" i="5" a="1"/>
  <c r="T602" i="5" s="1"/>
  <c r="T603" i="5" a="1"/>
  <c r="T603" i="5" s="1"/>
  <c r="T604" i="5" a="1"/>
  <c r="T604" i="5" s="1"/>
  <c r="T605" i="5" a="1"/>
  <c r="T605" i="5"/>
  <c r="T606" i="5" a="1"/>
  <c r="T606" i="5" s="1"/>
  <c r="T607" i="5" a="1"/>
  <c r="T607" i="5" s="1"/>
  <c r="T608" i="5" a="1"/>
  <c r="T608" i="5" s="1"/>
  <c r="T609" i="5" a="1"/>
  <c r="T609" i="5" s="1"/>
  <c r="T610" i="5" a="1"/>
  <c r="T610" i="5" s="1"/>
  <c r="T611" i="5" a="1"/>
  <c r="T611" i="5" s="1"/>
  <c r="T612" i="5" a="1"/>
  <c r="T612" i="5" s="1"/>
  <c r="T613" i="5" a="1"/>
  <c r="T613" i="5"/>
  <c r="T614" i="5" a="1"/>
  <c r="T614" i="5" s="1"/>
  <c r="T615" i="5" a="1"/>
  <c r="T615" i="5" s="1"/>
  <c r="T616" i="5" a="1"/>
  <c r="T616" i="5" s="1"/>
  <c r="T617" i="5" a="1"/>
  <c r="T617" i="5" s="1"/>
  <c r="T618" i="5" a="1"/>
  <c r="T618" i="5" s="1"/>
  <c r="T619" i="5" a="1"/>
  <c r="T619" i="5" s="1"/>
  <c r="T620" i="5" a="1"/>
  <c r="T620" i="5" s="1"/>
  <c r="T621" i="5" a="1"/>
  <c r="T621" i="5"/>
  <c r="T622" i="5" a="1"/>
  <c r="T622" i="5" s="1"/>
  <c r="T623" i="5" a="1"/>
  <c r="T623" i="5" s="1"/>
  <c r="T624" i="5" a="1"/>
  <c r="T624" i="5" s="1"/>
  <c r="T625" i="5" a="1"/>
  <c r="T625" i="5" s="1"/>
  <c r="T626" i="5" a="1"/>
  <c r="T626" i="5" s="1"/>
  <c r="T627" i="5" a="1"/>
  <c r="T627" i="5" s="1"/>
  <c r="T628" i="5" a="1"/>
  <c r="T628" i="5" s="1"/>
  <c r="T629" i="5" a="1"/>
  <c r="T629" i="5"/>
  <c r="T630" i="5" a="1"/>
  <c r="T630" i="5" s="1"/>
  <c r="T631" i="5" a="1"/>
  <c r="T631" i="5" s="1"/>
  <c r="T632" i="5" a="1"/>
  <c r="T632" i="5" s="1"/>
  <c r="T633" i="5" a="1"/>
  <c r="T633" i="5" s="1"/>
  <c r="T634" i="5" a="1"/>
  <c r="T634" i="5" s="1"/>
  <c r="T635" i="5" a="1"/>
  <c r="T635" i="5" s="1"/>
  <c r="T636" i="5" a="1"/>
  <c r="T636" i="5" s="1"/>
  <c r="T637" i="5" a="1"/>
  <c r="T637" i="5"/>
  <c r="T638" i="5" a="1"/>
  <c r="T638" i="5" s="1"/>
  <c r="T639" i="5" a="1"/>
  <c r="T639" i="5" s="1"/>
  <c r="T640" i="5" a="1"/>
  <c r="T640" i="5" s="1"/>
  <c r="T641" i="5" a="1"/>
  <c r="T641" i="5" s="1"/>
  <c r="T642" i="5" a="1"/>
  <c r="T642" i="5" s="1"/>
  <c r="T643" i="5" a="1"/>
  <c r="T643" i="5" s="1"/>
  <c r="T644" i="5" a="1"/>
  <c r="T644" i="5" s="1"/>
  <c r="T645" i="5" a="1"/>
  <c r="T645" i="5"/>
  <c r="T646" i="5" a="1"/>
  <c r="T646" i="5" s="1"/>
  <c r="T647" i="5" a="1"/>
  <c r="T647" i="5" s="1"/>
  <c r="T648" i="5" a="1"/>
  <c r="T648" i="5" s="1"/>
  <c r="T649" i="5" a="1"/>
  <c r="T649" i="5" s="1"/>
  <c r="T650" i="5" a="1"/>
  <c r="T650" i="5" s="1"/>
  <c r="T651" i="5" a="1"/>
  <c r="T651" i="5" s="1"/>
  <c r="T652" i="5" a="1"/>
  <c r="T652" i="5" s="1"/>
  <c r="T653" i="5" a="1"/>
  <c r="T653" i="5"/>
  <c r="T654" i="5" a="1"/>
  <c r="T654" i="5" s="1"/>
  <c r="T655" i="5" a="1"/>
  <c r="T655" i="5" s="1"/>
  <c r="T656" i="5" a="1"/>
  <c r="T656" i="5" s="1"/>
  <c r="T657" i="5" a="1"/>
  <c r="T657" i="5" s="1"/>
  <c r="T658" i="5" a="1"/>
  <c r="T658" i="5" s="1"/>
  <c r="T659" i="5" a="1"/>
  <c r="T659" i="5" s="1"/>
  <c r="T660" i="5" a="1"/>
  <c r="T660" i="5" s="1"/>
  <c r="T661" i="5" a="1"/>
  <c r="T661" i="5"/>
  <c r="T662" i="5" a="1"/>
  <c r="T662" i="5" s="1"/>
  <c r="T663" i="5" a="1"/>
  <c r="T663" i="5" s="1"/>
  <c r="T664" i="5" a="1"/>
  <c r="T664" i="5" s="1"/>
  <c r="T665" i="5" a="1"/>
  <c r="T665" i="5" s="1"/>
  <c r="T666" i="5" a="1"/>
  <c r="T666" i="5" s="1"/>
  <c r="T667" i="5" a="1"/>
  <c r="T667" i="5" s="1"/>
  <c r="T668" i="5" a="1"/>
  <c r="T668" i="5" s="1"/>
  <c r="T669" i="5" a="1"/>
  <c r="T669" i="5"/>
  <c r="T670" i="5" a="1"/>
  <c r="T670" i="5" s="1"/>
  <c r="T671" i="5" a="1"/>
  <c r="T671" i="5" s="1"/>
  <c r="T672" i="5" a="1"/>
  <c r="T672" i="5" s="1"/>
  <c r="T673" i="5" a="1"/>
  <c r="T673" i="5" s="1"/>
  <c r="T674" i="5" a="1"/>
  <c r="T674" i="5" s="1"/>
  <c r="T675" i="5" a="1"/>
  <c r="T675" i="5" s="1"/>
  <c r="T676" i="5" a="1"/>
  <c r="T676" i="5" s="1"/>
  <c r="T677" i="5" a="1"/>
  <c r="T677" i="5"/>
  <c r="T678" i="5" a="1"/>
  <c r="T678" i="5" s="1"/>
  <c r="T679" i="5" a="1"/>
  <c r="T679" i="5" s="1"/>
  <c r="T680" i="5" a="1"/>
  <c r="T680" i="5" s="1"/>
  <c r="T681" i="5" a="1"/>
  <c r="T681" i="5" s="1"/>
  <c r="T682" i="5" a="1"/>
  <c r="T682" i="5" s="1"/>
  <c r="T683" i="5" a="1"/>
  <c r="T683" i="5" s="1"/>
  <c r="T684" i="5" a="1"/>
  <c r="T684" i="5" s="1"/>
  <c r="T685" i="5" a="1"/>
  <c r="T685" i="5"/>
  <c r="T686" i="5" a="1"/>
  <c r="T686" i="5" s="1"/>
  <c r="T687" i="5" a="1"/>
  <c r="T687" i="5" s="1"/>
  <c r="T688" i="5" a="1"/>
  <c r="T688" i="5" s="1"/>
  <c r="T689" i="5" a="1"/>
  <c r="T689" i="5" s="1"/>
  <c r="T690" i="5" a="1"/>
  <c r="T690" i="5" s="1"/>
  <c r="T691" i="5" a="1"/>
  <c r="T691" i="5" s="1"/>
  <c r="T692" i="5" a="1"/>
  <c r="T692" i="5" s="1"/>
  <c r="T693" i="5" a="1"/>
  <c r="T693" i="5"/>
  <c r="T694" i="5" a="1"/>
  <c r="T694" i="5" s="1"/>
  <c r="T695" i="5" a="1"/>
  <c r="T695" i="5" s="1"/>
  <c r="T696" i="5" a="1"/>
  <c r="T696" i="5" s="1"/>
  <c r="T697" i="5" a="1"/>
  <c r="T697" i="5" s="1"/>
  <c r="T698" i="5" a="1"/>
  <c r="T698" i="5" s="1"/>
  <c r="T699" i="5" a="1"/>
  <c r="T699" i="5" s="1"/>
  <c r="T700" i="5" a="1"/>
  <c r="T700" i="5" s="1"/>
  <c r="T701" i="5" a="1"/>
  <c r="T701" i="5"/>
  <c r="T702" i="5" a="1"/>
  <c r="T702" i="5" s="1"/>
  <c r="T703" i="5" a="1"/>
  <c r="T703" i="5" s="1"/>
  <c r="T704" i="5" a="1"/>
  <c r="T704" i="5" s="1"/>
  <c r="T705" i="5" a="1"/>
  <c r="T705" i="5" s="1"/>
  <c r="T706" i="5" a="1"/>
  <c r="T706" i="5" s="1"/>
  <c r="T707" i="5" a="1"/>
  <c r="T707" i="5" s="1"/>
  <c r="T708" i="5" a="1"/>
  <c r="T708" i="5" s="1"/>
  <c r="T709" i="5" a="1"/>
  <c r="T709" i="5"/>
  <c r="T710" i="5" a="1"/>
  <c r="T710" i="5" s="1"/>
  <c r="T711" i="5" a="1"/>
  <c r="T711" i="5" s="1"/>
  <c r="T712" i="5" a="1"/>
  <c r="T712" i="5" s="1"/>
  <c r="T713" i="5" a="1"/>
  <c r="T713" i="5" s="1"/>
  <c r="T714" i="5" a="1"/>
  <c r="T714" i="5" s="1"/>
  <c r="T715" i="5" a="1"/>
  <c r="T715" i="5" s="1"/>
  <c r="T716" i="5" a="1"/>
  <c r="T716" i="5" s="1"/>
  <c r="T717" i="5" a="1"/>
  <c r="T717" i="5"/>
  <c r="T718" i="5" a="1"/>
  <c r="T718" i="5" s="1"/>
  <c r="T719" i="5" a="1"/>
  <c r="T719" i="5" s="1"/>
  <c r="T720" i="5" a="1"/>
  <c r="T720" i="5" s="1"/>
  <c r="T721" i="5" a="1"/>
  <c r="T721" i="5" s="1"/>
  <c r="T722" i="5" a="1"/>
  <c r="T722" i="5" s="1"/>
  <c r="T723" i="5" a="1"/>
  <c r="T723" i="5" s="1"/>
  <c r="T724" i="5" a="1"/>
  <c r="T724" i="5" s="1"/>
  <c r="T725" i="5" a="1"/>
  <c r="T725" i="5"/>
  <c r="T726" i="5" a="1"/>
  <c r="T726" i="5" s="1"/>
  <c r="T727" i="5" a="1"/>
  <c r="T727" i="5" s="1"/>
  <c r="T728" i="5" a="1"/>
  <c r="T728" i="5" s="1"/>
  <c r="T729" i="5" a="1"/>
  <c r="T729" i="5" s="1"/>
  <c r="T730" i="5" a="1"/>
  <c r="T730" i="5" s="1"/>
  <c r="T731" i="5" a="1"/>
  <c r="T731" i="5" s="1"/>
  <c r="T732" i="5" a="1"/>
  <c r="T732" i="5" s="1"/>
  <c r="T733" i="5" a="1"/>
  <c r="T733" i="5"/>
  <c r="T734" i="5" a="1"/>
  <c r="T734" i="5" s="1"/>
  <c r="T735" i="5" a="1"/>
  <c r="T735" i="5" s="1"/>
  <c r="T736" i="5" a="1"/>
  <c r="T736" i="5" s="1"/>
  <c r="T737" i="5" a="1"/>
  <c r="T737" i="5" s="1"/>
  <c r="T738" i="5" a="1"/>
  <c r="T738" i="5" s="1"/>
  <c r="T739" i="5" a="1"/>
  <c r="T739" i="5" s="1"/>
  <c r="T740" i="5" a="1"/>
  <c r="T740" i="5" s="1"/>
  <c r="T741" i="5" a="1"/>
  <c r="T741" i="5"/>
  <c r="T742" i="5" a="1"/>
  <c r="T742" i="5" s="1"/>
  <c r="T743" i="5" a="1"/>
  <c r="T743" i="5"/>
  <c r="T744" i="5" a="1"/>
  <c r="T744" i="5" s="1"/>
  <c r="T745" i="5" a="1"/>
  <c r="T745" i="5" s="1"/>
  <c r="T746" i="5" a="1"/>
  <c r="T746" i="5" s="1"/>
  <c r="T747" i="5" a="1"/>
  <c r="T747" i="5" s="1"/>
  <c r="T748" i="5" a="1"/>
  <c r="T748" i="5" s="1"/>
  <c r="T749" i="5" a="1"/>
  <c r="T749" i="5"/>
  <c r="T750" i="5" a="1"/>
  <c r="T750" i="5" s="1"/>
  <c r="T751" i="5" a="1"/>
  <c r="T751" i="5"/>
  <c r="T752" i="5" a="1"/>
  <c r="T752" i="5" s="1"/>
  <c r="T753" i="5" a="1"/>
  <c r="T753" i="5" s="1"/>
  <c r="T754" i="5" a="1"/>
  <c r="T754" i="5" s="1"/>
  <c r="T755" i="5" a="1"/>
  <c r="T755" i="5" s="1"/>
  <c r="T756" i="5" a="1"/>
  <c r="T756" i="5" s="1"/>
  <c r="T757" i="5" a="1"/>
  <c r="T757" i="5"/>
  <c r="T758" i="5" a="1"/>
  <c r="T758" i="5" s="1"/>
  <c r="T759" i="5" a="1"/>
  <c r="T759" i="5"/>
  <c r="T760" i="5" a="1"/>
  <c r="T760" i="5" s="1"/>
  <c r="T761" i="5" a="1"/>
  <c r="T761" i="5" s="1"/>
  <c r="T762" i="5" a="1"/>
  <c r="T762" i="5" s="1"/>
  <c r="T763" i="5" a="1"/>
  <c r="T763" i="5" s="1"/>
  <c r="T764" i="5" a="1"/>
  <c r="T764" i="5" s="1"/>
  <c r="T765" i="5" a="1"/>
  <c r="T765" i="5"/>
  <c r="T766" i="5" a="1"/>
  <c r="T766" i="5" s="1"/>
  <c r="T767" i="5" a="1"/>
  <c r="T767" i="5"/>
  <c r="T768" i="5" a="1"/>
  <c r="T768" i="5" s="1"/>
  <c r="T769" i="5" a="1"/>
  <c r="T769" i="5" s="1"/>
  <c r="T770" i="5" a="1"/>
  <c r="T770" i="5" s="1"/>
  <c r="T771" i="5" a="1"/>
  <c r="T771" i="5" s="1"/>
  <c r="T772" i="5" a="1"/>
  <c r="T772" i="5" s="1"/>
  <c r="T773" i="5" a="1"/>
  <c r="T773" i="5"/>
  <c r="T774" i="5" a="1"/>
  <c r="T774" i="5" s="1"/>
  <c r="T775" i="5" a="1"/>
  <c r="T775" i="5"/>
  <c r="T776" i="5" a="1"/>
  <c r="T776" i="5" s="1"/>
  <c r="T777" i="5" a="1"/>
  <c r="T777" i="5" s="1"/>
  <c r="T778" i="5" a="1"/>
  <c r="T778" i="5" s="1"/>
  <c r="T779" i="5" a="1"/>
  <c r="T779" i="5" s="1"/>
  <c r="T780" i="5" a="1"/>
  <c r="T780" i="5" s="1"/>
  <c r="T781" i="5" a="1"/>
  <c r="T781" i="5"/>
  <c r="T782" i="5" a="1"/>
  <c r="T782" i="5" s="1"/>
  <c r="T783" i="5" a="1"/>
  <c r="T783" i="5"/>
  <c r="T784" i="5" a="1"/>
  <c r="T784" i="5" s="1"/>
  <c r="T785" i="5" a="1"/>
  <c r="T785" i="5" s="1"/>
  <c r="T786" i="5" a="1"/>
  <c r="T786" i="5" s="1"/>
  <c r="T787" i="5" a="1"/>
  <c r="T787" i="5" s="1"/>
  <c r="T788" i="5" a="1"/>
  <c r="T788" i="5" s="1"/>
  <c r="T789" i="5" a="1"/>
  <c r="T789" i="5"/>
  <c r="T790" i="5" a="1"/>
  <c r="T790" i="5" s="1"/>
  <c r="T791" i="5" a="1"/>
  <c r="T791" i="5"/>
  <c r="T792" i="5" a="1"/>
  <c r="T792" i="5" s="1"/>
  <c r="T793" i="5" a="1"/>
  <c r="T793" i="5" s="1"/>
  <c r="T794" i="5" a="1"/>
  <c r="T794" i="5" s="1"/>
  <c r="T795" i="5" a="1"/>
  <c r="T795" i="5" s="1"/>
  <c r="T796" i="5" a="1"/>
  <c r="T796" i="5" s="1"/>
  <c r="T797" i="5" a="1"/>
  <c r="T797" i="5"/>
  <c r="T798" i="5" a="1"/>
  <c r="T798" i="5" s="1"/>
  <c r="T799" i="5" a="1"/>
  <c r="T799" i="5"/>
  <c r="T800" i="5" a="1"/>
  <c r="T800" i="5" s="1"/>
  <c r="T801" i="5" a="1"/>
  <c r="T801" i="5" s="1"/>
  <c r="T802" i="5" a="1"/>
  <c r="T802" i="5" s="1"/>
  <c r="T803" i="5" a="1"/>
  <c r="T803" i="5" s="1"/>
  <c r="T804" i="5" a="1"/>
  <c r="T804" i="5" s="1"/>
  <c r="T805" i="5" a="1"/>
  <c r="T805" i="5"/>
  <c r="T806" i="5" a="1"/>
  <c r="T806" i="5" s="1"/>
  <c r="T807" i="5" a="1"/>
  <c r="T807" i="5"/>
  <c r="T808" i="5" a="1"/>
  <c r="T808" i="5" s="1"/>
  <c r="T809" i="5" a="1"/>
  <c r="T809" i="5" s="1"/>
  <c r="T810" i="5" a="1"/>
  <c r="T810" i="5" s="1"/>
  <c r="T811" i="5" a="1"/>
  <c r="T811" i="5" s="1"/>
  <c r="T812" i="5" a="1"/>
  <c r="T812" i="5" s="1"/>
  <c r="T813" i="5" a="1"/>
  <c r="T813" i="5"/>
  <c r="T814" i="5" a="1"/>
  <c r="T814" i="5" s="1"/>
  <c r="T815" i="5" a="1"/>
  <c r="T815" i="5"/>
  <c r="T816" i="5" a="1"/>
  <c r="T816" i="5" s="1"/>
  <c r="T817" i="5" a="1"/>
  <c r="T817" i="5" s="1"/>
  <c r="T818" i="5" a="1"/>
  <c r="T818" i="5" s="1"/>
  <c r="T819" i="5" a="1"/>
  <c r="T819" i="5" s="1"/>
  <c r="T820" i="5" a="1"/>
  <c r="T820" i="5" s="1"/>
  <c r="T821" i="5" a="1"/>
  <c r="T821" i="5"/>
  <c r="T822" i="5" a="1"/>
  <c r="T822" i="5" s="1"/>
  <c r="T823" i="5" a="1"/>
  <c r="T823" i="5"/>
  <c r="T824" i="5" a="1"/>
  <c r="T824" i="5" s="1"/>
  <c r="T825" i="5" a="1"/>
  <c r="T825" i="5" s="1"/>
  <c r="T826" i="5" a="1"/>
  <c r="T826" i="5" s="1"/>
  <c r="T827" i="5" a="1"/>
  <c r="T827" i="5" s="1"/>
  <c r="T828" i="5" a="1"/>
  <c r="T828" i="5" s="1"/>
  <c r="T829" i="5" a="1"/>
  <c r="T829" i="5"/>
  <c r="T830" i="5" a="1"/>
  <c r="T830" i="5" s="1"/>
  <c r="T831" i="5" a="1"/>
  <c r="T831" i="5"/>
  <c r="T832" i="5" a="1"/>
  <c r="T832" i="5" s="1"/>
  <c r="T833" i="5" a="1"/>
  <c r="T833" i="5"/>
  <c r="T834" i="5" a="1"/>
  <c r="T834" i="5" s="1"/>
  <c r="T835" i="5" a="1"/>
  <c r="T835" i="5"/>
  <c r="T836" i="5" a="1"/>
  <c r="T836" i="5" s="1"/>
  <c r="T837" i="5" a="1"/>
  <c r="T837" i="5"/>
  <c r="T838" i="5" a="1"/>
  <c r="T838" i="5" s="1"/>
  <c r="T839" i="5" a="1"/>
  <c r="T839" i="5"/>
  <c r="T840" i="5" a="1"/>
  <c r="T840" i="5" s="1"/>
  <c r="T841" i="5" a="1"/>
  <c r="T841" i="5"/>
  <c r="T842" i="5" a="1"/>
  <c r="T842" i="5" s="1"/>
  <c r="T843" i="5" a="1"/>
  <c r="T843" i="5"/>
  <c r="T844" i="5" a="1"/>
  <c r="T844" i="5" s="1"/>
  <c r="T845" i="5" a="1"/>
  <c r="T845" i="5"/>
  <c r="T846" i="5" a="1"/>
  <c r="T846" i="5" s="1"/>
  <c r="T847" i="5" a="1"/>
  <c r="T847" i="5"/>
  <c r="T848" i="5" a="1"/>
  <c r="T848" i="5" s="1"/>
  <c r="T849" i="5" a="1"/>
  <c r="T849" i="5"/>
  <c r="T850" i="5" a="1"/>
  <c r="T850" i="5" s="1"/>
  <c r="T851" i="5" a="1"/>
  <c r="T851" i="5"/>
  <c r="T852" i="5" a="1"/>
  <c r="T852" i="5" s="1"/>
  <c r="T853" i="5" a="1"/>
  <c r="T853" i="5"/>
  <c r="T854" i="5" a="1"/>
  <c r="T854" i="5" s="1"/>
  <c r="T855" i="5" a="1"/>
  <c r="T855" i="5"/>
  <c r="T856" i="5" a="1"/>
  <c r="T856" i="5" s="1"/>
  <c r="T857" i="5" a="1"/>
  <c r="T857" i="5"/>
  <c r="T858" i="5" a="1"/>
  <c r="T858" i="5" s="1"/>
  <c r="T859" i="5" a="1"/>
  <c r="T859" i="5"/>
  <c r="T860" i="5" a="1"/>
  <c r="T860" i="5" s="1"/>
  <c r="T861" i="5" a="1"/>
  <c r="T861" i="5"/>
  <c r="T862" i="5" a="1"/>
  <c r="T862" i="5" s="1"/>
  <c r="T863" i="5" a="1"/>
  <c r="T863" i="5"/>
  <c r="T864" i="5" a="1"/>
  <c r="T864" i="5" s="1"/>
  <c r="T865" i="5" a="1"/>
  <c r="T865" i="5"/>
  <c r="T866" i="5" a="1"/>
  <c r="T866" i="5" s="1"/>
  <c r="T867" i="5" a="1"/>
  <c r="T867" i="5"/>
  <c r="T868" i="5" a="1"/>
  <c r="T868" i="5" s="1"/>
  <c r="T869" i="5" a="1"/>
  <c r="T869" i="5"/>
  <c r="T870" i="5" a="1"/>
  <c r="T870" i="5" s="1"/>
  <c r="T871" i="5" a="1"/>
  <c r="T871" i="5"/>
  <c r="T872" i="5" a="1"/>
  <c r="T872" i="5" s="1"/>
  <c r="T873" i="5" a="1"/>
  <c r="T873" i="5"/>
  <c r="T874" i="5" a="1"/>
  <c r="T874" i="5" s="1"/>
  <c r="T875" i="5" a="1"/>
  <c r="T875" i="5"/>
  <c r="T876" i="5" a="1"/>
  <c r="T876" i="5" s="1"/>
  <c r="T877" i="5" a="1"/>
  <c r="T877" i="5"/>
  <c r="T878" i="5" a="1"/>
  <c r="T878" i="5" s="1"/>
  <c r="T879" i="5" a="1"/>
  <c r="T879" i="5"/>
  <c r="T880" i="5" a="1"/>
  <c r="T880" i="5" s="1"/>
  <c r="T881" i="5" a="1"/>
  <c r="T881" i="5"/>
  <c r="T882" i="5" a="1"/>
  <c r="T882" i="5" s="1"/>
  <c r="T883" i="5" a="1"/>
  <c r="T883" i="5"/>
  <c r="T884" i="5" a="1"/>
  <c r="T884" i="5" s="1"/>
  <c r="T885" i="5" a="1"/>
  <c r="T885" i="5"/>
  <c r="T886" i="5" a="1"/>
  <c r="T886" i="5" s="1"/>
  <c r="T887" i="5" a="1"/>
  <c r="T887" i="5" s="1"/>
  <c r="T888" i="5" a="1"/>
  <c r="T888" i="5" s="1"/>
  <c r="T889" i="5" a="1"/>
  <c r="T889" i="5" s="1"/>
  <c r="T890" i="5" a="1"/>
  <c r="T890" i="5" s="1"/>
  <c r="T891" i="5" a="1"/>
  <c r="T891" i="5" s="1"/>
  <c r="T892" i="5" a="1"/>
  <c r="T892" i="5" s="1"/>
  <c r="T893" i="5" a="1"/>
  <c r="T893" i="5" s="1"/>
  <c r="T894" i="5" a="1"/>
  <c r="T894" i="5" s="1"/>
  <c r="T895" i="5" a="1"/>
  <c r="T895" i="5" s="1"/>
  <c r="T896" i="5" a="1"/>
  <c r="T896" i="5" s="1"/>
  <c r="T897" i="5" a="1"/>
  <c r="T897" i="5" s="1"/>
  <c r="T898" i="5" a="1"/>
  <c r="T898" i="5" s="1"/>
  <c r="T899" i="5" a="1"/>
  <c r="T899" i="5" s="1"/>
  <c r="T900" i="5" a="1"/>
  <c r="T900" i="5" s="1"/>
  <c r="T901" i="5" a="1"/>
  <c r="T901" i="5" s="1"/>
  <c r="T902" i="5" a="1"/>
  <c r="T902" i="5" s="1"/>
  <c r="T903" i="5" a="1"/>
  <c r="T903" i="5" s="1"/>
  <c r="T904" i="5" a="1"/>
  <c r="T904" i="5" s="1"/>
  <c r="T905" i="5" a="1"/>
  <c r="T905" i="5" s="1"/>
  <c r="T906" i="5" a="1"/>
  <c r="T906" i="5" s="1"/>
  <c r="T907" i="5" a="1"/>
  <c r="T907" i="5" s="1"/>
  <c r="T908" i="5" a="1"/>
  <c r="T908" i="5" s="1"/>
  <c r="T909" i="5" a="1"/>
  <c r="T909" i="5" s="1"/>
  <c r="T910" i="5" a="1"/>
  <c r="T910" i="5" s="1"/>
  <c r="T911" i="5" a="1"/>
  <c r="T911" i="5" s="1"/>
  <c r="T912" i="5" a="1"/>
  <c r="T912" i="5" s="1"/>
  <c r="T913" i="5" a="1"/>
  <c r="T913" i="5" s="1"/>
  <c r="T914" i="5" a="1"/>
  <c r="T914" i="5" s="1"/>
  <c r="T915" i="5" a="1"/>
  <c r="T915" i="5" s="1"/>
  <c r="T916" i="5" a="1"/>
  <c r="T916" i="5" s="1"/>
  <c r="T917" i="5" a="1"/>
  <c r="T917" i="5" s="1"/>
  <c r="T918" i="5" a="1"/>
  <c r="T918" i="5" s="1"/>
  <c r="T919" i="5" a="1"/>
  <c r="T919" i="5" s="1"/>
  <c r="T920" i="5" a="1"/>
  <c r="T920" i="5" s="1"/>
  <c r="T921" i="5" a="1"/>
  <c r="T921" i="5" s="1"/>
  <c r="T922" i="5" a="1"/>
  <c r="T922" i="5" s="1"/>
  <c r="T923" i="5" a="1"/>
  <c r="T923" i="5" s="1"/>
  <c r="T924" i="5" a="1"/>
  <c r="T924" i="5" s="1"/>
  <c r="T925" i="5" a="1"/>
  <c r="T925" i="5" s="1"/>
  <c r="T926" i="5" a="1"/>
  <c r="T926" i="5" s="1"/>
  <c r="T927" i="5" a="1"/>
  <c r="T927" i="5" s="1"/>
  <c r="T928" i="5" a="1"/>
  <c r="T928" i="5" s="1"/>
  <c r="T929" i="5" a="1"/>
  <c r="T929" i="5" s="1"/>
  <c r="T930" i="5" a="1"/>
  <c r="T930" i="5" s="1"/>
  <c r="T931" i="5" a="1"/>
  <c r="T931" i="5" s="1"/>
  <c r="T932" i="5" a="1"/>
  <c r="T932" i="5" s="1"/>
  <c r="T933" i="5" a="1"/>
  <c r="T933" i="5" s="1"/>
  <c r="T934" i="5" a="1"/>
  <c r="T934" i="5" s="1"/>
  <c r="T935" i="5" a="1"/>
  <c r="T935" i="5" s="1"/>
  <c r="T936" i="5" a="1"/>
  <c r="T936" i="5" s="1"/>
  <c r="T937" i="5" a="1"/>
  <c r="T937" i="5" s="1"/>
  <c r="T938" i="5" a="1"/>
  <c r="T938" i="5" s="1"/>
  <c r="T939" i="5" a="1"/>
  <c r="T939" i="5" s="1"/>
  <c r="T940" i="5" a="1"/>
  <c r="T940" i="5" s="1"/>
  <c r="T941" i="5" a="1"/>
  <c r="T941" i="5" s="1"/>
  <c r="T942" i="5" a="1"/>
  <c r="T942" i="5" s="1"/>
  <c r="T943" i="5" a="1"/>
  <c r="T943" i="5" s="1"/>
  <c r="T944" i="5" a="1"/>
  <c r="T944" i="5" s="1"/>
  <c r="T945" i="5" a="1"/>
  <c r="T945" i="5" s="1"/>
  <c r="T946" i="5" a="1"/>
  <c r="T946" i="5" s="1"/>
  <c r="T947" i="5" a="1"/>
  <c r="T947" i="5" s="1"/>
  <c r="T948" i="5" a="1"/>
  <c r="T948" i="5" s="1"/>
  <c r="T949" i="5" a="1"/>
  <c r="T949" i="5" s="1"/>
  <c r="T950" i="5" a="1"/>
  <c r="T950" i="5" s="1"/>
  <c r="T951" i="5" a="1"/>
  <c r="T951" i="5" s="1"/>
  <c r="T952" i="5" a="1"/>
  <c r="T952" i="5" s="1"/>
  <c r="T953" i="5" a="1"/>
  <c r="T953" i="5" s="1"/>
  <c r="T954" i="5" a="1"/>
  <c r="T954" i="5" s="1"/>
  <c r="T955" i="5" a="1"/>
  <c r="T955" i="5" s="1"/>
  <c r="T956" i="5" a="1"/>
  <c r="T956" i="5" s="1"/>
  <c r="T957" i="5" a="1"/>
  <c r="T957" i="5" s="1"/>
  <c r="T958" i="5" a="1"/>
  <c r="T958" i="5" s="1"/>
  <c r="T959" i="5" a="1"/>
  <c r="T959" i="5" s="1"/>
  <c r="T960" i="5" a="1"/>
  <c r="T960" i="5" s="1"/>
  <c r="T961" i="5" a="1"/>
  <c r="T961" i="5" s="1"/>
  <c r="T962" i="5" a="1"/>
  <c r="T962" i="5" s="1"/>
  <c r="T963" i="5" a="1"/>
  <c r="T963" i="5" s="1"/>
  <c r="T964" i="5" a="1"/>
  <c r="T964" i="5" s="1"/>
  <c r="T965" i="5" a="1"/>
  <c r="T965" i="5" s="1"/>
  <c r="T966" i="5" a="1"/>
  <c r="T966" i="5" s="1"/>
  <c r="T967" i="5" a="1"/>
  <c r="T967" i="5" s="1"/>
  <c r="T968" i="5" a="1"/>
  <c r="T968" i="5" s="1"/>
  <c r="T969" i="5" a="1"/>
  <c r="T969" i="5" s="1"/>
  <c r="T970" i="5" a="1"/>
  <c r="T970" i="5" s="1"/>
  <c r="T971" i="5" a="1"/>
  <c r="T971" i="5" s="1"/>
  <c r="T972" i="5" a="1"/>
  <c r="T972" i="5" s="1"/>
  <c r="T973" i="5" a="1"/>
  <c r="T973" i="5" s="1"/>
  <c r="T974" i="5" a="1"/>
  <c r="T974" i="5" s="1"/>
  <c r="T975" i="5" a="1"/>
  <c r="T975" i="5" s="1"/>
  <c r="T976" i="5" a="1"/>
  <c r="T976" i="5" s="1"/>
  <c r="T977" i="5" a="1"/>
  <c r="T977" i="5" s="1"/>
  <c r="T978" i="5" a="1"/>
  <c r="T978" i="5" s="1"/>
  <c r="T979" i="5" a="1"/>
  <c r="T979" i="5" s="1"/>
  <c r="T980" i="5" a="1"/>
  <c r="T980" i="5" s="1"/>
  <c r="T981" i="5" a="1"/>
  <c r="T981" i="5" s="1"/>
  <c r="T982" i="5" a="1"/>
  <c r="T982" i="5" s="1"/>
  <c r="T983" i="5" a="1"/>
  <c r="T983" i="5" s="1"/>
  <c r="T984" i="5" a="1"/>
  <c r="T984" i="5" s="1"/>
  <c r="T985" i="5" a="1"/>
  <c r="T985" i="5" s="1"/>
  <c r="T986" i="5" a="1"/>
  <c r="T986" i="5" s="1"/>
  <c r="T987" i="5" a="1"/>
  <c r="T987" i="5" s="1"/>
  <c r="T988" i="5" a="1"/>
  <c r="T988" i="5" s="1"/>
  <c r="T989" i="5" a="1"/>
  <c r="T989" i="5" s="1"/>
  <c r="T990" i="5" a="1"/>
  <c r="T990" i="5" s="1"/>
  <c r="T991" i="5" a="1"/>
  <c r="T991" i="5" s="1"/>
  <c r="T992" i="5" a="1"/>
  <c r="T992" i="5" s="1"/>
  <c r="T993" i="5" a="1"/>
  <c r="T993" i="5" s="1"/>
  <c r="T994" i="5" a="1"/>
  <c r="T994" i="5" s="1"/>
  <c r="T995" i="5" a="1"/>
  <c r="T995" i="5" s="1"/>
  <c r="T996" i="5" a="1"/>
  <c r="T996" i="5" s="1"/>
  <c r="T997" i="5" a="1"/>
  <c r="T997" i="5" s="1"/>
  <c r="T998" i="5" a="1"/>
  <c r="T998" i="5" s="1"/>
  <c r="T999" i="5" a="1"/>
  <c r="T999" i="5" s="1"/>
  <c r="T1000" i="5" a="1"/>
  <c r="T1000" i="5" s="1"/>
  <c r="T1001" i="5" a="1"/>
  <c r="T1001" i="5" s="1"/>
  <c r="S3" i="5"/>
  <c r="S4" i="5"/>
  <c r="S5" i="5"/>
  <c r="S6" i="5"/>
  <c r="S7" i="5"/>
  <c r="S8" i="5"/>
  <c r="S9" i="5"/>
  <c r="S10" i="5"/>
  <c r="S11" i="5"/>
  <c r="S12" i="5"/>
  <c r="S13" i="5"/>
  <c r="S14" i="5"/>
  <c r="S15" i="5"/>
  <c r="S16" i="5"/>
  <c r="S17" i="5"/>
  <c r="S18" i="5"/>
  <c r="S19" i="5"/>
  <c r="S20" i="5"/>
  <c r="S21" i="5"/>
  <c r="S22" i="5"/>
  <c r="S23" i="5"/>
  <c r="S24" i="5"/>
  <c r="S25" i="5"/>
  <c r="S26" i="5"/>
  <c r="S27" i="5"/>
  <c r="S28" i="5"/>
  <c r="S29" i="5"/>
  <c r="S30" i="5"/>
  <c r="S31" i="5"/>
  <c r="S32" i="5"/>
  <c r="S33" i="5"/>
  <c r="S34" i="5"/>
  <c r="S35" i="5"/>
  <c r="S36" i="5"/>
  <c r="S37" i="5"/>
  <c r="S38" i="5"/>
  <c r="S39" i="5"/>
  <c r="S40" i="5"/>
  <c r="S41" i="5"/>
  <c r="S42" i="5"/>
  <c r="S43" i="5"/>
  <c r="S44" i="5"/>
  <c r="S45" i="5"/>
  <c r="S46" i="5"/>
  <c r="S47" i="5"/>
  <c r="S48" i="5"/>
  <c r="S49" i="5"/>
  <c r="S50" i="5"/>
  <c r="S51" i="5"/>
  <c r="S52" i="5"/>
  <c r="S53" i="5"/>
  <c r="S54" i="5"/>
  <c r="S55" i="5"/>
  <c r="S56" i="5"/>
  <c r="S57" i="5"/>
  <c r="S58" i="5"/>
  <c r="S59" i="5"/>
  <c r="S60" i="5"/>
  <c r="S61" i="5"/>
  <c r="S62" i="5"/>
  <c r="S63" i="5"/>
  <c r="S64" i="5"/>
  <c r="S65" i="5"/>
  <c r="S66" i="5"/>
  <c r="S67" i="5"/>
  <c r="S68" i="5"/>
  <c r="S69" i="5"/>
  <c r="S70" i="5"/>
  <c r="S71" i="5"/>
  <c r="S72" i="5"/>
  <c r="S73" i="5"/>
  <c r="S74" i="5"/>
  <c r="S75" i="5"/>
  <c r="S76" i="5"/>
  <c r="S77" i="5"/>
  <c r="S78" i="5"/>
  <c r="S79" i="5"/>
  <c r="S80" i="5"/>
  <c r="S81" i="5"/>
  <c r="S82" i="5"/>
  <c r="S83" i="5"/>
  <c r="S84" i="5"/>
  <c r="S85" i="5"/>
  <c r="S86" i="5"/>
  <c r="S87" i="5"/>
  <c r="S88" i="5"/>
  <c r="S89" i="5"/>
  <c r="S90" i="5"/>
  <c r="S91" i="5"/>
  <c r="S92" i="5"/>
  <c r="S93" i="5"/>
  <c r="S94" i="5"/>
  <c r="S95" i="5"/>
  <c r="S96" i="5"/>
  <c r="S97" i="5"/>
  <c r="S98" i="5"/>
  <c r="S99" i="5"/>
  <c r="S100" i="5"/>
  <c r="S101" i="5"/>
  <c r="S102" i="5"/>
  <c r="S103" i="5"/>
  <c r="S104" i="5"/>
  <c r="S105" i="5"/>
  <c r="S106" i="5"/>
  <c r="S107" i="5"/>
  <c r="S108" i="5"/>
  <c r="S109" i="5"/>
  <c r="S110" i="5"/>
  <c r="S111" i="5"/>
  <c r="S112" i="5"/>
  <c r="S113" i="5"/>
  <c r="S114" i="5"/>
  <c r="S115" i="5"/>
  <c r="S116" i="5"/>
  <c r="S117" i="5"/>
  <c r="S118" i="5"/>
  <c r="S119" i="5"/>
  <c r="S120" i="5"/>
  <c r="S121" i="5"/>
  <c r="S122" i="5"/>
  <c r="S123" i="5"/>
  <c r="S124" i="5"/>
  <c r="S125" i="5"/>
  <c r="S126" i="5"/>
  <c r="S127" i="5"/>
  <c r="S128" i="5"/>
  <c r="S129" i="5"/>
  <c r="S130" i="5"/>
  <c r="S131" i="5"/>
  <c r="S132" i="5"/>
  <c r="S133" i="5"/>
  <c r="S134" i="5"/>
  <c r="S135" i="5"/>
  <c r="S136" i="5"/>
  <c r="S137" i="5"/>
  <c r="S138" i="5"/>
  <c r="S139" i="5"/>
  <c r="S140" i="5"/>
  <c r="S141" i="5"/>
  <c r="S142" i="5"/>
  <c r="S143" i="5"/>
  <c r="S144" i="5"/>
  <c r="S145" i="5"/>
  <c r="S146" i="5"/>
  <c r="S147" i="5"/>
  <c r="S148" i="5"/>
  <c r="S149" i="5"/>
  <c r="S150" i="5"/>
  <c r="S151" i="5"/>
  <c r="S152" i="5"/>
  <c r="S153" i="5"/>
  <c r="S154" i="5"/>
  <c r="S155" i="5"/>
  <c r="S156" i="5"/>
  <c r="S157" i="5"/>
  <c r="S158" i="5"/>
  <c r="S159" i="5"/>
  <c r="S160" i="5"/>
  <c r="S161" i="5"/>
  <c r="S162" i="5"/>
  <c r="S163" i="5"/>
  <c r="S164" i="5"/>
  <c r="S165" i="5"/>
  <c r="S166" i="5"/>
  <c r="S167" i="5"/>
  <c r="S168" i="5"/>
  <c r="S169" i="5"/>
  <c r="S170" i="5"/>
  <c r="S171" i="5"/>
  <c r="S172" i="5"/>
  <c r="S173" i="5"/>
  <c r="S174" i="5"/>
  <c r="S175" i="5"/>
  <c r="S176" i="5"/>
  <c r="S177" i="5"/>
  <c r="S178" i="5"/>
  <c r="S179" i="5"/>
  <c r="S180" i="5"/>
  <c r="S181" i="5"/>
  <c r="S182" i="5"/>
  <c r="S183" i="5"/>
  <c r="S184" i="5"/>
  <c r="S185" i="5"/>
  <c r="S186" i="5"/>
  <c r="S187" i="5"/>
  <c r="S188" i="5"/>
  <c r="S189" i="5"/>
  <c r="S190" i="5"/>
  <c r="S191" i="5"/>
  <c r="S192" i="5"/>
  <c r="S193" i="5"/>
  <c r="S194" i="5"/>
  <c r="S195" i="5"/>
  <c r="S196" i="5"/>
  <c r="S197" i="5"/>
  <c r="S198" i="5"/>
  <c r="S199" i="5"/>
  <c r="S200" i="5"/>
  <c r="S201" i="5"/>
  <c r="S202" i="5"/>
  <c r="S203" i="5"/>
  <c r="S204" i="5"/>
  <c r="S205" i="5"/>
  <c r="S206" i="5"/>
  <c r="S207" i="5"/>
  <c r="S208" i="5"/>
  <c r="S209" i="5"/>
  <c r="S210" i="5"/>
  <c r="S211" i="5"/>
  <c r="S212" i="5"/>
  <c r="S213" i="5"/>
  <c r="S214" i="5"/>
  <c r="S215" i="5"/>
  <c r="S216" i="5"/>
  <c r="S217" i="5"/>
  <c r="S218" i="5"/>
  <c r="S219" i="5"/>
  <c r="S220" i="5"/>
  <c r="S221" i="5"/>
  <c r="S222" i="5"/>
  <c r="S223" i="5"/>
  <c r="S224" i="5"/>
  <c r="S225" i="5"/>
  <c r="S226" i="5"/>
  <c r="S227" i="5"/>
  <c r="S228" i="5"/>
  <c r="S229" i="5"/>
  <c r="S230" i="5"/>
  <c r="S231" i="5"/>
  <c r="S232" i="5"/>
  <c r="S233" i="5"/>
  <c r="S234" i="5"/>
  <c r="S235" i="5"/>
  <c r="S236" i="5"/>
  <c r="S237" i="5"/>
  <c r="S238" i="5"/>
  <c r="S239" i="5"/>
  <c r="S240" i="5"/>
  <c r="S241" i="5"/>
  <c r="S242" i="5"/>
  <c r="S243" i="5"/>
  <c r="S244" i="5"/>
  <c r="S245" i="5"/>
  <c r="S246" i="5"/>
  <c r="S247" i="5"/>
  <c r="S248" i="5"/>
  <c r="S249" i="5"/>
  <c r="S250" i="5"/>
  <c r="S251" i="5"/>
  <c r="S252" i="5"/>
  <c r="S253" i="5"/>
  <c r="S254" i="5"/>
  <c r="S255" i="5"/>
  <c r="S256" i="5"/>
  <c r="S257" i="5"/>
  <c r="S258" i="5"/>
  <c r="S259" i="5"/>
  <c r="S260" i="5"/>
  <c r="S261" i="5"/>
  <c r="S262" i="5"/>
  <c r="S263" i="5"/>
  <c r="S264" i="5"/>
  <c r="S265" i="5"/>
  <c r="S266" i="5"/>
  <c r="S267" i="5"/>
  <c r="S268" i="5"/>
  <c r="S269" i="5"/>
  <c r="S270" i="5"/>
  <c r="S271" i="5"/>
  <c r="S272" i="5"/>
  <c r="S273" i="5"/>
  <c r="S274" i="5"/>
  <c r="S275" i="5"/>
  <c r="S276" i="5"/>
  <c r="S277" i="5"/>
  <c r="S278" i="5"/>
  <c r="S279" i="5"/>
  <c r="S280" i="5"/>
  <c r="S281" i="5"/>
  <c r="S282" i="5"/>
  <c r="S283" i="5"/>
  <c r="S284" i="5"/>
  <c r="S285" i="5"/>
  <c r="S286" i="5"/>
  <c r="S287" i="5"/>
  <c r="S288" i="5"/>
  <c r="S289" i="5"/>
  <c r="S290" i="5"/>
  <c r="S291" i="5"/>
  <c r="S292" i="5"/>
  <c r="S293" i="5"/>
  <c r="S294" i="5"/>
  <c r="S295" i="5"/>
  <c r="S296" i="5"/>
  <c r="S297" i="5"/>
  <c r="S298" i="5"/>
  <c r="S299" i="5"/>
  <c r="S300" i="5"/>
  <c r="S301" i="5"/>
  <c r="S302" i="5"/>
  <c r="S303" i="5"/>
  <c r="S304" i="5"/>
  <c r="S305" i="5"/>
  <c r="S306" i="5"/>
  <c r="S307" i="5"/>
  <c r="S308" i="5"/>
  <c r="S309" i="5"/>
  <c r="S310" i="5"/>
  <c r="S311" i="5"/>
  <c r="S312" i="5"/>
  <c r="S313" i="5"/>
  <c r="S314" i="5"/>
  <c r="S315" i="5"/>
  <c r="S316" i="5"/>
  <c r="S317" i="5"/>
  <c r="S318" i="5"/>
  <c r="S319" i="5"/>
  <c r="S320" i="5"/>
  <c r="S321" i="5"/>
  <c r="S322" i="5"/>
  <c r="S323" i="5"/>
  <c r="S324" i="5"/>
  <c r="S325" i="5"/>
  <c r="S326" i="5"/>
  <c r="S327" i="5"/>
  <c r="S328" i="5"/>
  <c r="S329" i="5"/>
  <c r="S330" i="5"/>
  <c r="S331" i="5"/>
  <c r="S332" i="5"/>
  <c r="S333" i="5"/>
  <c r="S334" i="5"/>
  <c r="S335" i="5"/>
  <c r="S336" i="5"/>
  <c r="S337" i="5"/>
  <c r="S338" i="5"/>
  <c r="S339" i="5"/>
  <c r="S340" i="5"/>
  <c r="S341" i="5"/>
  <c r="S342" i="5"/>
  <c r="S343" i="5"/>
  <c r="S344" i="5"/>
  <c r="S345" i="5"/>
  <c r="S346" i="5"/>
  <c r="S347" i="5"/>
  <c r="S348" i="5"/>
  <c r="S349" i="5"/>
  <c r="S350" i="5"/>
  <c r="S351" i="5"/>
  <c r="S352" i="5"/>
  <c r="S353" i="5"/>
  <c r="S354" i="5"/>
  <c r="S355" i="5"/>
  <c r="S356" i="5"/>
  <c r="S357" i="5"/>
  <c r="S358" i="5"/>
  <c r="S359" i="5"/>
  <c r="S360" i="5"/>
  <c r="S361" i="5"/>
  <c r="S362" i="5"/>
  <c r="S363" i="5"/>
  <c r="S364" i="5"/>
  <c r="S365" i="5"/>
  <c r="S366" i="5"/>
  <c r="S367" i="5"/>
  <c r="S368" i="5"/>
  <c r="S369" i="5"/>
  <c r="S370" i="5"/>
  <c r="S371" i="5"/>
  <c r="S372" i="5"/>
  <c r="S373" i="5"/>
  <c r="S374" i="5"/>
  <c r="S375" i="5"/>
  <c r="S376" i="5"/>
  <c r="S377" i="5"/>
  <c r="S378" i="5"/>
  <c r="S379" i="5"/>
  <c r="S380" i="5"/>
  <c r="S381" i="5"/>
  <c r="S382" i="5"/>
  <c r="S383" i="5"/>
  <c r="S384" i="5"/>
  <c r="S385" i="5"/>
  <c r="S386" i="5"/>
  <c r="S387" i="5"/>
  <c r="S388" i="5"/>
  <c r="S389" i="5"/>
  <c r="S390" i="5"/>
  <c r="S391" i="5"/>
  <c r="S392" i="5"/>
  <c r="S393" i="5"/>
  <c r="S394" i="5"/>
  <c r="S395" i="5"/>
  <c r="S396" i="5"/>
  <c r="S397" i="5"/>
  <c r="S398" i="5"/>
  <c r="S399" i="5"/>
  <c r="S400" i="5"/>
  <c r="S401" i="5"/>
  <c r="S402" i="5"/>
  <c r="S403" i="5"/>
  <c r="S404" i="5"/>
  <c r="S405" i="5"/>
  <c r="S406" i="5"/>
  <c r="S407" i="5"/>
  <c r="S408" i="5"/>
  <c r="S409" i="5"/>
  <c r="S410" i="5"/>
  <c r="S411" i="5"/>
  <c r="S412" i="5"/>
  <c r="S413" i="5"/>
  <c r="S414" i="5"/>
  <c r="S415" i="5"/>
  <c r="S416" i="5"/>
  <c r="S417" i="5"/>
  <c r="S418" i="5"/>
  <c r="S419" i="5"/>
  <c r="S420" i="5"/>
  <c r="S421" i="5"/>
  <c r="S422" i="5"/>
  <c r="S423" i="5"/>
  <c r="S424" i="5"/>
  <c r="S425" i="5"/>
  <c r="S426" i="5"/>
  <c r="S427" i="5"/>
  <c r="S428" i="5"/>
  <c r="S429" i="5"/>
  <c r="S430" i="5"/>
  <c r="S431" i="5"/>
  <c r="S432" i="5"/>
  <c r="S433" i="5"/>
  <c r="S434" i="5"/>
  <c r="S435" i="5"/>
  <c r="S436" i="5"/>
  <c r="S437" i="5"/>
  <c r="S438" i="5"/>
  <c r="S439" i="5"/>
  <c r="S440" i="5"/>
  <c r="S441" i="5"/>
  <c r="S442" i="5"/>
  <c r="S443" i="5"/>
  <c r="S444" i="5"/>
  <c r="S445" i="5"/>
  <c r="S446" i="5"/>
  <c r="S447" i="5"/>
  <c r="S448" i="5"/>
  <c r="S449" i="5"/>
  <c r="S450" i="5"/>
  <c r="S451" i="5"/>
  <c r="S452" i="5"/>
  <c r="S453" i="5"/>
  <c r="S454" i="5"/>
  <c r="S455" i="5"/>
  <c r="S456" i="5"/>
  <c r="S457" i="5"/>
  <c r="S458" i="5"/>
  <c r="S459" i="5"/>
  <c r="S460" i="5"/>
  <c r="S461" i="5"/>
  <c r="S462" i="5"/>
  <c r="S463" i="5"/>
  <c r="S464" i="5"/>
  <c r="S465" i="5"/>
  <c r="S466" i="5"/>
  <c r="S467" i="5"/>
  <c r="S468" i="5"/>
  <c r="S469" i="5"/>
  <c r="S470" i="5"/>
  <c r="S471" i="5"/>
  <c r="S472" i="5"/>
  <c r="S473" i="5"/>
  <c r="S474" i="5"/>
  <c r="S475" i="5"/>
  <c r="S476" i="5"/>
  <c r="S477" i="5"/>
  <c r="S478" i="5"/>
  <c r="S479" i="5"/>
  <c r="S480" i="5"/>
  <c r="S481" i="5"/>
  <c r="S482" i="5"/>
  <c r="S483" i="5"/>
  <c r="S484" i="5"/>
  <c r="S485" i="5"/>
  <c r="S486" i="5"/>
  <c r="S487" i="5"/>
  <c r="S488" i="5"/>
  <c r="S489" i="5"/>
  <c r="S490" i="5"/>
  <c r="S491" i="5"/>
  <c r="S492" i="5"/>
  <c r="S493" i="5"/>
  <c r="S494" i="5"/>
  <c r="S495" i="5"/>
  <c r="S496" i="5"/>
  <c r="S497" i="5"/>
  <c r="S498" i="5"/>
  <c r="S499" i="5"/>
  <c r="S500" i="5"/>
  <c r="S501" i="5"/>
  <c r="S502" i="5"/>
  <c r="S503" i="5"/>
  <c r="S504" i="5"/>
  <c r="S505" i="5"/>
  <c r="S506" i="5"/>
  <c r="S507" i="5"/>
  <c r="S508" i="5"/>
  <c r="S509" i="5"/>
  <c r="S510" i="5"/>
  <c r="S511" i="5"/>
  <c r="S512" i="5"/>
  <c r="S513" i="5"/>
  <c r="S514" i="5"/>
  <c r="S515" i="5"/>
  <c r="S516" i="5"/>
  <c r="S517" i="5"/>
  <c r="S518" i="5"/>
  <c r="S519" i="5"/>
  <c r="S520" i="5"/>
  <c r="S521" i="5"/>
  <c r="S522" i="5"/>
  <c r="S523" i="5"/>
  <c r="S524" i="5"/>
  <c r="S525" i="5"/>
  <c r="S526" i="5"/>
  <c r="S527" i="5"/>
  <c r="S528" i="5"/>
  <c r="S529" i="5"/>
  <c r="S530" i="5"/>
  <c r="S531" i="5"/>
  <c r="S532" i="5"/>
  <c r="S533" i="5"/>
  <c r="S534" i="5"/>
  <c r="S535" i="5"/>
  <c r="S536" i="5"/>
  <c r="S537" i="5"/>
  <c r="S538" i="5"/>
  <c r="S539" i="5"/>
  <c r="S540" i="5"/>
  <c r="S541" i="5"/>
  <c r="S542" i="5"/>
  <c r="S543" i="5"/>
  <c r="S544" i="5"/>
  <c r="S545" i="5"/>
  <c r="S546" i="5"/>
  <c r="S547" i="5"/>
  <c r="S548" i="5"/>
  <c r="S549" i="5"/>
  <c r="S550" i="5"/>
  <c r="S551" i="5"/>
  <c r="S552" i="5"/>
  <c r="S553" i="5"/>
  <c r="S554" i="5"/>
  <c r="S555" i="5"/>
  <c r="S556" i="5"/>
  <c r="S557" i="5"/>
  <c r="S558" i="5"/>
  <c r="S559" i="5"/>
  <c r="S560" i="5"/>
  <c r="S561" i="5"/>
  <c r="S562" i="5"/>
  <c r="S563" i="5"/>
  <c r="S564" i="5"/>
  <c r="S565" i="5"/>
  <c r="S566" i="5"/>
  <c r="S567" i="5"/>
  <c r="S568" i="5"/>
  <c r="S569" i="5"/>
  <c r="S570" i="5"/>
  <c r="S571" i="5"/>
  <c r="S572" i="5"/>
  <c r="S573" i="5"/>
  <c r="S574" i="5"/>
  <c r="S575" i="5"/>
  <c r="S576" i="5"/>
  <c r="S577" i="5"/>
  <c r="S578" i="5"/>
  <c r="S579" i="5"/>
  <c r="S580" i="5"/>
  <c r="S581" i="5"/>
  <c r="S582" i="5"/>
  <c r="S583" i="5"/>
  <c r="S584" i="5"/>
  <c r="S585" i="5"/>
  <c r="S586" i="5"/>
  <c r="S587" i="5"/>
  <c r="S588" i="5"/>
  <c r="S589" i="5"/>
  <c r="S590" i="5"/>
  <c r="S591" i="5"/>
  <c r="S592" i="5"/>
  <c r="S593" i="5"/>
  <c r="S594" i="5"/>
  <c r="S595" i="5"/>
  <c r="S596" i="5"/>
  <c r="S597" i="5"/>
  <c r="S598" i="5"/>
  <c r="S599" i="5"/>
  <c r="S600" i="5"/>
  <c r="S601" i="5"/>
  <c r="S602" i="5"/>
  <c r="S603" i="5"/>
  <c r="S604" i="5"/>
  <c r="S605" i="5"/>
  <c r="S606" i="5"/>
  <c r="S607" i="5"/>
  <c r="S608" i="5"/>
  <c r="S609" i="5"/>
  <c r="S610" i="5"/>
  <c r="S611" i="5"/>
  <c r="S612" i="5"/>
  <c r="S613" i="5"/>
  <c r="S614" i="5"/>
  <c r="S615" i="5"/>
  <c r="S616" i="5"/>
  <c r="S617" i="5"/>
  <c r="S618" i="5"/>
  <c r="S619" i="5"/>
  <c r="S620" i="5"/>
  <c r="S621" i="5"/>
  <c r="S622" i="5"/>
  <c r="S623" i="5"/>
  <c r="S624" i="5"/>
  <c r="S625" i="5"/>
  <c r="S626" i="5"/>
  <c r="S627" i="5"/>
  <c r="S628" i="5"/>
  <c r="S629" i="5"/>
  <c r="S630" i="5"/>
  <c r="S631" i="5"/>
  <c r="S632" i="5"/>
  <c r="S633" i="5"/>
  <c r="S634" i="5"/>
  <c r="S635" i="5"/>
  <c r="S636" i="5"/>
  <c r="S637" i="5"/>
  <c r="S638" i="5"/>
  <c r="S639" i="5"/>
  <c r="S640" i="5"/>
  <c r="S641" i="5"/>
  <c r="S642" i="5"/>
  <c r="S643" i="5"/>
  <c r="S644" i="5"/>
  <c r="S645" i="5"/>
  <c r="S646" i="5"/>
  <c r="S647" i="5"/>
  <c r="S648" i="5"/>
  <c r="S649" i="5"/>
  <c r="S650" i="5"/>
  <c r="S651" i="5"/>
  <c r="S652" i="5"/>
  <c r="S653" i="5"/>
  <c r="S654" i="5"/>
  <c r="S655" i="5"/>
  <c r="S656" i="5"/>
  <c r="S657" i="5"/>
  <c r="S658" i="5"/>
  <c r="S659" i="5"/>
  <c r="S660" i="5"/>
  <c r="S661" i="5"/>
  <c r="S662" i="5"/>
  <c r="S663" i="5"/>
  <c r="S664" i="5"/>
  <c r="S665" i="5"/>
  <c r="S666" i="5"/>
  <c r="S667" i="5"/>
  <c r="S668" i="5"/>
  <c r="S669" i="5"/>
  <c r="S670" i="5"/>
  <c r="S671" i="5"/>
  <c r="S672" i="5"/>
  <c r="S673" i="5"/>
  <c r="S674" i="5"/>
  <c r="S675" i="5"/>
  <c r="S676" i="5"/>
  <c r="S677" i="5"/>
  <c r="S678" i="5"/>
  <c r="S679" i="5"/>
  <c r="S680" i="5"/>
  <c r="S681" i="5"/>
  <c r="S682" i="5"/>
  <c r="S683" i="5"/>
  <c r="S684" i="5"/>
  <c r="S685" i="5"/>
  <c r="S686" i="5"/>
  <c r="S687" i="5"/>
  <c r="S688" i="5"/>
  <c r="S689" i="5"/>
  <c r="S690" i="5"/>
  <c r="S691" i="5"/>
  <c r="S692" i="5"/>
  <c r="S693" i="5"/>
  <c r="S694" i="5"/>
  <c r="S695" i="5"/>
  <c r="S696" i="5"/>
  <c r="S697" i="5"/>
  <c r="S698" i="5"/>
  <c r="S699" i="5"/>
  <c r="S700" i="5"/>
  <c r="S701" i="5"/>
  <c r="S702" i="5"/>
  <c r="S703" i="5"/>
  <c r="S704" i="5"/>
  <c r="S705" i="5"/>
  <c r="S706" i="5"/>
  <c r="S707" i="5"/>
  <c r="S708" i="5"/>
  <c r="S709" i="5"/>
  <c r="S710" i="5"/>
  <c r="S711" i="5"/>
  <c r="S712" i="5"/>
  <c r="S713" i="5"/>
  <c r="S714" i="5"/>
  <c r="S715" i="5"/>
  <c r="S716" i="5"/>
  <c r="S717" i="5"/>
  <c r="S718" i="5"/>
  <c r="S719" i="5"/>
  <c r="S720" i="5"/>
  <c r="S721" i="5"/>
  <c r="S722" i="5"/>
  <c r="S723" i="5"/>
  <c r="S724" i="5"/>
  <c r="S725" i="5"/>
  <c r="S726" i="5"/>
  <c r="S727" i="5"/>
  <c r="S728" i="5"/>
  <c r="S729" i="5"/>
  <c r="S730" i="5"/>
  <c r="S731" i="5"/>
  <c r="S732" i="5"/>
  <c r="S733" i="5"/>
  <c r="S734" i="5"/>
  <c r="S735" i="5"/>
  <c r="S736" i="5"/>
  <c r="S737" i="5"/>
  <c r="S738" i="5"/>
  <c r="S739" i="5"/>
  <c r="S740" i="5"/>
  <c r="S741" i="5"/>
  <c r="S742" i="5"/>
  <c r="S743" i="5"/>
  <c r="S744" i="5"/>
  <c r="S745" i="5"/>
  <c r="S746" i="5"/>
  <c r="S747" i="5"/>
  <c r="S748" i="5"/>
  <c r="S749" i="5"/>
  <c r="S750" i="5"/>
  <c r="S751" i="5"/>
  <c r="S752" i="5"/>
  <c r="S753" i="5"/>
  <c r="S754" i="5"/>
  <c r="S755" i="5"/>
  <c r="S756" i="5"/>
  <c r="S757" i="5"/>
  <c r="S758" i="5"/>
  <c r="S759" i="5"/>
  <c r="S760" i="5"/>
  <c r="S761" i="5"/>
  <c r="S762" i="5"/>
  <c r="S763" i="5"/>
  <c r="S764" i="5"/>
  <c r="S765" i="5"/>
  <c r="S766" i="5"/>
  <c r="S767" i="5"/>
  <c r="S768" i="5"/>
  <c r="S769" i="5"/>
  <c r="S770" i="5"/>
  <c r="S771" i="5"/>
  <c r="S772" i="5"/>
  <c r="S773" i="5"/>
  <c r="S774" i="5"/>
  <c r="S775" i="5"/>
  <c r="S776" i="5"/>
  <c r="S777" i="5"/>
  <c r="S778" i="5"/>
  <c r="S779" i="5"/>
  <c r="S780" i="5"/>
  <c r="S781" i="5"/>
  <c r="S782" i="5"/>
  <c r="S783" i="5"/>
  <c r="S784" i="5"/>
  <c r="S785" i="5"/>
  <c r="S786" i="5"/>
  <c r="S787" i="5"/>
  <c r="S788" i="5"/>
  <c r="S789" i="5"/>
  <c r="S790" i="5"/>
  <c r="S791" i="5"/>
  <c r="S792" i="5"/>
  <c r="S793" i="5"/>
  <c r="S794" i="5"/>
  <c r="S795" i="5"/>
  <c r="S796" i="5"/>
  <c r="S797" i="5"/>
  <c r="S798" i="5"/>
  <c r="S799" i="5"/>
  <c r="S800" i="5"/>
  <c r="S801" i="5"/>
  <c r="S802" i="5"/>
  <c r="S803" i="5"/>
  <c r="S804" i="5"/>
  <c r="S805" i="5"/>
  <c r="S806" i="5"/>
  <c r="S807" i="5"/>
  <c r="S808" i="5"/>
  <c r="S809" i="5"/>
  <c r="S810" i="5"/>
  <c r="S811" i="5"/>
  <c r="S812" i="5"/>
  <c r="S813" i="5"/>
  <c r="S814" i="5"/>
  <c r="S815" i="5"/>
  <c r="S816" i="5"/>
  <c r="S817" i="5"/>
  <c r="S818" i="5"/>
  <c r="S819" i="5"/>
  <c r="S820" i="5"/>
  <c r="S821" i="5"/>
  <c r="S822" i="5"/>
  <c r="S823" i="5"/>
  <c r="S824" i="5"/>
  <c r="S825" i="5"/>
  <c r="S826" i="5"/>
  <c r="S827" i="5"/>
  <c r="S828" i="5"/>
  <c r="S829" i="5"/>
  <c r="S830" i="5"/>
  <c r="S831" i="5"/>
  <c r="S832" i="5"/>
  <c r="S833" i="5"/>
  <c r="S834" i="5"/>
  <c r="S835" i="5"/>
  <c r="S836" i="5"/>
  <c r="S837" i="5"/>
  <c r="S838" i="5"/>
  <c r="S839" i="5"/>
  <c r="S840" i="5"/>
  <c r="S841" i="5"/>
  <c r="S842" i="5"/>
  <c r="S843" i="5"/>
  <c r="S844" i="5"/>
  <c r="S845" i="5"/>
  <c r="S846" i="5"/>
  <c r="S847" i="5"/>
  <c r="S848" i="5"/>
  <c r="S849" i="5"/>
  <c r="S850" i="5"/>
  <c r="S851" i="5"/>
  <c r="S852" i="5"/>
  <c r="S853" i="5"/>
  <c r="S854" i="5"/>
  <c r="S855" i="5"/>
  <c r="S856" i="5"/>
  <c r="S857" i="5"/>
  <c r="S858" i="5"/>
  <c r="S859" i="5"/>
  <c r="S860" i="5"/>
  <c r="S861" i="5"/>
  <c r="S862" i="5"/>
  <c r="S863" i="5"/>
  <c r="S864" i="5"/>
  <c r="S865" i="5"/>
  <c r="S866" i="5"/>
  <c r="S867" i="5"/>
  <c r="S868" i="5"/>
  <c r="S869" i="5"/>
  <c r="S870" i="5"/>
  <c r="S871" i="5"/>
  <c r="S872" i="5"/>
  <c r="S873" i="5"/>
  <c r="S874" i="5"/>
  <c r="S875" i="5"/>
  <c r="S876" i="5"/>
  <c r="S877" i="5"/>
  <c r="S878" i="5"/>
  <c r="S879" i="5"/>
  <c r="S880" i="5"/>
  <c r="S881" i="5"/>
  <c r="S882" i="5"/>
  <c r="S883" i="5"/>
  <c r="S884" i="5"/>
  <c r="S885" i="5"/>
  <c r="S886" i="5"/>
  <c r="S887" i="5"/>
  <c r="S888" i="5"/>
  <c r="S889" i="5"/>
  <c r="S890" i="5"/>
  <c r="S891" i="5"/>
  <c r="S892" i="5"/>
  <c r="S893" i="5"/>
  <c r="S894" i="5"/>
  <c r="S895" i="5"/>
  <c r="S896" i="5"/>
  <c r="S897" i="5"/>
  <c r="S898" i="5"/>
  <c r="S899" i="5"/>
  <c r="S900" i="5"/>
  <c r="S901" i="5"/>
  <c r="S902" i="5"/>
  <c r="S903" i="5"/>
  <c r="S904" i="5"/>
  <c r="S905" i="5"/>
  <c r="S906" i="5"/>
  <c r="S907" i="5"/>
  <c r="S908" i="5"/>
  <c r="S909" i="5"/>
  <c r="S910" i="5"/>
  <c r="S911" i="5"/>
  <c r="S912" i="5"/>
  <c r="S913" i="5"/>
  <c r="S914" i="5"/>
  <c r="S915" i="5"/>
  <c r="S916" i="5"/>
  <c r="S917" i="5"/>
  <c r="S918" i="5"/>
  <c r="S919" i="5"/>
  <c r="S920" i="5"/>
  <c r="S921" i="5"/>
  <c r="S922" i="5"/>
  <c r="S923" i="5"/>
  <c r="S924" i="5"/>
  <c r="S925" i="5"/>
  <c r="S926" i="5"/>
  <c r="S927" i="5"/>
  <c r="S928" i="5"/>
  <c r="S929" i="5"/>
  <c r="S930" i="5"/>
  <c r="S931" i="5"/>
  <c r="S932" i="5"/>
  <c r="S933" i="5"/>
  <c r="S934" i="5"/>
  <c r="S935" i="5"/>
  <c r="S936" i="5"/>
  <c r="S937" i="5"/>
  <c r="S938" i="5"/>
  <c r="S939" i="5"/>
  <c r="S940" i="5"/>
  <c r="S941" i="5"/>
  <c r="S942" i="5"/>
  <c r="S943" i="5"/>
  <c r="S944" i="5"/>
  <c r="S945" i="5"/>
  <c r="S946" i="5"/>
  <c r="S947" i="5"/>
  <c r="S948" i="5"/>
  <c r="S949" i="5"/>
  <c r="S950" i="5"/>
  <c r="S951" i="5"/>
  <c r="S952" i="5"/>
  <c r="S953" i="5"/>
  <c r="S954" i="5"/>
  <c r="S955" i="5"/>
  <c r="S956" i="5"/>
  <c r="S957" i="5"/>
  <c r="S958" i="5"/>
  <c r="S959" i="5"/>
  <c r="S960" i="5"/>
  <c r="S961" i="5"/>
  <c r="S962" i="5"/>
  <c r="S963" i="5"/>
  <c r="S964" i="5"/>
  <c r="S965" i="5"/>
  <c r="S966" i="5"/>
  <c r="S967" i="5"/>
  <c r="S968" i="5"/>
  <c r="S969" i="5"/>
  <c r="S970" i="5"/>
  <c r="S971" i="5"/>
  <c r="S972" i="5"/>
  <c r="S973" i="5"/>
  <c r="S974" i="5"/>
  <c r="S975" i="5"/>
  <c r="S976" i="5"/>
  <c r="S977" i="5"/>
  <c r="S978" i="5"/>
  <c r="S979" i="5"/>
  <c r="S980" i="5"/>
  <c r="S981" i="5"/>
  <c r="S982" i="5"/>
  <c r="S983" i="5"/>
  <c r="S984" i="5"/>
  <c r="S985" i="5"/>
  <c r="S986" i="5"/>
  <c r="S987" i="5"/>
  <c r="S988" i="5"/>
  <c r="S989" i="5"/>
  <c r="S990" i="5"/>
  <c r="S991" i="5"/>
  <c r="S992" i="5"/>
  <c r="S993" i="5"/>
  <c r="S994" i="5"/>
  <c r="S995" i="5"/>
  <c r="S996" i="5"/>
  <c r="S997" i="5"/>
  <c r="S998" i="5"/>
  <c r="S999" i="5"/>
  <c r="S1000" i="5"/>
  <c r="S1001" i="5"/>
  <c r="S2" i="5"/>
  <c r="R3" i="5"/>
  <c r="R4" i="5"/>
  <c r="R5" i="5"/>
  <c r="R6" i="5"/>
  <c r="R7" i="5"/>
  <c r="R8" i="5"/>
  <c r="R9" i="5"/>
  <c r="R10" i="5"/>
  <c r="R11" i="5"/>
  <c r="R12" i="5"/>
  <c r="R13" i="5"/>
  <c r="R14" i="5"/>
  <c r="R15" i="5"/>
  <c r="R16" i="5"/>
  <c r="R17" i="5"/>
  <c r="R18" i="5"/>
  <c r="R19" i="5"/>
  <c r="R20" i="5"/>
  <c r="R21" i="5"/>
  <c r="R22" i="5"/>
  <c r="R23" i="5"/>
  <c r="R24" i="5"/>
  <c r="R25" i="5"/>
  <c r="R26" i="5"/>
  <c r="R27" i="5"/>
  <c r="R28" i="5"/>
  <c r="R29" i="5"/>
  <c r="R30" i="5"/>
  <c r="R31" i="5"/>
  <c r="R32" i="5"/>
  <c r="R33" i="5"/>
  <c r="R34" i="5"/>
  <c r="R35" i="5"/>
  <c r="R36" i="5"/>
  <c r="R37" i="5"/>
  <c r="R38" i="5"/>
  <c r="R39" i="5"/>
  <c r="R40" i="5"/>
  <c r="R41" i="5"/>
  <c r="R42" i="5"/>
  <c r="R43" i="5"/>
  <c r="R44" i="5"/>
  <c r="R45" i="5"/>
  <c r="R46" i="5"/>
  <c r="R47" i="5"/>
  <c r="R48" i="5"/>
  <c r="R49" i="5"/>
  <c r="R50" i="5"/>
  <c r="R51" i="5"/>
  <c r="R52" i="5"/>
  <c r="R53" i="5"/>
  <c r="R54" i="5"/>
  <c r="R55" i="5"/>
  <c r="R56" i="5"/>
  <c r="R57" i="5"/>
  <c r="R58" i="5"/>
  <c r="R59" i="5"/>
  <c r="R60" i="5"/>
  <c r="R61" i="5"/>
  <c r="R62" i="5"/>
  <c r="R63" i="5"/>
  <c r="R64" i="5"/>
  <c r="R65" i="5"/>
  <c r="R66" i="5"/>
  <c r="R67" i="5"/>
  <c r="R68" i="5"/>
  <c r="R69" i="5"/>
  <c r="R70" i="5"/>
  <c r="R71" i="5"/>
  <c r="R72" i="5"/>
  <c r="R73" i="5"/>
  <c r="R74" i="5"/>
  <c r="R75" i="5"/>
  <c r="R76" i="5"/>
  <c r="R77" i="5"/>
  <c r="R78" i="5"/>
  <c r="R79" i="5"/>
  <c r="R80" i="5"/>
  <c r="R81" i="5"/>
  <c r="R82" i="5"/>
  <c r="R83" i="5"/>
  <c r="R84" i="5"/>
  <c r="R85" i="5"/>
  <c r="R86" i="5"/>
  <c r="R87" i="5"/>
  <c r="R88" i="5"/>
  <c r="R89" i="5"/>
  <c r="R90" i="5"/>
  <c r="R91" i="5"/>
  <c r="R92" i="5"/>
  <c r="R93" i="5"/>
  <c r="R94" i="5"/>
  <c r="R95" i="5"/>
  <c r="R96" i="5"/>
  <c r="R97" i="5"/>
  <c r="R98" i="5"/>
  <c r="R99" i="5"/>
  <c r="R100" i="5"/>
  <c r="R101" i="5"/>
  <c r="R102" i="5"/>
  <c r="R103" i="5"/>
  <c r="R104" i="5"/>
  <c r="R105" i="5"/>
  <c r="R106" i="5"/>
  <c r="R107" i="5"/>
  <c r="R108" i="5"/>
  <c r="R109" i="5"/>
  <c r="R110" i="5"/>
  <c r="R111" i="5"/>
  <c r="R112" i="5"/>
  <c r="R113" i="5"/>
  <c r="R114" i="5"/>
  <c r="R115" i="5"/>
  <c r="R116" i="5"/>
  <c r="R117" i="5"/>
  <c r="R118" i="5"/>
  <c r="R119" i="5"/>
  <c r="R120" i="5"/>
  <c r="R121" i="5"/>
  <c r="R122" i="5"/>
  <c r="R123" i="5"/>
  <c r="R124" i="5"/>
  <c r="R125" i="5"/>
  <c r="R126" i="5"/>
  <c r="R127" i="5"/>
  <c r="R128" i="5"/>
  <c r="R129" i="5"/>
  <c r="R130" i="5"/>
  <c r="R131" i="5"/>
  <c r="R132" i="5"/>
  <c r="R133" i="5"/>
  <c r="R134" i="5"/>
  <c r="R135" i="5"/>
  <c r="R136" i="5"/>
  <c r="R137" i="5"/>
  <c r="R138" i="5"/>
  <c r="R139" i="5"/>
  <c r="R140" i="5"/>
  <c r="R141" i="5"/>
  <c r="R142" i="5"/>
  <c r="R143" i="5"/>
  <c r="R144" i="5"/>
  <c r="R145" i="5"/>
  <c r="R146" i="5"/>
  <c r="R147" i="5"/>
  <c r="R148" i="5"/>
  <c r="R149" i="5"/>
  <c r="R150" i="5"/>
  <c r="R151" i="5"/>
  <c r="R152" i="5"/>
  <c r="R153" i="5"/>
  <c r="R154" i="5"/>
  <c r="R155" i="5"/>
  <c r="R156" i="5"/>
  <c r="R157" i="5"/>
  <c r="R158" i="5"/>
  <c r="R159" i="5"/>
  <c r="R160" i="5"/>
  <c r="R161" i="5"/>
  <c r="R162" i="5"/>
  <c r="R163" i="5"/>
  <c r="R164" i="5"/>
  <c r="R165" i="5"/>
  <c r="R166" i="5"/>
  <c r="R167" i="5"/>
  <c r="R168" i="5"/>
  <c r="R169" i="5"/>
  <c r="R170" i="5"/>
  <c r="R171" i="5"/>
  <c r="R172" i="5"/>
  <c r="R173" i="5"/>
  <c r="R174" i="5"/>
  <c r="R175" i="5"/>
  <c r="R176" i="5"/>
  <c r="R177" i="5"/>
  <c r="R178" i="5"/>
  <c r="R179" i="5"/>
  <c r="R180" i="5"/>
  <c r="R181" i="5"/>
  <c r="R182" i="5"/>
  <c r="R183" i="5"/>
  <c r="R184" i="5"/>
  <c r="R185" i="5"/>
  <c r="R186" i="5"/>
  <c r="R187" i="5"/>
  <c r="R188" i="5"/>
  <c r="R189" i="5"/>
  <c r="R190" i="5"/>
  <c r="R191" i="5"/>
  <c r="R192" i="5"/>
  <c r="R193" i="5"/>
  <c r="R194" i="5"/>
  <c r="R195" i="5"/>
  <c r="R196" i="5"/>
  <c r="R197" i="5"/>
  <c r="R198" i="5"/>
  <c r="R199" i="5"/>
  <c r="R200" i="5"/>
  <c r="R201" i="5"/>
  <c r="R202" i="5"/>
  <c r="R203" i="5"/>
  <c r="R204" i="5"/>
  <c r="R205" i="5"/>
  <c r="R206" i="5"/>
  <c r="R207" i="5"/>
  <c r="R208" i="5"/>
  <c r="R209" i="5"/>
  <c r="R210" i="5"/>
  <c r="R211" i="5"/>
  <c r="R212" i="5"/>
  <c r="R213" i="5"/>
  <c r="R214" i="5"/>
  <c r="R215" i="5"/>
  <c r="R216" i="5"/>
  <c r="R217" i="5"/>
  <c r="R218" i="5"/>
  <c r="R219" i="5"/>
  <c r="R220" i="5"/>
  <c r="R221" i="5"/>
  <c r="R222" i="5"/>
  <c r="R223" i="5"/>
  <c r="R224" i="5"/>
  <c r="R225" i="5"/>
  <c r="R226" i="5"/>
  <c r="R227" i="5"/>
  <c r="R228" i="5"/>
  <c r="R229" i="5"/>
  <c r="R230" i="5"/>
  <c r="R231" i="5"/>
  <c r="R232" i="5"/>
  <c r="R233" i="5"/>
  <c r="R234" i="5"/>
  <c r="R235" i="5"/>
  <c r="R236" i="5"/>
  <c r="R237" i="5"/>
  <c r="R238" i="5"/>
  <c r="R239" i="5"/>
  <c r="R240" i="5"/>
  <c r="R241" i="5"/>
  <c r="R242" i="5"/>
  <c r="R243" i="5"/>
  <c r="R244" i="5"/>
  <c r="R245" i="5"/>
  <c r="R246" i="5"/>
  <c r="R247" i="5"/>
  <c r="R248" i="5"/>
  <c r="R249" i="5"/>
  <c r="R250" i="5"/>
  <c r="R251" i="5"/>
  <c r="R252" i="5"/>
  <c r="R253" i="5"/>
  <c r="R254" i="5"/>
  <c r="R255" i="5"/>
  <c r="R256" i="5"/>
  <c r="R257" i="5"/>
  <c r="R258" i="5"/>
  <c r="R259" i="5"/>
  <c r="R260" i="5"/>
  <c r="R261" i="5"/>
  <c r="R262" i="5"/>
  <c r="R263" i="5"/>
  <c r="R264" i="5"/>
  <c r="R265" i="5"/>
  <c r="R266" i="5"/>
  <c r="R267" i="5"/>
  <c r="R268" i="5"/>
  <c r="R269" i="5"/>
  <c r="R270" i="5"/>
  <c r="R271" i="5"/>
  <c r="R272" i="5"/>
  <c r="R273" i="5"/>
  <c r="R274" i="5"/>
  <c r="R275" i="5"/>
  <c r="R276" i="5"/>
  <c r="R277" i="5"/>
  <c r="R278" i="5"/>
  <c r="R279" i="5"/>
  <c r="R280" i="5"/>
  <c r="R281" i="5"/>
  <c r="R282" i="5"/>
  <c r="R283" i="5"/>
  <c r="R284" i="5"/>
  <c r="R285" i="5"/>
  <c r="R286" i="5"/>
  <c r="R287" i="5"/>
  <c r="R288" i="5"/>
  <c r="R289" i="5"/>
  <c r="R290" i="5"/>
  <c r="R291" i="5"/>
  <c r="R292" i="5"/>
  <c r="R293" i="5"/>
  <c r="R294" i="5"/>
  <c r="R295" i="5"/>
  <c r="R296" i="5"/>
  <c r="R297" i="5"/>
  <c r="R298" i="5"/>
  <c r="R299" i="5"/>
  <c r="R300" i="5"/>
  <c r="R301" i="5"/>
  <c r="R302" i="5"/>
  <c r="R303" i="5"/>
  <c r="R304" i="5"/>
  <c r="R305" i="5"/>
  <c r="R306" i="5"/>
  <c r="R307" i="5"/>
  <c r="R308" i="5"/>
  <c r="R309" i="5"/>
  <c r="R310" i="5"/>
  <c r="R311" i="5"/>
  <c r="R312" i="5"/>
  <c r="R313" i="5"/>
  <c r="R314" i="5"/>
  <c r="R315" i="5"/>
  <c r="R316" i="5"/>
  <c r="R317" i="5"/>
  <c r="R318" i="5"/>
  <c r="R319" i="5"/>
  <c r="R320" i="5"/>
  <c r="R321" i="5"/>
  <c r="R322" i="5"/>
  <c r="R323" i="5"/>
  <c r="R324" i="5"/>
  <c r="R325" i="5"/>
  <c r="R326" i="5"/>
  <c r="R327" i="5"/>
  <c r="R328" i="5"/>
  <c r="R329" i="5"/>
  <c r="R330" i="5"/>
  <c r="R331" i="5"/>
  <c r="R332" i="5"/>
  <c r="R333" i="5"/>
  <c r="R334" i="5"/>
  <c r="R335" i="5"/>
  <c r="R336" i="5"/>
  <c r="R337" i="5"/>
  <c r="R338" i="5"/>
  <c r="R339" i="5"/>
  <c r="R340" i="5"/>
  <c r="R341" i="5"/>
  <c r="R342" i="5"/>
  <c r="R343" i="5"/>
  <c r="R344" i="5"/>
  <c r="R345" i="5"/>
  <c r="R346" i="5"/>
  <c r="R347" i="5"/>
  <c r="R348" i="5"/>
  <c r="R349" i="5"/>
  <c r="R350" i="5"/>
  <c r="R351" i="5"/>
  <c r="R352" i="5"/>
  <c r="R353" i="5"/>
  <c r="R354" i="5"/>
  <c r="R355" i="5"/>
  <c r="R356" i="5"/>
  <c r="R357" i="5"/>
  <c r="R358" i="5"/>
  <c r="R359" i="5"/>
  <c r="R360" i="5"/>
  <c r="R361" i="5"/>
  <c r="R362" i="5"/>
  <c r="R363" i="5"/>
  <c r="R364" i="5"/>
  <c r="R365" i="5"/>
  <c r="R366" i="5"/>
  <c r="R367" i="5"/>
  <c r="R368" i="5"/>
  <c r="R369" i="5"/>
  <c r="R370" i="5"/>
  <c r="R371" i="5"/>
  <c r="R372" i="5"/>
  <c r="R373" i="5"/>
  <c r="R374" i="5"/>
  <c r="R375" i="5"/>
  <c r="R376" i="5"/>
  <c r="R377" i="5"/>
  <c r="R378" i="5"/>
  <c r="R379" i="5"/>
  <c r="R380" i="5"/>
  <c r="R381" i="5"/>
  <c r="R382" i="5"/>
  <c r="R383" i="5"/>
  <c r="R384" i="5"/>
  <c r="R385" i="5"/>
  <c r="R386" i="5"/>
  <c r="R387" i="5"/>
  <c r="R388" i="5"/>
  <c r="R389" i="5"/>
  <c r="R390" i="5"/>
  <c r="R391" i="5"/>
  <c r="R392" i="5"/>
  <c r="R393" i="5"/>
  <c r="R394" i="5"/>
  <c r="R395" i="5"/>
  <c r="R396" i="5"/>
  <c r="R397" i="5"/>
  <c r="R398" i="5"/>
  <c r="R399" i="5"/>
  <c r="R400" i="5"/>
  <c r="R401" i="5"/>
  <c r="R402" i="5"/>
  <c r="R403" i="5"/>
  <c r="R404" i="5"/>
  <c r="R405" i="5"/>
  <c r="R406" i="5"/>
  <c r="R407" i="5"/>
  <c r="R408" i="5"/>
  <c r="R409" i="5"/>
  <c r="R410" i="5"/>
  <c r="R411" i="5"/>
  <c r="R412" i="5"/>
  <c r="R413" i="5"/>
  <c r="R414" i="5"/>
  <c r="R415" i="5"/>
  <c r="R416" i="5"/>
  <c r="R417" i="5"/>
  <c r="R418" i="5"/>
  <c r="R419" i="5"/>
  <c r="R420" i="5"/>
  <c r="R421" i="5"/>
  <c r="R422" i="5"/>
  <c r="R423" i="5"/>
  <c r="R424" i="5"/>
  <c r="R425" i="5"/>
  <c r="R426" i="5"/>
  <c r="R427" i="5"/>
  <c r="R428" i="5"/>
  <c r="R429" i="5"/>
  <c r="R430" i="5"/>
  <c r="R431" i="5"/>
  <c r="R432" i="5"/>
  <c r="R433" i="5"/>
  <c r="R434" i="5"/>
  <c r="R435" i="5"/>
  <c r="R436" i="5"/>
  <c r="R437" i="5"/>
  <c r="R438" i="5"/>
  <c r="R439" i="5"/>
  <c r="R440" i="5"/>
  <c r="R441" i="5"/>
  <c r="R442" i="5"/>
  <c r="R443" i="5"/>
  <c r="R444" i="5"/>
  <c r="R445" i="5"/>
  <c r="R446" i="5"/>
  <c r="R447" i="5"/>
  <c r="R448" i="5"/>
  <c r="R449" i="5"/>
  <c r="R450" i="5"/>
  <c r="R451" i="5"/>
  <c r="R452" i="5"/>
  <c r="R453" i="5"/>
  <c r="R454" i="5"/>
  <c r="R455" i="5"/>
  <c r="R456" i="5"/>
  <c r="R457" i="5"/>
  <c r="R458" i="5"/>
  <c r="R459" i="5"/>
  <c r="R460" i="5"/>
  <c r="R461" i="5"/>
  <c r="R462" i="5"/>
  <c r="R463" i="5"/>
  <c r="R464" i="5"/>
  <c r="R465" i="5"/>
  <c r="R466" i="5"/>
  <c r="R467" i="5"/>
  <c r="R468" i="5"/>
  <c r="R469" i="5"/>
  <c r="R470" i="5"/>
  <c r="R471" i="5"/>
  <c r="R472" i="5"/>
  <c r="R473" i="5"/>
  <c r="R474" i="5"/>
  <c r="R475" i="5"/>
  <c r="R476" i="5"/>
  <c r="R477" i="5"/>
  <c r="R478" i="5"/>
  <c r="R479" i="5"/>
  <c r="R480" i="5"/>
  <c r="R481" i="5"/>
  <c r="R482" i="5"/>
  <c r="R483" i="5"/>
  <c r="R484" i="5"/>
  <c r="R485" i="5"/>
  <c r="R486" i="5"/>
  <c r="R487" i="5"/>
  <c r="R488" i="5"/>
  <c r="R489" i="5"/>
  <c r="R490" i="5"/>
  <c r="R491" i="5"/>
  <c r="R492" i="5"/>
  <c r="R493" i="5"/>
  <c r="R494" i="5"/>
  <c r="R495" i="5"/>
  <c r="R496" i="5"/>
  <c r="R497" i="5"/>
  <c r="R498" i="5"/>
  <c r="R499" i="5"/>
  <c r="R500" i="5"/>
  <c r="R501" i="5"/>
  <c r="R502" i="5"/>
  <c r="R503" i="5"/>
  <c r="R504" i="5"/>
  <c r="R505" i="5"/>
  <c r="R506" i="5"/>
  <c r="R507" i="5"/>
  <c r="R508" i="5"/>
  <c r="R509" i="5"/>
  <c r="R510" i="5"/>
  <c r="R511" i="5"/>
  <c r="R512" i="5"/>
  <c r="R513" i="5"/>
  <c r="R514" i="5"/>
  <c r="R515" i="5"/>
  <c r="R516" i="5"/>
  <c r="R517" i="5"/>
  <c r="R518" i="5"/>
  <c r="R519" i="5"/>
  <c r="R520" i="5"/>
  <c r="R521" i="5"/>
  <c r="R522" i="5"/>
  <c r="R523" i="5"/>
  <c r="R524" i="5"/>
  <c r="R525" i="5"/>
  <c r="R526" i="5"/>
  <c r="R527" i="5"/>
  <c r="R528" i="5"/>
  <c r="R529" i="5"/>
  <c r="R530" i="5"/>
  <c r="R531" i="5"/>
  <c r="R532" i="5"/>
  <c r="R533" i="5"/>
  <c r="R534" i="5"/>
  <c r="R535" i="5"/>
  <c r="R536" i="5"/>
  <c r="R537" i="5"/>
  <c r="R538" i="5"/>
  <c r="R539" i="5"/>
  <c r="R540" i="5"/>
  <c r="R541" i="5"/>
  <c r="R542" i="5"/>
  <c r="R543" i="5"/>
  <c r="R544" i="5"/>
  <c r="R545" i="5"/>
  <c r="R546" i="5"/>
  <c r="R547" i="5"/>
  <c r="R548" i="5"/>
  <c r="R549" i="5"/>
  <c r="R550" i="5"/>
  <c r="R551" i="5"/>
  <c r="R552" i="5"/>
  <c r="R553" i="5"/>
  <c r="R554" i="5"/>
  <c r="R555" i="5"/>
  <c r="R556" i="5"/>
  <c r="R557" i="5"/>
  <c r="R558" i="5"/>
  <c r="R559" i="5"/>
  <c r="R560" i="5"/>
  <c r="R561" i="5"/>
  <c r="R562" i="5"/>
  <c r="R563" i="5"/>
  <c r="R564" i="5"/>
  <c r="R565" i="5"/>
  <c r="R566" i="5"/>
  <c r="R567" i="5"/>
  <c r="R568" i="5"/>
  <c r="R569" i="5"/>
  <c r="R570" i="5"/>
  <c r="R571" i="5"/>
  <c r="R572" i="5"/>
  <c r="R573" i="5"/>
  <c r="R574" i="5"/>
  <c r="R575" i="5"/>
  <c r="R576" i="5"/>
  <c r="R577" i="5"/>
  <c r="R578" i="5"/>
  <c r="R579" i="5"/>
  <c r="R580" i="5"/>
  <c r="R581" i="5"/>
  <c r="R582" i="5"/>
  <c r="R583" i="5"/>
  <c r="R584" i="5"/>
  <c r="R585" i="5"/>
  <c r="R586" i="5"/>
  <c r="R587" i="5"/>
  <c r="R588" i="5"/>
  <c r="R589" i="5"/>
  <c r="R590" i="5"/>
  <c r="R591" i="5"/>
  <c r="R592" i="5"/>
  <c r="R593" i="5"/>
  <c r="R594" i="5"/>
  <c r="R595" i="5"/>
  <c r="R596" i="5"/>
  <c r="R597" i="5"/>
  <c r="R598" i="5"/>
  <c r="R599" i="5"/>
  <c r="R600" i="5"/>
  <c r="R601" i="5"/>
  <c r="R602" i="5"/>
  <c r="R603" i="5"/>
  <c r="R604" i="5"/>
  <c r="R605" i="5"/>
  <c r="R606" i="5"/>
  <c r="R607" i="5"/>
  <c r="R608" i="5"/>
  <c r="R609" i="5"/>
  <c r="R610" i="5"/>
  <c r="R611" i="5"/>
  <c r="R612" i="5"/>
  <c r="R613" i="5"/>
  <c r="R614" i="5"/>
  <c r="R615" i="5"/>
  <c r="R616" i="5"/>
  <c r="R617" i="5"/>
  <c r="R618" i="5"/>
  <c r="R619" i="5"/>
  <c r="R620" i="5"/>
  <c r="R621" i="5"/>
  <c r="R622" i="5"/>
  <c r="R623" i="5"/>
  <c r="R624" i="5"/>
  <c r="R625" i="5"/>
  <c r="R626" i="5"/>
  <c r="R627" i="5"/>
  <c r="R628" i="5"/>
  <c r="R629" i="5"/>
  <c r="R630" i="5"/>
  <c r="R631" i="5"/>
  <c r="R632" i="5"/>
  <c r="R633" i="5"/>
  <c r="R634" i="5"/>
  <c r="R635" i="5"/>
  <c r="R636" i="5"/>
  <c r="R637" i="5"/>
  <c r="R638" i="5"/>
  <c r="R639" i="5"/>
  <c r="R640" i="5"/>
  <c r="R641" i="5"/>
  <c r="R642" i="5"/>
  <c r="R643" i="5"/>
  <c r="R644" i="5"/>
  <c r="R645" i="5"/>
  <c r="R646" i="5"/>
  <c r="R647" i="5"/>
  <c r="R648" i="5"/>
  <c r="R649" i="5"/>
  <c r="R650" i="5"/>
  <c r="R651" i="5"/>
  <c r="R652" i="5"/>
  <c r="R653" i="5"/>
  <c r="R654" i="5"/>
  <c r="R655" i="5"/>
  <c r="R656" i="5"/>
  <c r="R657" i="5"/>
  <c r="R658" i="5"/>
  <c r="R659" i="5"/>
  <c r="R660" i="5"/>
  <c r="R661" i="5"/>
  <c r="R662" i="5"/>
  <c r="R663" i="5"/>
  <c r="R664" i="5"/>
  <c r="R665" i="5"/>
  <c r="R666" i="5"/>
  <c r="R667" i="5"/>
  <c r="R668" i="5"/>
  <c r="R669" i="5"/>
  <c r="R670" i="5"/>
  <c r="R671" i="5"/>
  <c r="R672" i="5"/>
  <c r="R673" i="5"/>
  <c r="R674" i="5"/>
  <c r="R675" i="5"/>
  <c r="R676" i="5"/>
  <c r="R677" i="5"/>
  <c r="R678" i="5"/>
  <c r="R679" i="5"/>
  <c r="R680" i="5"/>
  <c r="R681" i="5"/>
  <c r="R682" i="5"/>
  <c r="R683" i="5"/>
  <c r="R684" i="5"/>
  <c r="R685" i="5"/>
  <c r="R686" i="5"/>
  <c r="R687" i="5"/>
  <c r="R688" i="5"/>
  <c r="R689" i="5"/>
  <c r="R690" i="5"/>
  <c r="R691" i="5"/>
  <c r="R692" i="5"/>
  <c r="R693" i="5"/>
  <c r="R694" i="5"/>
  <c r="R695" i="5"/>
  <c r="R696" i="5"/>
  <c r="R697" i="5"/>
  <c r="R698" i="5"/>
  <c r="R699" i="5"/>
  <c r="R700" i="5"/>
  <c r="R701" i="5"/>
  <c r="R702" i="5"/>
  <c r="R703" i="5"/>
  <c r="R704" i="5"/>
  <c r="R705" i="5"/>
  <c r="R706" i="5"/>
  <c r="R707" i="5"/>
  <c r="R708" i="5"/>
  <c r="R709" i="5"/>
  <c r="R710" i="5"/>
  <c r="R711" i="5"/>
  <c r="R712" i="5"/>
  <c r="R713" i="5"/>
  <c r="R714" i="5"/>
  <c r="R715" i="5"/>
  <c r="R716" i="5"/>
  <c r="R717" i="5"/>
  <c r="R718" i="5"/>
  <c r="R719" i="5"/>
  <c r="R720" i="5"/>
  <c r="R721" i="5"/>
  <c r="R722" i="5"/>
  <c r="R723" i="5"/>
  <c r="R724" i="5"/>
  <c r="R725" i="5"/>
  <c r="R726" i="5"/>
  <c r="R727" i="5"/>
  <c r="R728" i="5"/>
  <c r="R729" i="5"/>
  <c r="R730" i="5"/>
  <c r="R731" i="5"/>
  <c r="R732" i="5"/>
  <c r="R733" i="5"/>
  <c r="R734" i="5"/>
  <c r="R735" i="5"/>
  <c r="R736" i="5"/>
  <c r="R737" i="5"/>
  <c r="R738" i="5"/>
  <c r="R739" i="5"/>
  <c r="R740" i="5"/>
  <c r="R741" i="5"/>
  <c r="R742" i="5"/>
  <c r="R743" i="5"/>
  <c r="R744" i="5"/>
  <c r="R745" i="5"/>
  <c r="R746" i="5"/>
  <c r="R747" i="5"/>
  <c r="R748" i="5"/>
  <c r="R749" i="5"/>
  <c r="R750" i="5"/>
  <c r="R751" i="5"/>
  <c r="R752" i="5"/>
  <c r="R753" i="5"/>
  <c r="R754" i="5"/>
  <c r="R755" i="5"/>
  <c r="R756" i="5"/>
  <c r="R757" i="5"/>
  <c r="R758" i="5"/>
  <c r="R759" i="5"/>
  <c r="R760" i="5"/>
  <c r="R761" i="5"/>
  <c r="R762" i="5"/>
  <c r="R763" i="5"/>
  <c r="R764" i="5"/>
  <c r="R765" i="5"/>
  <c r="R766" i="5"/>
  <c r="R767" i="5"/>
  <c r="R768" i="5"/>
  <c r="R769" i="5"/>
  <c r="R770" i="5"/>
  <c r="R771" i="5"/>
  <c r="R772" i="5"/>
  <c r="R773" i="5"/>
  <c r="R774" i="5"/>
  <c r="R775" i="5"/>
  <c r="R776" i="5"/>
  <c r="R777" i="5"/>
  <c r="R778" i="5"/>
  <c r="R779" i="5"/>
  <c r="R780" i="5"/>
  <c r="R781" i="5"/>
  <c r="R782" i="5"/>
  <c r="R783" i="5"/>
  <c r="R784" i="5"/>
  <c r="R785" i="5"/>
  <c r="R786" i="5"/>
  <c r="R787" i="5"/>
  <c r="R788" i="5"/>
  <c r="R789" i="5"/>
  <c r="R790" i="5"/>
  <c r="R791" i="5"/>
  <c r="R792" i="5"/>
  <c r="R793" i="5"/>
  <c r="R794" i="5"/>
  <c r="R795" i="5"/>
  <c r="R796" i="5"/>
  <c r="R797" i="5"/>
  <c r="R798" i="5"/>
  <c r="R799" i="5"/>
  <c r="R800" i="5"/>
  <c r="R801" i="5"/>
  <c r="R802" i="5"/>
  <c r="R803" i="5"/>
  <c r="R804" i="5"/>
  <c r="R805" i="5"/>
  <c r="R806" i="5"/>
  <c r="R807" i="5"/>
  <c r="R808" i="5"/>
  <c r="R809" i="5"/>
  <c r="R810" i="5"/>
  <c r="R811" i="5"/>
  <c r="R812" i="5"/>
  <c r="R813" i="5"/>
  <c r="R814" i="5"/>
  <c r="R815" i="5"/>
  <c r="R816" i="5"/>
  <c r="R817" i="5"/>
  <c r="R818" i="5"/>
  <c r="R819" i="5"/>
  <c r="R820" i="5"/>
  <c r="R821" i="5"/>
  <c r="R822" i="5"/>
  <c r="R823" i="5"/>
  <c r="R824" i="5"/>
  <c r="R825" i="5"/>
  <c r="R826" i="5"/>
  <c r="R827" i="5"/>
  <c r="R828" i="5"/>
  <c r="R829" i="5"/>
  <c r="R830" i="5"/>
  <c r="R831" i="5"/>
  <c r="R832" i="5"/>
  <c r="R833" i="5"/>
  <c r="R834" i="5"/>
  <c r="R835" i="5"/>
  <c r="R836" i="5"/>
  <c r="R837" i="5"/>
  <c r="R838" i="5"/>
  <c r="R839" i="5"/>
  <c r="R840" i="5"/>
  <c r="R841" i="5"/>
  <c r="R842" i="5"/>
  <c r="R843" i="5"/>
  <c r="R844" i="5"/>
  <c r="R845" i="5"/>
  <c r="R846" i="5"/>
  <c r="R847" i="5"/>
  <c r="R848" i="5"/>
  <c r="R849" i="5"/>
  <c r="R850" i="5"/>
  <c r="R851" i="5"/>
  <c r="R852" i="5"/>
  <c r="R853" i="5"/>
  <c r="R854" i="5"/>
  <c r="R855" i="5"/>
  <c r="R856" i="5"/>
  <c r="R857" i="5"/>
  <c r="R858" i="5"/>
  <c r="R859" i="5"/>
  <c r="R860" i="5"/>
  <c r="R861" i="5"/>
  <c r="R862" i="5"/>
  <c r="R863" i="5"/>
  <c r="R864" i="5"/>
  <c r="R865" i="5"/>
  <c r="R866" i="5"/>
  <c r="R867" i="5"/>
  <c r="R868" i="5"/>
  <c r="R869" i="5"/>
  <c r="R870" i="5"/>
  <c r="R871" i="5"/>
  <c r="R872" i="5"/>
  <c r="R873" i="5"/>
  <c r="R874" i="5"/>
  <c r="R875" i="5"/>
  <c r="R876" i="5"/>
  <c r="R877" i="5"/>
  <c r="R878" i="5"/>
  <c r="R879" i="5"/>
  <c r="R880" i="5"/>
  <c r="R881" i="5"/>
  <c r="R882" i="5"/>
  <c r="R883" i="5"/>
  <c r="R884" i="5"/>
  <c r="R885" i="5"/>
  <c r="R886" i="5"/>
  <c r="R887" i="5"/>
  <c r="R888" i="5"/>
  <c r="R889" i="5"/>
  <c r="R890" i="5"/>
  <c r="R891" i="5"/>
  <c r="R892" i="5"/>
  <c r="R893" i="5"/>
  <c r="R894" i="5"/>
  <c r="R895" i="5"/>
  <c r="R896" i="5"/>
  <c r="R897" i="5"/>
  <c r="R898" i="5"/>
  <c r="R899" i="5"/>
  <c r="R900" i="5"/>
  <c r="R901" i="5"/>
  <c r="R902" i="5"/>
  <c r="R903" i="5"/>
  <c r="R904" i="5"/>
  <c r="R905" i="5"/>
  <c r="R906" i="5"/>
  <c r="R907" i="5"/>
  <c r="R908" i="5"/>
  <c r="R909" i="5"/>
  <c r="R910" i="5"/>
  <c r="R911" i="5"/>
  <c r="R912" i="5"/>
  <c r="R913" i="5"/>
  <c r="R914" i="5"/>
  <c r="R915" i="5"/>
  <c r="R916" i="5"/>
  <c r="R917" i="5"/>
  <c r="R918" i="5"/>
  <c r="R919" i="5"/>
  <c r="R920" i="5"/>
  <c r="R921" i="5"/>
  <c r="R922" i="5"/>
  <c r="R923" i="5"/>
  <c r="R924" i="5"/>
  <c r="R925" i="5"/>
  <c r="R926" i="5"/>
  <c r="R927" i="5"/>
  <c r="R928" i="5"/>
  <c r="R929" i="5"/>
  <c r="R930" i="5"/>
  <c r="R931" i="5"/>
  <c r="R932" i="5"/>
  <c r="R933" i="5"/>
  <c r="R934" i="5"/>
  <c r="R935" i="5"/>
  <c r="R936" i="5"/>
  <c r="R937" i="5"/>
  <c r="R938" i="5"/>
  <c r="R939" i="5"/>
  <c r="R940" i="5"/>
  <c r="R941" i="5"/>
  <c r="R942" i="5"/>
  <c r="R943" i="5"/>
  <c r="R944" i="5"/>
  <c r="R945" i="5"/>
  <c r="R946" i="5"/>
  <c r="R947" i="5"/>
  <c r="R948" i="5"/>
  <c r="R949" i="5"/>
  <c r="R950" i="5"/>
  <c r="R951" i="5"/>
  <c r="R952" i="5"/>
  <c r="R953" i="5"/>
  <c r="R954" i="5"/>
  <c r="R955" i="5"/>
  <c r="R956" i="5"/>
  <c r="R957" i="5"/>
  <c r="R958" i="5"/>
  <c r="R959" i="5"/>
  <c r="R960" i="5"/>
  <c r="R961" i="5"/>
  <c r="R962" i="5"/>
  <c r="R963" i="5"/>
  <c r="R964" i="5"/>
  <c r="R965" i="5"/>
  <c r="R966" i="5"/>
  <c r="R967" i="5"/>
  <c r="R968" i="5"/>
  <c r="R969" i="5"/>
  <c r="R970" i="5"/>
  <c r="R971" i="5"/>
  <c r="R972" i="5"/>
  <c r="R973" i="5"/>
  <c r="R974" i="5"/>
  <c r="R975" i="5"/>
  <c r="R976" i="5"/>
  <c r="R977" i="5"/>
  <c r="R978" i="5"/>
  <c r="R979" i="5"/>
  <c r="R980" i="5"/>
  <c r="R981" i="5"/>
  <c r="R982" i="5"/>
  <c r="R983" i="5"/>
  <c r="R984" i="5"/>
  <c r="R985" i="5"/>
  <c r="R986" i="5"/>
  <c r="R987" i="5"/>
  <c r="R988" i="5"/>
  <c r="R989" i="5"/>
  <c r="R990" i="5"/>
  <c r="R991" i="5"/>
  <c r="R992" i="5"/>
  <c r="R993" i="5"/>
  <c r="R994" i="5"/>
  <c r="R995" i="5"/>
  <c r="R996" i="5"/>
  <c r="R997" i="5"/>
  <c r="R998" i="5"/>
  <c r="R999" i="5"/>
  <c r="R1000" i="5"/>
  <c r="R1001" i="5"/>
  <c r="R2" i="5"/>
  <c r="Q3" i="5"/>
  <c r="Q4" i="5"/>
  <c r="Q5" i="5"/>
  <c r="Q6" i="5"/>
  <c r="Q7" i="5"/>
  <c r="Q8" i="5"/>
  <c r="Q9" i="5"/>
  <c r="Q10" i="5"/>
  <c r="Q11" i="5"/>
  <c r="Q12" i="5"/>
  <c r="Q13" i="5"/>
  <c r="Q14" i="5"/>
  <c r="Q15" i="5"/>
  <c r="Q16" i="5"/>
  <c r="Q17" i="5"/>
  <c r="Q18" i="5"/>
  <c r="Q19" i="5"/>
  <c r="Q20" i="5"/>
  <c r="Q21" i="5"/>
  <c r="Q22" i="5"/>
  <c r="Q23" i="5"/>
  <c r="Q24" i="5"/>
  <c r="Q25" i="5"/>
  <c r="Q26" i="5"/>
  <c r="Q27" i="5"/>
  <c r="Q28" i="5"/>
  <c r="Q29" i="5"/>
  <c r="Q30" i="5"/>
  <c r="Q31" i="5"/>
  <c r="Q32" i="5"/>
  <c r="Q33" i="5"/>
  <c r="Q34" i="5"/>
  <c r="Q35" i="5"/>
  <c r="Q36" i="5"/>
  <c r="Q37" i="5"/>
  <c r="Q38" i="5"/>
  <c r="Q39" i="5"/>
  <c r="Q40" i="5"/>
  <c r="Q41" i="5"/>
  <c r="Q42" i="5"/>
  <c r="Q43" i="5"/>
  <c r="Q44" i="5"/>
  <c r="Q45" i="5"/>
  <c r="Q46" i="5"/>
  <c r="Q47" i="5"/>
  <c r="Q48" i="5"/>
  <c r="Q49" i="5"/>
  <c r="Q50" i="5"/>
  <c r="Q51" i="5"/>
  <c r="Q52" i="5"/>
  <c r="Q53" i="5"/>
  <c r="Q54" i="5"/>
  <c r="Q55" i="5"/>
  <c r="Q56" i="5"/>
  <c r="Q57" i="5"/>
  <c r="Q58" i="5"/>
  <c r="Q59" i="5"/>
  <c r="Q60" i="5"/>
  <c r="Q61" i="5"/>
  <c r="Q62" i="5"/>
  <c r="Q63" i="5"/>
  <c r="Q64" i="5"/>
  <c r="Q65" i="5"/>
  <c r="Q66" i="5"/>
  <c r="Q67" i="5"/>
  <c r="Q68" i="5"/>
  <c r="Q69" i="5"/>
  <c r="Q70" i="5"/>
  <c r="Q71" i="5"/>
  <c r="Q72" i="5"/>
  <c r="Q73" i="5"/>
  <c r="Q74" i="5"/>
  <c r="Q75" i="5"/>
  <c r="Q76" i="5"/>
  <c r="Q77" i="5"/>
  <c r="Q78" i="5"/>
  <c r="Q79" i="5"/>
  <c r="Q80" i="5"/>
  <c r="Q81" i="5"/>
  <c r="Q82" i="5"/>
  <c r="Q83" i="5"/>
  <c r="Q84" i="5"/>
  <c r="Q85" i="5"/>
  <c r="Q86" i="5"/>
  <c r="Q87" i="5"/>
  <c r="Q88" i="5"/>
  <c r="Q89" i="5"/>
  <c r="Q90" i="5"/>
  <c r="Q91" i="5"/>
  <c r="Q92" i="5"/>
  <c r="Q93" i="5"/>
  <c r="Q94" i="5"/>
  <c r="Q95" i="5"/>
  <c r="Q96" i="5"/>
  <c r="Q97" i="5"/>
  <c r="Q98" i="5"/>
  <c r="Q99" i="5"/>
  <c r="Q100" i="5"/>
  <c r="Q101" i="5"/>
  <c r="Q102" i="5"/>
  <c r="Q103" i="5"/>
  <c r="Q104" i="5"/>
  <c r="Q105" i="5"/>
  <c r="Q106" i="5"/>
  <c r="Q107" i="5"/>
  <c r="Q108" i="5"/>
  <c r="Q109" i="5"/>
  <c r="Q110" i="5"/>
  <c r="Q111" i="5"/>
  <c r="Q112" i="5"/>
  <c r="Q113" i="5"/>
  <c r="Q114" i="5"/>
  <c r="Q115" i="5"/>
  <c r="Q116" i="5"/>
  <c r="Q117" i="5"/>
  <c r="Q118" i="5"/>
  <c r="Q119" i="5"/>
  <c r="Q120" i="5"/>
  <c r="Q121" i="5"/>
  <c r="Q122" i="5"/>
  <c r="Q123" i="5"/>
  <c r="Q124" i="5"/>
  <c r="Q125" i="5"/>
  <c r="Q126" i="5"/>
  <c r="Q127" i="5"/>
  <c r="Q128" i="5"/>
  <c r="Q129" i="5"/>
  <c r="Q130" i="5"/>
  <c r="Q131" i="5"/>
  <c r="Q132" i="5"/>
  <c r="Q133" i="5"/>
  <c r="Q134" i="5"/>
  <c r="Q135" i="5"/>
  <c r="Q136" i="5"/>
  <c r="Q137" i="5"/>
  <c r="Q138" i="5"/>
  <c r="Q139" i="5"/>
  <c r="Q140" i="5"/>
  <c r="Q141" i="5"/>
  <c r="Q142" i="5"/>
  <c r="Q143" i="5"/>
  <c r="Q144" i="5"/>
  <c r="Q145" i="5"/>
  <c r="Q146" i="5"/>
  <c r="Q147" i="5"/>
  <c r="Q148" i="5"/>
  <c r="Q149" i="5"/>
  <c r="Q150" i="5"/>
  <c r="Q151" i="5"/>
  <c r="Q152" i="5"/>
  <c r="Q153" i="5"/>
  <c r="Q154" i="5"/>
  <c r="Q155" i="5"/>
  <c r="Q156" i="5"/>
  <c r="Q157" i="5"/>
  <c r="Q158" i="5"/>
  <c r="Q159" i="5"/>
  <c r="Q160" i="5"/>
  <c r="Q161" i="5"/>
  <c r="Q162" i="5"/>
  <c r="Q163" i="5"/>
  <c r="Q164" i="5"/>
  <c r="Q165" i="5"/>
  <c r="Q166" i="5"/>
  <c r="Q167" i="5"/>
  <c r="Q168" i="5"/>
  <c r="Q169" i="5"/>
  <c r="Q170" i="5"/>
  <c r="Q171" i="5"/>
  <c r="Q172" i="5"/>
  <c r="Q173" i="5"/>
  <c r="Q174" i="5"/>
  <c r="Q175" i="5"/>
  <c r="Q176" i="5"/>
  <c r="Q177" i="5"/>
  <c r="Q178" i="5"/>
  <c r="Q179" i="5"/>
  <c r="Q180" i="5"/>
  <c r="Q181" i="5"/>
  <c r="Q182" i="5"/>
  <c r="Q183" i="5"/>
  <c r="Q184" i="5"/>
  <c r="Q185" i="5"/>
  <c r="Q186" i="5"/>
  <c r="Q187" i="5"/>
  <c r="Q188" i="5"/>
  <c r="Q189" i="5"/>
  <c r="Q190" i="5"/>
  <c r="Q191" i="5"/>
  <c r="Q192" i="5"/>
  <c r="Q193" i="5"/>
  <c r="Q194" i="5"/>
  <c r="Q195" i="5"/>
  <c r="Q196" i="5"/>
  <c r="Q197" i="5"/>
  <c r="Q198" i="5"/>
  <c r="Q199" i="5"/>
  <c r="Q200" i="5"/>
  <c r="Q201" i="5"/>
  <c r="Q202" i="5"/>
  <c r="Q203" i="5"/>
  <c r="Q204" i="5"/>
  <c r="Q205" i="5"/>
  <c r="Q206" i="5"/>
  <c r="Q207" i="5"/>
  <c r="Q208" i="5"/>
  <c r="Q209" i="5"/>
  <c r="Q210" i="5"/>
  <c r="Q211" i="5"/>
  <c r="Q212" i="5"/>
  <c r="Q213" i="5"/>
  <c r="Q214" i="5"/>
  <c r="Q215" i="5"/>
  <c r="Q216" i="5"/>
  <c r="Q217" i="5"/>
  <c r="Q218" i="5"/>
  <c r="Q219" i="5"/>
  <c r="Q220" i="5"/>
  <c r="Q221" i="5"/>
  <c r="Q222" i="5"/>
  <c r="Q223" i="5"/>
  <c r="Q224" i="5"/>
  <c r="Q225" i="5"/>
  <c r="Q226" i="5"/>
  <c r="Q227" i="5"/>
  <c r="Q228" i="5"/>
  <c r="Q229" i="5"/>
  <c r="Q230" i="5"/>
  <c r="Q231" i="5"/>
  <c r="Q232" i="5"/>
  <c r="Q233" i="5"/>
  <c r="Q234" i="5"/>
  <c r="Q235" i="5"/>
  <c r="Q236" i="5"/>
  <c r="Q237" i="5"/>
  <c r="Q238" i="5"/>
  <c r="Q239" i="5"/>
  <c r="Q240" i="5"/>
  <c r="Q241" i="5"/>
  <c r="Q242" i="5"/>
  <c r="Q243" i="5"/>
  <c r="Q244" i="5"/>
  <c r="Q245" i="5"/>
  <c r="Q246" i="5"/>
  <c r="Q247" i="5"/>
  <c r="Q248" i="5"/>
  <c r="Q249" i="5"/>
  <c r="Q250" i="5"/>
  <c r="Q251" i="5"/>
  <c r="Q252" i="5"/>
  <c r="Q253" i="5"/>
  <c r="Q254" i="5"/>
  <c r="Q255" i="5"/>
  <c r="Q256" i="5"/>
  <c r="Q257" i="5"/>
  <c r="Q258" i="5"/>
  <c r="Q259" i="5"/>
  <c r="Q260" i="5"/>
  <c r="Q261" i="5"/>
  <c r="Q262" i="5"/>
  <c r="Q263" i="5"/>
  <c r="Q264" i="5"/>
  <c r="Q265" i="5"/>
  <c r="Q266" i="5"/>
  <c r="Q267" i="5"/>
  <c r="Q268" i="5"/>
  <c r="Q269" i="5"/>
  <c r="Q270" i="5"/>
  <c r="Q271" i="5"/>
  <c r="Q272" i="5"/>
  <c r="Q273" i="5"/>
  <c r="Q274" i="5"/>
  <c r="Q275" i="5"/>
  <c r="Q276" i="5"/>
  <c r="Q277" i="5"/>
  <c r="Q278" i="5"/>
  <c r="Q279" i="5"/>
  <c r="Q280" i="5"/>
  <c r="Q281" i="5"/>
  <c r="Q282" i="5"/>
  <c r="Q283" i="5"/>
  <c r="Q284" i="5"/>
  <c r="Q285" i="5"/>
  <c r="Q286" i="5"/>
  <c r="Q287" i="5"/>
  <c r="Q288" i="5"/>
  <c r="Q289" i="5"/>
  <c r="Q290" i="5"/>
  <c r="Q291" i="5"/>
  <c r="Q292" i="5"/>
  <c r="Q293" i="5"/>
  <c r="Q294" i="5"/>
  <c r="Q295" i="5"/>
  <c r="Q296" i="5"/>
  <c r="Q297" i="5"/>
  <c r="Q298" i="5"/>
  <c r="Q299" i="5"/>
  <c r="Q300" i="5"/>
  <c r="Q301" i="5"/>
  <c r="Q302" i="5"/>
  <c r="Q303" i="5"/>
  <c r="Q304" i="5"/>
  <c r="Q305" i="5"/>
  <c r="Q306" i="5"/>
  <c r="Q307" i="5"/>
  <c r="Q308" i="5"/>
  <c r="Q309" i="5"/>
  <c r="Q310" i="5"/>
  <c r="Q311" i="5"/>
  <c r="Q312" i="5"/>
  <c r="Q313" i="5"/>
  <c r="Q314" i="5"/>
  <c r="Q315" i="5"/>
  <c r="Q316" i="5"/>
  <c r="Q317" i="5"/>
  <c r="Q318" i="5"/>
  <c r="Q319" i="5"/>
  <c r="Q320" i="5"/>
  <c r="Q321" i="5"/>
  <c r="Q322" i="5"/>
  <c r="Q323" i="5"/>
  <c r="Q324" i="5"/>
  <c r="Q325" i="5"/>
  <c r="Q326" i="5"/>
  <c r="Q327" i="5"/>
  <c r="Q328" i="5"/>
  <c r="Q329" i="5"/>
  <c r="Q330" i="5"/>
  <c r="Q331" i="5"/>
  <c r="Q332" i="5"/>
  <c r="Q333" i="5"/>
  <c r="Q334" i="5"/>
  <c r="Q335" i="5"/>
  <c r="Q336" i="5"/>
  <c r="Q337" i="5"/>
  <c r="Q338" i="5"/>
  <c r="Q339" i="5"/>
  <c r="Q340" i="5"/>
  <c r="Q341" i="5"/>
  <c r="Q342" i="5"/>
  <c r="Q343" i="5"/>
  <c r="Q344" i="5"/>
  <c r="Q345" i="5"/>
  <c r="Q346" i="5"/>
  <c r="Q347" i="5"/>
  <c r="Q348" i="5"/>
  <c r="Q349" i="5"/>
  <c r="Q350" i="5"/>
  <c r="Q351" i="5"/>
  <c r="Q352" i="5"/>
  <c r="Q353" i="5"/>
  <c r="Q354" i="5"/>
  <c r="Q355" i="5"/>
  <c r="Q356" i="5"/>
  <c r="Q357" i="5"/>
  <c r="Q358" i="5"/>
  <c r="Q359" i="5"/>
  <c r="Q360" i="5"/>
  <c r="Q361" i="5"/>
  <c r="Q362" i="5"/>
  <c r="Q363" i="5"/>
  <c r="Q364" i="5"/>
  <c r="Q365" i="5"/>
  <c r="Q366" i="5"/>
  <c r="Q367" i="5"/>
  <c r="Q368" i="5"/>
  <c r="Q369" i="5"/>
  <c r="Q370" i="5"/>
  <c r="Q371" i="5"/>
  <c r="Q372" i="5"/>
  <c r="Q373" i="5"/>
  <c r="Q374" i="5"/>
  <c r="Q375" i="5"/>
  <c r="Q376" i="5"/>
  <c r="Q377" i="5"/>
  <c r="Q378" i="5"/>
  <c r="Q379" i="5"/>
  <c r="Q380" i="5"/>
  <c r="Q381" i="5"/>
  <c r="Q382" i="5"/>
  <c r="Q383" i="5"/>
  <c r="Q384" i="5"/>
  <c r="Q385" i="5"/>
  <c r="Q386" i="5"/>
  <c r="Q387" i="5"/>
  <c r="Q388" i="5"/>
  <c r="Q389" i="5"/>
  <c r="Q390" i="5"/>
  <c r="Q391" i="5"/>
  <c r="Q392" i="5"/>
  <c r="Q393" i="5"/>
  <c r="Q394" i="5"/>
  <c r="Q395" i="5"/>
  <c r="Q396" i="5"/>
  <c r="Q397" i="5"/>
  <c r="Q398" i="5"/>
  <c r="Q399" i="5"/>
  <c r="Q400" i="5"/>
  <c r="Q401" i="5"/>
  <c r="Q402" i="5"/>
  <c r="Q403" i="5"/>
  <c r="Q404" i="5"/>
  <c r="Q405" i="5"/>
  <c r="Q406" i="5"/>
  <c r="Q407" i="5"/>
  <c r="Q408" i="5"/>
  <c r="Q409" i="5"/>
  <c r="Q410" i="5"/>
  <c r="Q411" i="5"/>
  <c r="Q412" i="5"/>
  <c r="Q413" i="5"/>
  <c r="Q414" i="5"/>
  <c r="Q415" i="5"/>
  <c r="Q416" i="5"/>
  <c r="Q417" i="5"/>
  <c r="Q418" i="5"/>
  <c r="Q419" i="5"/>
  <c r="Q420" i="5"/>
  <c r="Q421" i="5"/>
  <c r="Q422" i="5"/>
  <c r="Q423" i="5"/>
  <c r="Q424" i="5"/>
  <c r="Q425" i="5"/>
  <c r="Q426" i="5"/>
  <c r="Q427" i="5"/>
  <c r="Q428" i="5"/>
  <c r="Q429" i="5"/>
  <c r="Q430" i="5"/>
  <c r="Q431" i="5"/>
  <c r="Q432" i="5"/>
  <c r="Q433" i="5"/>
  <c r="Q434" i="5"/>
  <c r="Q435" i="5"/>
  <c r="Q436" i="5"/>
  <c r="Q437" i="5"/>
  <c r="Q438" i="5"/>
  <c r="Q439" i="5"/>
  <c r="Q440" i="5"/>
  <c r="Q441" i="5"/>
  <c r="Q442" i="5"/>
  <c r="Q443" i="5"/>
  <c r="Q444" i="5"/>
  <c r="Q445" i="5"/>
  <c r="Q446" i="5"/>
  <c r="Q447" i="5"/>
  <c r="Q448" i="5"/>
  <c r="Q449" i="5"/>
  <c r="Q450" i="5"/>
  <c r="Q451" i="5"/>
  <c r="Q452" i="5"/>
  <c r="Q453" i="5"/>
  <c r="Q454" i="5"/>
  <c r="Q455" i="5"/>
  <c r="Q456" i="5"/>
  <c r="Q457" i="5"/>
  <c r="Q458" i="5"/>
  <c r="Q459" i="5"/>
  <c r="Q460" i="5"/>
  <c r="Q461" i="5"/>
  <c r="Q462" i="5"/>
  <c r="Q463" i="5"/>
  <c r="Q464" i="5"/>
  <c r="Q465" i="5"/>
  <c r="Q466" i="5"/>
  <c r="Q467" i="5"/>
  <c r="Q468" i="5"/>
  <c r="Q469" i="5"/>
  <c r="Q470" i="5"/>
  <c r="Q471" i="5"/>
  <c r="Q472" i="5"/>
  <c r="Q473" i="5"/>
  <c r="Q474" i="5"/>
  <c r="Q475" i="5"/>
  <c r="Q476" i="5"/>
  <c r="Q477" i="5"/>
  <c r="Q478" i="5"/>
  <c r="Q479" i="5"/>
  <c r="Q480" i="5"/>
  <c r="Q481" i="5"/>
  <c r="Q482" i="5"/>
  <c r="Q483" i="5"/>
  <c r="Q484" i="5"/>
  <c r="Q485" i="5"/>
  <c r="Q486" i="5"/>
  <c r="Q487" i="5"/>
  <c r="Q488" i="5"/>
  <c r="Q489" i="5"/>
  <c r="Q490" i="5"/>
  <c r="Q491" i="5"/>
  <c r="Q492" i="5"/>
  <c r="Q493" i="5"/>
  <c r="Q494" i="5"/>
  <c r="Q495" i="5"/>
  <c r="Q496" i="5"/>
  <c r="Q497" i="5"/>
  <c r="Q498" i="5"/>
  <c r="Q499" i="5"/>
  <c r="Q500" i="5"/>
  <c r="Q501" i="5"/>
  <c r="Q502" i="5"/>
  <c r="Q503" i="5"/>
  <c r="Q504" i="5"/>
  <c r="Q505" i="5"/>
  <c r="Q506" i="5"/>
  <c r="Q507" i="5"/>
  <c r="Q508" i="5"/>
  <c r="Q509" i="5"/>
  <c r="Q510" i="5"/>
  <c r="Q511" i="5"/>
  <c r="Q512" i="5"/>
  <c r="Q513" i="5"/>
  <c r="Q514" i="5"/>
  <c r="Q515" i="5"/>
  <c r="Q516" i="5"/>
  <c r="Q517" i="5"/>
  <c r="Q518" i="5"/>
  <c r="Q519" i="5"/>
  <c r="Q520" i="5"/>
  <c r="Q521" i="5"/>
  <c r="Q522" i="5"/>
  <c r="Q523" i="5"/>
  <c r="Q524" i="5"/>
  <c r="Q525" i="5"/>
  <c r="Q526" i="5"/>
  <c r="Q527" i="5"/>
  <c r="Q528" i="5"/>
  <c r="Q529" i="5"/>
  <c r="Q530" i="5"/>
  <c r="Q531" i="5"/>
  <c r="Q532" i="5"/>
  <c r="Q533" i="5"/>
  <c r="Q534" i="5"/>
  <c r="Q535" i="5"/>
  <c r="Q536" i="5"/>
  <c r="Q537" i="5"/>
  <c r="Q538" i="5"/>
  <c r="Q539" i="5"/>
  <c r="Q540" i="5"/>
  <c r="Q541" i="5"/>
  <c r="Q542" i="5"/>
  <c r="Q543" i="5"/>
  <c r="Q544" i="5"/>
  <c r="Q545" i="5"/>
  <c r="Q546" i="5"/>
  <c r="Q547" i="5"/>
  <c r="Q548" i="5"/>
  <c r="Q549" i="5"/>
  <c r="Q550" i="5"/>
  <c r="Q551" i="5"/>
  <c r="Q552" i="5"/>
  <c r="Q553" i="5"/>
  <c r="Q554" i="5"/>
  <c r="Q555" i="5"/>
  <c r="Q556" i="5"/>
  <c r="Q557" i="5"/>
  <c r="Q558" i="5"/>
  <c r="Q559" i="5"/>
  <c r="Q560" i="5"/>
  <c r="Q561" i="5"/>
  <c r="Q562" i="5"/>
  <c r="Q563" i="5"/>
  <c r="Q564" i="5"/>
  <c r="Q565" i="5"/>
  <c r="Q566" i="5"/>
  <c r="Q567" i="5"/>
  <c r="Q568" i="5"/>
  <c r="Q569" i="5"/>
  <c r="Q570" i="5"/>
  <c r="Q571" i="5"/>
  <c r="Q572" i="5"/>
  <c r="Q573" i="5"/>
  <c r="Q574" i="5"/>
  <c r="Q575" i="5"/>
  <c r="Q576" i="5"/>
  <c r="Q577" i="5"/>
  <c r="Q578" i="5"/>
  <c r="Q579" i="5"/>
  <c r="Q580" i="5"/>
  <c r="Q581" i="5"/>
  <c r="Q582" i="5"/>
  <c r="Q583" i="5"/>
  <c r="Q584" i="5"/>
  <c r="Q585" i="5"/>
  <c r="Q586" i="5"/>
  <c r="Q587" i="5"/>
  <c r="Q588" i="5"/>
  <c r="Q589" i="5"/>
  <c r="Q590" i="5"/>
  <c r="Q591" i="5"/>
  <c r="Q592" i="5"/>
  <c r="Q593" i="5"/>
  <c r="Q594" i="5"/>
  <c r="Q595" i="5"/>
  <c r="Q596" i="5"/>
  <c r="Q597" i="5"/>
  <c r="Q598" i="5"/>
  <c r="Q599" i="5"/>
  <c r="Q600" i="5"/>
  <c r="Q601" i="5"/>
  <c r="Q602" i="5"/>
  <c r="Q603" i="5"/>
  <c r="Q604" i="5"/>
  <c r="Q605" i="5"/>
  <c r="Q606" i="5"/>
  <c r="Q607" i="5"/>
  <c r="Q608" i="5"/>
  <c r="Q609" i="5"/>
  <c r="Q610" i="5"/>
  <c r="Q611" i="5"/>
  <c r="Q612" i="5"/>
  <c r="Q613" i="5"/>
  <c r="Q614" i="5"/>
  <c r="Q615" i="5"/>
  <c r="Q616" i="5"/>
  <c r="Q617" i="5"/>
  <c r="Q618" i="5"/>
  <c r="Q619" i="5"/>
  <c r="Q620" i="5"/>
  <c r="Q621" i="5"/>
  <c r="Q622" i="5"/>
  <c r="Q623" i="5"/>
  <c r="Q624" i="5"/>
  <c r="Q625" i="5"/>
  <c r="Q626" i="5"/>
  <c r="Q627" i="5"/>
  <c r="Q628" i="5"/>
  <c r="Q629" i="5"/>
  <c r="Q630" i="5"/>
  <c r="Q631" i="5"/>
  <c r="Q632" i="5"/>
  <c r="Q633" i="5"/>
  <c r="Q634" i="5"/>
  <c r="Q635" i="5"/>
  <c r="Q636" i="5"/>
  <c r="Q637" i="5"/>
  <c r="Q638" i="5"/>
  <c r="Q639" i="5"/>
  <c r="Q640" i="5"/>
  <c r="Q641" i="5"/>
  <c r="Q642" i="5"/>
  <c r="Q643" i="5"/>
  <c r="Q644" i="5"/>
  <c r="Q645" i="5"/>
  <c r="Q646" i="5"/>
  <c r="Q647" i="5"/>
  <c r="Q648" i="5"/>
  <c r="Q649" i="5"/>
  <c r="Q650" i="5"/>
  <c r="Q651" i="5"/>
  <c r="Q652" i="5"/>
  <c r="Q653" i="5"/>
  <c r="Q654" i="5"/>
  <c r="Q655" i="5"/>
  <c r="Q656" i="5"/>
  <c r="Q657" i="5"/>
  <c r="Q658" i="5"/>
  <c r="Q659" i="5"/>
  <c r="Q660" i="5"/>
  <c r="Q661" i="5"/>
  <c r="Q662" i="5"/>
  <c r="Q663" i="5"/>
  <c r="Q664" i="5"/>
  <c r="Q665" i="5"/>
  <c r="Q666" i="5"/>
  <c r="Q667" i="5"/>
  <c r="Q668" i="5"/>
  <c r="Q669" i="5"/>
  <c r="Q670" i="5"/>
  <c r="Q671" i="5"/>
  <c r="Q672" i="5"/>
  <c r="Q673" i="5"/>
  <c r="Q674" i="5"/>
  <c r="Q675" i="5"/>
  <c r="Q676" i="5"/>
  <c r="Q677" i="5"/>
  <c r="Q678" i="5"/>
  <c r="Q679" i="5"/>
  <c r="Q680" i="5"/>
  <c r="Q681" i="5"/>
  <c r="Q682" i="5"/>
  <c r="Q683" i="5"/>
  <c r="Q684" i="5"/>
  <c r="Q685" i="5"/>
  <c r="Q686" i="5"/>
  <c r="Q687" i="5"/>
  <c r="Q688" i="5"/>
  <c r="Q689" i="5"/>
  <c r="Q690" i="5"/>
  <c r="Q691" i="5"/>
  <c r="Q692" i="5"/>
  <c r="Q693" i="5"/>
  <c r="Q694" i="5"/>
  <c r="Q695" i="5"/>
  <c r="Q696" i="5"/>
  <c r="Q697" i="5"/>
  <c r="Q698" i="5"/>
  <c r="Q699" i="5"/>
  <c r="Q700" i="5"/>
  <c r="Q701" i="5"/>
  <c r="Q702" i="5"/>
  <c r="Q703" i="5"/>
  <c r="Q704" i="5"/>
  <c r="Q705" i="5"/>
  <c r="Q706" i="5"/>
  <c r="Q707" i="5"/>
  <c r="Q708" i="5"/>
  <c r="Q709" i="5"/>
  <c r="Q710" i="5"/>
  <c r="Q711" i="5"/>
  <c r="Q712" i="5"/>
  <c r="Q713" i="5"/>
  <c r="Q714" i="5"/>
  <c r="Q715" i="5"/>
  <c r="Q716" i="5"/>
  <c r="Q717" i="5"/>
  <c r="Q718" i="5"/>
  <c r="Q719" i="5"/>
  <c r="Q720" i="5"/>
  <c r="Q721" i="5"/>
  <c r="Q722" i="5"/>
  <c r="Q723" i="5"/>
  <c r="Q724" i="5"/>
  <c r="Q725" i="5"/>
  <c r="Q726" i="5"/>
  <c r="Q727" i="5"/>
  <c r="Q728" i="5"/>
  <c r="Q729" i="5"/>
  <c r="Q730" i="5"/>
  <c r="Q731" i="5"/>
  <c r="Q732" i="5"/>
  <c r="Q733" i="5"/>
  <c r="Q734" i="5"/>
  <c r="Q735" i="5"/>
  <c r="Q736" i="5"/>
  <c r="Q737" i="5"/>
  <c r="Q738" i="5"/>
  <c r="Q739" i="5"/>
  <c r="Q740" i="5"/>
  <c r="Q741" i="5"/>
  <c r="Q742" i="5"/>
  <c r="Q743" i="5"/>
  <c r="Q744" i="5"/>
  <c r="Q745" i="5"/>
  <c r="Q746" i="5"/>
  <c r="Q747" i="5"/>
  <c r="Q748" i="5"/>
  <c r="Q749" i="5"/>
  <c r="Q750" i="5"/>
  <c r="Q751" i="5"/>
  <c r="Q752" i="5"/>
  <c r="Q753" i="5"/>
  <c r="Q754" i="5"/>
  <c r="Q755" i="5"/>
  <c r="Q756" i="5"/>
  <c r="Q757" i="5"/>
  <c r="Q758" i="5"/>
  <c r="Q759" i="5"/>
  <c r="Q760" i="5"/>
  <c r="Q761" i="5"/>
  <c r="Q762" i="5"/>
  <c r="Q763" i="5"/>
  <c r="Q764" i="5"/>
  <c r="Q765" i="5"/>
  <c r="Q766" i="5"/>
  <c r="Q767" i="5"/>
  <c r="Q768" i="5"/>
  <c r="Q769" i="5"/>
  <c r="Q770" i="5"/>
  <c r="Q771" i="5"/>
  <c r="Q772" i="5"/>
  <c r="Q773" i="5"/>
  <c r="Q774" i="5"/>
  <c r="Q775" i="5"/>
  <c r="Q776" i="5"/>
  <c r="Q777" i="5"/>
  <c r="Q778" i="5"/>
  <c r="Q779" i="5"/>
  <c r="Q780" i="5"/>
  <c r="Q781" i="5"/>
  <c r="Q782" i="5"/>
  <c r="Q783" i="5"/>
  <c r="Q784" i="5"/>
  <c r="Q785" i="5"/>
  <c r="Q786" i="5"/>
  <c r="Q787" i="5"/>
  <c r="Q788" i="5"/>
  <c r="Q789" i="5"/>
  <c r="Q790" i="5"/>
  <c r="Q791" i="5"/>
  <c r="Q792" i="5"/>
  <c r="Q793" i="5"/>
  <c r="Q794" i="5"/>
  <c r="Q795" i="5"/>
  <c r="Q796" i="5"/>
  <c r="Q797" i="5"/>
  <c r="Q798" i="5"/>
  <c r="Q799" i="5"/>
  <c r="Q800" i="5"/>
  <c r="Q801" i="5"/>
  <c r="Q802" i="5"/>
  <c r="Q803" i="5"/>
  <c r="Q804" i="5"/>
  <c r="Q805" i="5"/>
  <c r="Q806" i="5"/>
  <c r="Q807" i="5"/>
  <c r="Q808" i="5"/>
  <c r="Q809" i="5"/>
  <c r="Q810" i="5"/>
  <c r="Q811" i="5"/>
  <c r="Q812" i="5"/>
  <c r="Q813" i="5"/>
  <c r="Q814" i="5"/>
  <c r="Q815" i="5"/>
  <c r="Q816" i="5"/>
  <c r="Q817" i="5"/>
  <c r="Q818" i="5"/>
  <c r="Q819" i="5"/>
  <c r="Q820" i="5"/>
  <c r="Q821" i="5"/>
  <c r="Q822" i="5"/>
  <c r="Q823" i="5"/>
  <c r="Q824" i="5"/>
  <c r="Q825" i="5"/>
  <c r="Q826" i="5"/>
  <c r="Q827" i="5"/>
  <c r="Q828" i="5"/>
  <c r="Q829" i="5"/>
  <c r="Q830" i="5"/>
  <c r="Q831" i="5"/>
  <c r="Q832" i="5"/>
  <c r="Q833" i="5"/>
  <c r="Q834" i="5"/>
  <c r="Q835" i="5"/>
  <c r="Q836" i="5"/>
  <c r="Q837" i="5"/>
  <c r="Q838" i="5"/>
  <c r="Q839" i="5"/>
  <c r="Q840" i="5"/>
  <c r="Q841" i="5"/>
  <c r="Q842" i="5"/>
  <c r="Q843" i="5"/>
  <c r="Q844" i="5"/>
  <c r="Q845" i="5"/>
  <c r="Q846" i="5"/>
  <c r="Q847" i="5"/>
  <c r="Q848" i="5"/>
  <c r="Q849" i="5"/>
  <c r="Q850" i="5"/>
  <c r="Q851" i="5"/>
  <c r="Q852" i="5"/>
  <c r="Q853" i="5"/>
  <c r="Q854" i="5"/>
  <c r="Q855" i="5"/>
  <c r="Q856" i="5"/>
  <c r="Q857" i="5"/>
  <c r="Q858" i="5"/>
  <c r="Q859" i="5"/>
  <c r="Q860" i="5"/>
  <c r="Q861" i="5"/>
  <c r="Q862" i="5"/>
  <c r="Q863" i="5"/>
  <c r="Q864" i="5"/>
  <c r="Q865" i="5"/>
  <c r="Q866" i="5"/>
  <c r="Q867" i="5"/>
  <c r="Q868" i="5"/>
  <c r="Q869" i="5"/>
  <c r="Q870" i="5"/>
  <c r="Q871" i="5"/>
  <c r="Q872" i="5"/>
  <c r="Q873" i="5"/>
  <c r="Q874" i="5"/>
  <c r="Q875" i="5"/>
  <c r="Q876" i="5"/>
  <c r="Q877" i="5"/>
  <c r="Q878" i="5"/>
  <c r="Q879" i="5"/>
  <c r="Q880" i="5"/>
  <c r="Q881" i="5"/>
  <c r="Q882" i="5"/>
  <c r="Q883" i="5"/>
  <c r="Q884" i="5"/>
  <c r="Q885" i="5"/>
  <c r="Q886" i="5"/>
  <c r="Q887" i="5"/>
  <c r="Q888" i="5"/>
  <c r="Q889" i="5"/>
  <c r="Q890" i="5"/>
  <c r="Q891" i="5"/>
  <c r="Q892" i="5"/>
  <c r="Q893" i="5"/>
  <c r="Q894" i="5"/>
  <c r="Q895" i="5"/>
  <c r="Q896" i="5"/>
  <c r="Q897" i="5"/>
  <c r="Q898" i="5"/>
  <c r="Q899" i="5"/>
  <c r="Q900" i="5"/>
  <c r="Q901" i="5"/>
  <c r="Q902" i="5"/>
  <c r="Q903" i="5"/>
  <c r="Q904" i="5"/>
  <c r="Q905" i="5"/>
  <c r="Q906" i="5"/>
  <c r="Q907" i="5"/>
  <c r="Q908" i="5"/>
  <c r="Q909" i="5"/>
  <c r="Q910" i="5"/>
  <c r="Q911" i="5"/>
  <c r="Q912" i="5"/>
  <c r="Q913" i="5"/>
  <c r="Q914" i="5"/>
  <c r="Q915" i="5"/>
  <c r="Q916" i="5"/>
  <c r="Q917" i="5"/>
  <c r="Q918" i="5"/>
  <c r="Q919" i="5"/>
  <c r="Q920" i="5"/>
  <c r="Q921" i="5"/>
  <c r="Q922" i="5"/>
  <c r="Q923" i="5"/>
  <c r="Q924" i="5"/>
  <c r="Q925" i="5"/>
  <c r="Q926" i="5"/>
  <c r="Q927" i="5"/>
  <c r="Q928" i="5"/>
  <c r="Q929" i="5"/>
  <c r="Q930" i="5"/>
  <c r="Q931" i="5"/>
  <c r="Q932" i="5"/>
  <c r="Q933" i="5"/>
  <c r="Q934" i="5"/>
  <c r="Q935" i="5"/>
  <c r="Q936" i="5"/>
  <c r="Q937" i="5"/>
  <c r="Q938" i="5"/>
  <c r="Q939" i="5"/>
  <c r="Q940" i="5"/>
  <c r="Q941" i="5"/>
  <c r="Q942" i="5"/>
  <c r="Q943" i="5"/>
  <c r="Q944" i="5"/>
  <c r="Q945" i="5"/>
  <c r="Q946" i="5"/>
  <c r="Q947" i="5"/>
  <c r="Q948" i="5"/>
  <c r="Q949" i="5"/>
  <c r="Q950" i="5"/>
  <c r="Q951" i="5"/>
  <c r="Q952" i="5"/>
  <c r="Q953" i="5"/>
  <c r="Q954" i="5"/>
  <c r="Q955" i="5"/>
  <c r="Q956" i="5"/>
  <c r="Q957" i="5"/>
  <c r="Q958" i="5"/>
  <c r="Q959" i="5"/>
  <c r="Q960" i="5"/>
  <c r="Q961" i="5"/>
  <c r="Q962" i="5"/>
  <c r="Q963" i="5"/>
  <c r="Q964" i="5"/>
  <c r="Q965" i="5"/>
  <c r="Q966" i="5"/>
  <c r="Q967" i="5"/>
  <c r="Q968" i="5"/>
  <c r="Q969" i="5"/>
  <c r="Q970" i="5"/>
  <c r="Q971" i="5"/>
  <c r="Q972" i="5"/>
  <c r="Q973" i="5"/>
  <c r="Q974" i="5"/>
  <c r="Q975" i="5"/>
  <c r="Q976" i="5"/>
  <c r="Q977" i="5"/>
  <c r="Q978" i="5"/>
  <c r="Q979" i="5"/>
  <c r="Q980" i="5"/>
  <c r="Q981" i="5"/>
  <c r="Q982" i="5"/>
  <c r="Q983" i="5"/>
  <c r="Q984" i="5"/>
  <c r="Q985" i="5"/>
  <c r="Q986" i="5"/>
  <c r="Q987" i="5"/>
  <c r="Q988" i="5"/>
  <c r="Q989" i="5"/>
  <c r="Q990" i="5"/>
  <c r="Q991" i="5"/>
  <c r="Q992" i="5"/>
  <c r="Q993" i="5"/>
  <c r="Q994" i="5"/>
  <c r="Q995" i="5"/>
  <c r="Q996" i="5"/>
  <c r="Q997" i="5"/>
  <c r="Q998" i="5"/>
  <c r="Q999" i="5"/>
  <c r="Q1000" i="5"/>
  <c r="Q1001" i="5"/>
  <c r="Q2" i="5"/>
  <c r="P3" i="5"/>
  <c r="P4" i="5"/>
  <c r="P5" i="5"/>
  <c r="P6" i="5"/>
  <c r="P7" i="5"/>
  <c r="P8" i="5"/>
  <c r="P9" i="5"/>
  <c r="P10" i="5"/>
  <c r="P11" i="5"/>
  <c r="P12" i="5"/>
  <c r="P13" i="5"/>
  <c r="P14" i="5"/>
  <c r="P15" i="5"/>
  <c r="P16" i="5"/>
  <c r="P17" i="5"/>
  <c r="P18" i="5"/>
  <c r="P19" i="5"/>
  <c r="P20" i="5"/>
  <c r="P21" i="5"/>
  <c r="P22" i="5"/>
  <c r="P23" i="5"/>
  <c r="P24" i="5"/>
  <c r="P25" i="5"/>
  <c r="P26" i="5"/>
  <c r="P27" i="5"/>
  <c r="P28" i="5"/>
  <c r="P29" i="5"/>
  <c r="P30" i="5"/>
  <c r="P31" i="5"/>
  <c r="P32" i="5"/>
  <c r="P33" i="5"/>
  <c r="P34" i="5"/>
  <c r="P35" i="5"/>
  <c r="P36" i="5"/>
  <c r="P37" i="5"/>
  <c r="P38" i="5"/>
  <c r="P39" i="5"/>
  <c r="P40" i="5"/>
  <c r="P41" i="5"/>
  <c r="P42" i="5"/>
  <c r="P43" i="5"/>
  <c r="P44" i="5"/>
  <c r="P45" i="5"/>
  <c r="P46" i="5"/>
  <c r="P47" i="5"/>
  <c r="P48" i="5"/>
  <c r="P49" i="5"/>
  <c r="P50" i="5"/>
  <c r="P51" i="5"/>
  <c r="P52" i="5"/>
  <c r="P53" i="5"/>
  <c r="P54" i="5"/>
  <c r="P55" i="5"/>
  <c r="P56" i="5"/>
  <c r="P57" i="5"/>
  <c r="P58" i="5"/>
  <c r="P59" i="5"/>
  <c r="P60" i="5"/>
  <c r="P61" i="5"/>
  <c r="P62" i="5"/>
  <c r="P63" i="5"/>
  <c r="P64" i="5"/>
  <c r="P65" i="5"/>
  <c r="P66" i="5"/>
  <c r="P67" i="5"/>
  <c r="P68" i="5"/>
  <c r="P69" i="5"/>
  <c r="P70" i="5"/>
  <c r="P71" i="5"/>
  <c r="P72" i="5"/>
  <c r="P73" i="5"/>
  <c r="P74" i="5"/>
  <c r="P75" i="5"/>
  <c r="P76" i="5"/>
  <c r="P77" i="5"/>
  <c r="P78" i="5"/>
  <c r="P79" i="5"/>
  <c r="P80" i="5"/>
  <c r="P81" i="5"/>
  <c r="P82" i="5"/>
  <c r="P83" i="5"/>
  <c r="P84" i="5"/>
  <c r="P85" i="5"/>
  <c r="P86" i="5"/>
  <c r="P87" i="5"/>
  <c r="P88" i="5"/>
  <c r="P89" i="5"/>
  <c r="P90" i="5"/>
  <c r="P91" i="5"/>
  <c r="P92" i="5"/>
  <c r="P93" i="5"/>
  <c r="P94" i="5"/>
  <c r="P95" i="5"/>
  <c r="P96" i="5"/>
  <c r="P97" i="5"/>
  <c r="P98" i="5"/>
  <c r="P99" i="5"/>
  <c r="P100" i="5"/>
  <c r="P101" i="5"/>
  <c r="P102" i="5"/>
  <c r="P103" i="5"/>
  <c r="P104" i="5"/>
  <c r="P105" i="5"/>
  <c r="P106" i="5"/>
  <c r="P107" i="5"/>
  <c r="P108" i="5"/>
  <c r="P109" i="5"/>
  <c r="P110" i="5"/>
  <c r="P111" i="5"/>
  <c r="P112" i="5"/>
  <c r="P113" i="5"/>
  <c r="P114" i="5"/>
  <c r="P115" i="5"/>
  <c r="P116" i="5"/>
  <c r="P117" i="5"/>
  <c r="P118" i="5"/>
  <c r="P119" i="5"/>
  <c r="P120" i="5"/>
  <c r="P121" i="5"/>
  <c r="P122" i="5"/>
  <c r="P123" i="5"/>
  <c r="P124" i="5"/>
  <c r="P125" i="5"/>
  <c r="P126" i="5"/>
  <c r="P127" i="5"/>
  <c r="P128" i="5"/>
  <c r="P129" i="5"/>
  <c r="P130" i="5"/>
  <c r="P131" i="5"/>
  <c r="P132" i="5"/>
  <c r="P133" i="5"/>
  <c r="P134" i="5"/>
  <c r="P135" i="5"/>
  <c r="P136" i="5"/>
  <c r="P137" i="5"/>
  <c r="P138" i="5"/>
  <c r="P139" i="5"/>
  <c r="P140" i="5"/>
  <c r="P141" i="5"/>
  <c r="P142" i="5"/>
  <c r="P143" i="5"/>
  <c r="P144" i="5"/>
  <c r="P145" i="5"/>
  <c r="P146" i="5"/>
  <c r="P147" i="5"/>
  <c r="P148" i="5"/>
  <c r="P149" i="5"/>
  <c r="P150" i="5"/>
  <c r="P151" i="5"/>
  <c r="P152" i="5"/>
  <c r="P153" i="5"/>
  <c r="P154" i="5"/>
  <c r="P155" i="5"/>
  <c r="P156" i="5"/>
  <c r="P157" i="5"/>
  <c r="P158" i="5"/>
  <c r="P159" i="5"/>
  <c r="P160" i="5"/>
  <c r="P161" i="5"/>
  <c r="P162" i="5"/>
  <c r="P163" i="5"/>
  <c r="P164" i="5"/>
  <c r="P165" i="5"/>
  <c r="P166" i="5"/>
  <c r="P167" i="5"/>
  <c r="P168" i="5"/>
  <c r="P169" i="5"/>
  <c r="P170" i="5"/>
  <c r="P171" i="5"/>
  <c r="P172" i="5"/>
  <c r="P173" i="5"/>
  <c r="P174" i="5"/>
  <c r="P175" i="5"/>
  <c r="P176" i="5"/>
  <c r="P177" i="5"/>
  <c r="P178" i="5"/>
  <c r="P179" i="5"/>
  <c r="P180" i="5"/>
  <c r="P181" i="5"/>
  <c r="P182" i="5"/>
  <c r="P183" i="5"/>
  <c r="P184" i="5"/>
  <c r="P185" i="5"/>
  <c r="P186" i="5"/>
  <c r="P187" i="5"/>
  <c r="P188" i="5"/>
  <c r="P189" i="5"/>
  <c r="P190" i="5"/>
  <c r="P191" i="5"/>
  <c r="P192" i="5"/>
  <c r="P193" i="5"/>
  <c r="P194" i="5"/>
  <c r="P195" i="5"/>
  <c r="P196" i="5"/>
  <c r="P197" i="5"/>
  <c r="P198" i="5"/>
  <c r="P199" i="5"/>
  <c r="P200" i="5"/>
  <c r="P201" i="5"/>
  <c r="P202" i="5"/>
  <c r="P203" i="5"/>
  <c r="P204" i="5"/>
  <c r="P205" i="5"/>
  <c r="P206" i="5"/>
  <c r="P207" i="5"/>
  <c r="P208" i="5"/>
  <c r="P209" i="5"/>
  <c r="P210" i="5"/>
  <c r="P211" i="5"/>
  <c r="P212" i="5"/>
  <c r="P213" i="5"/>
  <c r="P214" i="5"/>
  <c r="P215" i="5"/>
  <c r="P216" i="5"/>
  <c r="P217" i="5"/>
  <c r="P218" i="5"/>
  <c r="P219" i="5"/>
  <c r="P220" i="5"/>
  <c r="P221" i="5"/>
  <c r="P222" i="5"/>
  <c r="P223" i="5"/>
  <c r="P224" i="5"/>
  <c r="P225" i="5"/>
  <c r="P226" i="5"/>
  <c r="P227" i="5"/>
  <c r="P228" i="5"/>
  <c r="P229" i="5"/>
  <c r="P230" i="5"/>
  <c r="P231" i="5"/>
  <c r="P232" i="5"/>
  <c r="P233" i="5"/>
  <c r="P234" i="5"/>
  <c r="P235" i="5"/>
  <c r="P236" i="5"/>
  <c r="P237" i="5"/>
  <c r="P238" i="5"/>
  <c r="P239" i="5"/>
  <c r="P240" i="5"/>
  <c r="P241" i="5"/>
  <c r="P242" i="5"/>
  <c r="P243" i="5"/>
  <c r="P244" i="5"/>
  <c r="P245" i="5"/>
  <c r="P246" i="5"/>
  <c r="P247" i="5"/>
  <c r="P248" i="5"/>
  <c r="P249" i="5"/>
  <c r="P250" i="5"/>
  <c r="P251" i="5"/>
  <c r="P252" i="5"/>
  <c r="P253" i="5"/>
  <c r="P254" i="5"/>
  <c r="P255" i="5"/>
  <c r="P256" i="5"/>
  <c r="P257" i="5"/>
  <c r="P258" i="5"/>
  <c r="P259" i="5"/>
  <c r="P260" i="5"/>
  <c r="P261" i="5"/>
  <c r="P262" i="5"/>
  <c r="P263" i="5"/>
  <c r="P264" i="5"/>
  <c r="P265" i="5"/>
  <c r="P266" i="5"/>
  <c r="P267" i="5"/>
  <c r="P268" i="5"/>
  <c r="P269" i="5"/>
  <c r="P270" i="5"/>
  <c r="P271" i="5"/>
  <c r="P272" i="5"/>
  <c r="P273" i="5"/>
  <c r="P274" i="5"/>
  <c r="P275" i="5"/>
  <c r="P276" i="5"/>
  <c r="P277" i="5"/>
  <c r="P278" i="5"/>
  <c r="P279" i="5"/>
  <c r="P280" i="5"/>
  <c r="P281" i="5"/>
  <c r="P282" i="5"/>
  <c r="P283" i="5"/>
  <c r="P284" i="5"/>
  <c r="P285" i="5"/>
  <c r="P286" i="5"/>
  <c r="P287" i="5"/>
  <c r="P288" i="5"/>
  <c r="P289" i="5"/>
  <c r="P290" i="5"/>
  <c r="P291" i="5"/>
  <c r="P292" i="5"/>
  <c r="P293" i="5"/>
  <c r="P294" i="5"/>
  <c r="P295" i="5"/>
  <c r="P296" i="5"/>
  <c r="P297" i="5"/>
  <c r="P298" i="5"/>
  <c r="P299" i="5"/>
  <c r="P300" i="5"/>
  <c r="P301" i="5"/>
  <c r="P302" i="5"/>
  <c r="P303" i="5"/>
  <c r="P304" i="5"/>
  <c r="P305" i="5"/>
  <c r="P306" i="5"/>
  <c r="P307" i="5"/>
  <c r="P308" i="5"/>
  <c r="P309" i="5"/>
  <c r="P310" i="5"/>
  <c r="P311" i="5"/>
  <c r="P312" i="5"/>
  <c r="P313" i="5"/>
  <c r="P314" i="5"/>
  <c r="P315" i="5"/>
  <c r="P316" i="5"/>
  <c r="P317" i="5"/>
  <c r="P318" i="5"/>
  <c r="P319" i="5"/>
  <c r="P320" i="5"/>
  <c r="P321" i="5"/>
  <c r="P322" i="5"/>
  <c r="P323" i="5"/>
  <c r="P324" i="5"/>
  <c r="P325" i="5"/>
  <c r="P326" i="5"/>
  <c r="P327" i="5"/>
  <c r="P328" i="5"/>
  <c r="P329" i="5"/>
  <c r="P330" i="5"/>
  <c r="P331" i="5"/>
  <c r="P332" i="5"/>
  <c r="P333" i="5"/>
  <c r="P334" i="5"/>
  <c r="P335" i="5"/>
  <c r="P336" i="5"/>
  <c r="P337" i="5"/>
  <c r="P338" i="5"/>
  <c r="P339" i="5"/>
  <c r="P340" i="5"/>
  <c r="P341" i="5"/>
  <c r="P342" i="5"/>
  <c r="P343" i="5"/>
  <c r="P344" i="5"/>
  <c r="P345" i="5"/>
  <c r="P346" i="5"/>
  <c r="P347" i="5"/>
  <c r="P348" i="5"/>
  <c r="P349" i="5"/>
  <c r="P350" i="5"/>
  <c r="P351" i="5"/>
  <c r="P352" i="5"/>
  <c r="P353" i="5"/>
  <c r="P354" i="5"/>
  <c r="P355" i="5"/>
  <c r="P356" i="5"/>
  <c r="P357" i="5"/>
  <c r="P358" i="5"/>
  <c r="P359" i="5"/>
  <c r="P360" i="5"/>
  <c r="P361" i="5"/>
  <c r="P362" i="5"/>
  <c r="P363" i="5"/>
  <c r="P364" i="5"/>
  <c r="P365" i="5"/>
  <c r="P366" i="5"/>
  <c r="P367" i="5"/>
  <c r="P368" i="5"/>
  <c r="P369" i="5"/>
  <c r="P370" i="5"/>
  <c r="P371" i="5"/>
  <c r="P372" i="5"/>
  <c r="P373" i="5"/>
  <c r="P374" i="5"/>
  <c r="P375" i="5"/>
  <c r="P376" i="5"/>
  <c r="P377" i="5"/>
  <c r="P378" i="5"/>
  <c r="P379" i="5"/>
  <c r="P380" i="5"/>
  <c r="P381" i="5"/>
  <c r="P382" i="5"/>
  <c r="P383" i="5"/>
  <c r="P384" i="5"/>
  <c r="P385" i="5"/>
  <c r="P386" i="5"/>
  <c r="P387" i="5"/>
  <c r="P388" i="5"/>
  <c r="P389" i="5"/>
  <c r="P390" i="5"/>
  <c r="P391" i="5"/>
  <c r="P392" i="5"/>
  <c r="P393" i="5"/>
  <c r="P394" i="5"/>
  <c r="P395" i="5"/>
  <c r="P396" i="5"/>
  <c r="P397" i="5"/>
  <c r="P398" i="5"/>
  <c r="P399" i="5"/>
  <c r="P400" i="5"/>
  <c r="P401" i="5"/>
  <c r="P402" i="5"/>
  <c r="P403" i="5"/>
  <c r="P404" i="5"/>
  <c r="P405" i="5"/>
  <c r="P406" i="5"/>
  <c r="P407" i="5"/>
  <c r="P408" i="5"/>
  <c r="P409" i="5"/>
  <c r="P410" i="5"/>
  <c r="P411" i="5"/>
  <c r="P412" i="5"/>
  <c r="P413" i="5"/>
  <c r="P414" i="5"/>
  <c r="P415" i="5"/>
  <c r="P416" i="5"/>
  <c r="P417" i="5"/>
  <c r="P418" i="5"/>
  <c r="P419" i="5"/>
  <c r="P420" i="5"/>
  <c r="P421" i="5"/>
  <c r="P422" i="5"/>
  <c r="P423" i="5"/>
  <c r="P424" i="5"/>
  <c r="P425" i="5"/>
  <c r="P426" i="5"/>
  <c r="P427" i="5"/>
  <c r="P428" i="5"/>
  <c r="P429" i="5"/>
  <c r="P430" i="5"/>
  <c r="P431" i="5"/>
  <c r="P432" i="5"/>
  <c r="P433" i="5"/>
  <c r="P434" i="5"/>
  <c r="P435" i="5"/>
  <c r="P436" i="5"/>
  <c r="P437" i="5"/>
  <c r="P438" i="5"/>
  <c r="P439" i="5"/>
  <c r="P440" i="5"/>
  <c r="P441" i="5"/>
  <c r="P442" i="5"/>
  <c r="P443" i="5"/>
  <c r="P444" i="5"/>
  <c r="P445" i="5"/>
  <c r="P446" i="5"/>
  <c r="P447" i="5"/>
  <c r="P448" i="5"/>
  <c r="P449" i="5"/>
  <c r="P450" i="5"/>
  <c r="P451" i="5"/>
  <c r="P452" i="5"/>
  <c r="P453" i="5"/>
  <c r="P454" i="5"/>
  <c r="P455" i="5"/>
  <c r="P456" i="5"/>
  <c r="P457" i="5"/>
  <c r="P458" i="5"/>
  <c r="P459" i="5"/>
  <c r="P460" i="5"/>
  <c r="P461" i="5"/>
  <c r="P462" i="5"/>
  <c r="P463" i="5"/>
  <c r="P464" i="5"/>
  <c r="P465" i="5"/>
  <c r="P466" i="5"/>
  <c r="P467" i="5"/>
  <c r="P468" i="5"/>
  <c r="P469" i="5"/>
  <c r="P470" i="5"/>
  <c r="P471" i="5"/>
  <c r="P472" i="5"/>
  <c r="P473" i="5"/>
  <c r="P474" i="5"/>
  <c r="P475" i="5"/>
  <c r="P476" i="5"/>
  <c r="P477" i="5"/>
  <c r="P478" i="5"/>
  <c r="P479" i="5"/>
  <c r="P480" i="5"/>
  <c r="P481" i="5"/>
  <c r="P482" i="5"/>
  <c r="P483" i="5"/>
  <c r="P484" i="5"/>
  <c r="P485" i="5"/>
  <c r="P486" i="5"/>
  <c r="P487" i="5"/>
  <c r="P488" i="5"/>
  <c r="P489" i="5"/>
  <c r="P490" i="5"/>
  <c r="P491" i="5"/>
  <c r="P492" i="5"/>
  <c r="P493" i="5"/>
  <c r="P494" i="5"/>
  <c r="P495" i="5"/>
  <c r="P496" i="5"/>
  <c r="P497" i="5"/>
  <c r="P498" i="5"/>
  <c r="P499" i="5"/>
  <c r="P500" i="5"/>
  <c r="P501" i="5"/>
  <c r="P502" i="5"/>
  <c r="P503" i="5"/>
  <c r="P504" i="5"/>
  <c r="P505" i="5"/>
  <c r="P506" i="5"/>
  <c r="P507" i="5"/>
  <c r="P508" i="5"/>
  <c r="P509" i="5"/>
  <c r="P510" i="5"/>
  <c r="P511" i="5"/>
  <c r="P512" i="5"/>
  <c r="P513" i="5"/>
  <c r="P514" i="5"/>
  <c r="P515" i="5"/>
  <c r="P516" i="5"/>
  <c r="P517" i="5"/>
  <c r="P518" i="5"/>
  <c r="P519" i="5"/>
  <c r="P520" i="5"/>
  <c r="P521" i="5"/>
  <c r="P522" i="5"/>
  <c r="P523" i="5"/>
  <c r="P524" i="5"/>
  <c r="P525" i="5"/>
  <c r="P526" i="5"/>
  <c r="P527" i="5"/>
  <c r="P528" i="5"/>
  <c r="P529" i="5"/>
  <c r="P530" i="5"/>
  <c r="P531" i="5"/>
  <c r="P532" i="5"/>
  <c r="P533" i="5"/>
  <c r="P534" i="5"/>
  <c r="P535" i="5"/>
  <c r="P536" i="5"/>
  <c r="P537" i="5"/>
  <c r="P538" i="5"/>
  <c r="P539" i="5"/>
  <c r="P540" i="5"/>
  <c r="P541" i="5"/>
  <c r="P542" i="5"/>
  <c r="P543" i="5"/>
  <c r="P544" i="5"/>
  <c r="P545" i="5"/>
  <c r="P546" i="5"/>
  <c r="P547" i="5"/>
  <c r="P548" i="5"/>
  <c r="P549" i="5"/>
  <c r="P550" i="5"/>
  <c r="P551" i="5"/>
  <c r="P552" i="5"/>
  <c r="P553" i="5"/>
  <c r="P554" i="5"/>
  <c r="P555" i="5"/>
  <c r="P556" i="5"/>
  <c r="P557" i="5"/>
  <c r="P558" i="5"/>
  <c r="P559" i="5"/>
  <c r="P560" i="5"/>
  <c r="P561" i="5"/>
  <c r="P562" i="5"/>
  <c r="P563" i="5"/>
  <c r="P564" i="5"/>
  <c r="P565" i="5"/>
  <c r="P566" i="5"/>
  <c r="P567" i="5"/>
  <c r="P568" i="5"/>
  <c r="P569" i="5"/>
  <c r="P570" i="5"/>
  <c r="P571" i="5"/>
  <c r="P572" i="5"/>
  <c r="P573" i="5"/>
  <c r="P574" i="5"/>
  <c r="P575" i="5"/>
  <c r="P576" i="5"/>
  <c r="P577" i="5"/>
  <c r="P578" i="5"/>
  <c r="P579" i="5"/>
  <c r="P580" i="5"/>
  <c r="P581" i="5"/>
  <c r="P582" i="5"/>
  <c r="P583" i="5"/>
  <c r="P584" i="5"/>
  <c r="P585" i="5"/>
  <c r="P586" i="5"/>
  <c r="P587" i="5"/>
  <c r="P588" i="5"/>
  <c r="P589" i="5"/>
  <c r="P590" i="5"/>
  <c r="P591" i="5"/>
  <c r="P592" i="5"/>
  <c r="P593" i="5"/>
  <c r="P594" i="5"/>
  <c r="P595" i="5"/>
  <c r="P596" i="5"/>
  <c r="P597" i="5"/>
  <c r="P598" i="5"/>
  <c r="P599" i="5"/>
  <c r="P600" i="5"/>
  <c r="P601" i="5"/>
  <c r="P602" i="5"/>
  <c r="P603" i="5"/>
  <c r="P604" i="5"/>
  <c r="P605" i="5"/>
  <c r="P606" i="5"/>
  <c r="P607" i="5"/>
  <c r="P608" i="5"/>
  <c r="P609" i="5"/>
  <c r="P610" i="5"/>
  <c r="P611" i="5"/>
  <c r="P612" i="5"/>
  <c r="P613" i="5"/>
  <c r="P614" i="5"/>
  <c r="P615" i="5"/>
  <c r="P616" i="5"/>
  <c r="P617" i="5"/>
  <c r="P618" i="5"/>
  <c r="P619" i="5"/>
  <c r="P620" i="5"/>
  <c r="P621" i="5"/>
  <c r="P622" i="5"/>
  <c r="P623" i="5"/>
  <c r="P624" i="5"/>
  <c r="P625" i="5"/>
  <c r="P626" i="5"/>
  <c r="P627" i="5"/>
  <c r="P628" i="5"/>
  <c r="P629" i="5"/>
  <c r="P630" i="5"/>
  <c r="P631" i="5"/>
  <c r="P632" i="5"/>
  <c r="P633" i="5"/>
  <c r="P634" i="5"/>
  <c r="P635" i="5"/>
  <c r="P636" i="5"/>
  <c r="P637" i="5"/>
  <c r="P638" i="5"/>
  <c r="P639" i="5"/>
  <c r="P640" i="5"/>
  <c r="P641" i="5"/>
  <c r="P642" i="5"/>
  <c r="P643" i="5"/>
  <c r="P644" i="5"/>
  <c r="P645" i="5"/>
  <c r="P646" i="5"/>
  <c r="P647" i="5"/>
  <c r="P648" i="5"/>
  <c r="P649" i="5"/>
  <c r="P650" i="5"/>
  <c r="P651" i="5"/>
  <c r="P652" i="5"/>
  <c r="P653" i="5"/>
  <c r="P654" i="5"/>
  <c r="P655" i="5"/>
  <c r="P656" i="5"/>
  <c r="P657" i="5"/>
  <c r="P658" i="5"/>
  <c r="P659" i="5"/>
  <c r="P660" i="5"/>
  <c r="P661" i="5"/>
  <c r="P662" i="5"/>
  <c r="P663" i="5"/>
  <c r="P664" i="5"/>
  <c r="P665" i="5"/>
  <c r="P666" i="5"/>
  <c r="P667" i="5"/>
  <c r="P668" i="5"/>
  <c r="P669" i="5"/>
  <c r="P670" i="5"/>
  <c r="P671" i="5"/>
  <c r="P672" i="5"/>
  <c r="P673" i="5"/>
  <c r="P674" i="5"/>
  <c r="P675" i="5"/>
  <c r="P676" i="5"/>
  <c r="P677" i="5"/>
  <c r="P678" i="5"/>
  <c r="P679" i="5"/>
  <c r="P680" i="5"/>
  <c r="P681" i="5"/>
  <c r="P682" i="5"/>
  <c r="P683" i="5"/>
  <c r="P684" i="5"/>
  <c r="P685" i="5"/>
  <c r="P686" i="5"/>
  <c r="P687" i="5"/>
  <c r="P688" i="5"/>
  <c r="P689" i="5"/>
  <c r="P690" i="5"/>
  <c r="P691" i="5"/>
  <c r="P692" i="5"/>
  <c r="P693" i="5"/>
  <c r="P694" i="5"/>
  <c r="P695" i="5"/>
  <c r="P696" i="5"/>
  <c r="P697" i="5"/>
  <c r="P698" i="5"/>
  <c r="P699" i="5"/>
  <c r="P700" i="5"/>
  <c r="P701" i="5"/>
  <c r="P702" i="5"/>
  <c r="P703" i="5"/>
  <c r="P704" i="5"/>
  <c r="P705" i="5"/>
  <c r="P706" i="5"/>
  <c r="P707" i="5"/>
  <c r="P708" i="5"/>
  <c r="P709" i="5"/>
  <c r="P710" i="5"/>
  <c r="P711" i="5"/>
  <c r="P712" i="5"/>
  <c r="P713" i="5"/>
  <c r="P714" i="5"/>
  <c r="P715" i="5"/>
  <c r="P716" i="5"/>
  <c r="P717" i="5"/>
  <c r="P718" i="5"/>
  <c r="P719" i="5"/>
  <c r="P720" i="5"/>
  <c r="P721" i="5"/>
  <c r="P722" i="5"/>
  <c r="P723" i="5"/>
  <c r="P724" i="5"/>
  <c r="P725" i="5"/>
  <c r="P726" i="5"/>
  <c r="P727" i="5"/>
  <c r="P728" i="5"/>
  <c r="P729" i="5"/>
  <c r="P730" i="5"/>
  <c r="P731" i="5"/>
  <c r="P732" i="5"/>
  <c r="P733" i="5"/>
  <c r="P734" i="5"/>
  <c r="P735" i="5"/>
  <c r="P736" i="5"/>
  <c r="P737" i="5"/>
  <c r="P738" i="5"/>
  <c r="P739" i="5"/>
  <c r="P740" i="5"/>
  <c r="P741" i="5"/>
  <c r="P742" i="5"/>
  <c r="P743" i="5"/>
  <c r="P744" i="5"/>
  <c r="P745" i="5"/>
  <c r="P746" i="5"/>
  <c r="P747" i="5"/>
  <c r="P748" i="5"/>
  <c r="P749" i="5"/>
  <c r="P750" i="5"/>
  <c r="P751" i="5"/>
  <c r="P752" i="5"/>
  <c r="P753" i="5"/>
  <c r="P754" i="5"/>
  <c r="P755" i="5"/>
  <c r="P756" i="5"/>
  <c r="P757" i="5"/>
  <c r="P758" i="5"/>
  <c r="P759" i="5"/>
  <c r="P760" i="5"/>
  <c r="P761" i="5"/>
  <c r="P762" i="5"/>
  <c r="P763" i="5"/>
  <c r="P764" i="5"/>
  <c r="P765" i="5"/>
  <c r="P766" i="5"/>
  <c r="P767" i="5"/>
  <c r="P768" i="5"/>
  <c r="P769" i="5"/>
  <c r="P770" i="5"/>
  <c r="P771" i="5"/>
  <c r="P772" i="5"/>
  <c r="P773" i="5"/>
  <c r="P774" i="5"/>
  <c r="P775" i="5"/>
  <c r="P776" i="5"/>
  <c r="P777" i="5"/>
  <c r="P778" i="5"/>
  <c r="P779" i="5"/>
  <c r="P780" i="5"/>
  <c r="P781" i="5"/>
  <c r="P782" i="5"/>
  <c r="P783" i="5"/>
  <c r="P784" i="5"/>
  <c r="P785" i="5"/>
  <c r="P786" i="5"/>
  <c r="P787" i="5"/>
  <c r="P788" i="5"/>
  <c r="P789" i="5"/>
  <c r="P790" i="5"/>
  <c r="P791" i="5"/>
  <c r="P792" i="5"/>
  <c r="P793" i="5"/>
  <c r="P794" i="5"/>
  <c r="P795" i="5"/>
  <c r="P796" i="5"/>
  <c r="P797" i="5"/>
  <c r="P798" i="5"/>
  <c r="P799" i="5"/>
  <c r="P800" i="5"/>
  <c r="P801" i="5"/>
  <c r="P802" i="5"/>
  <c r="P803" i="5"/>
  <c r="P804" i="5"/>
  <c r="P805" i="5"/>
  <c r="P806" i="5"/>
  <c r="P807" i="5"/>
  <c r="P808" i="5"/>
  <c r="P809" i="5"/>
  <c r="P810" i="5"/>
  <c r="P811" i="5"/>
  <c r="P812" i="5"/>
  <c r="P813" i="5"/>
  <c r="P814" i="5"/>
  <c r="P815" i="5"/>
  <c r="P816" i="5"/>
  <c r="P817" i="5"/>
  <c r="P818" i="5"/>
  <c r="P819" i="5"/>
  <c r="P820" i="5"/>
  <c r="P821" i="5"/>
  <c r="P822" i="5"/>
  <c r="P823" i="5"/>
  <c r="P824" i="5"/>
  <c r="P825" i="5"/>
  <c r="P826" i="5"/>
  <c r="P827" i="5"/>
  <c r="P828" i="5"/>
  <c r="P829" i="5"/>
  <c r="P830" i="5"/>
  <c r="P831" i="5"/>
  <c r="P832" i="5"/>
  <c r="P833" i="5"/>
  <c r="P834" i="5"/>
  <c r="P835" i="5"/>
  <c r="P836" i="5"/>
  <c r="P837" i="5"/>
  <c r="P838" i="5"/>
  <c r="P839" i="5"/>
  <c r="P840" i="5"/>
  <c r="P841" i="5"/>
  <c r="P842" i="5"/>
  <c r="P843" i="5"/>
  <c r="P844" i="5"/>
  <c r="P845" i="5"/>
  <c r="P846" i="5"/>
  <c r="P847" i="5"/>
  <c r="P848" i="5"/>
  <c r="P849" i="5"/>
  <c r="P850" i="5"/>
  <c r="P851" i="5"/>
  <c r="P852" i="5"/>
  <c r="P853" i="5"/>
  <c r="P854" i="5"/>
  <c r="P855" i="5"/>
  <c r="P856" i="5"/>
  <c r="P857" i="5"/>
  <c r="P858" i="5"/>
  <c r="P859" i="5"/>
  <c r="P860" i="5"/>
  <c r="P861" i="5"/>
  <c r="P862" i="5"/>
  <c r="P863" i="5"/>
  <c r="P864" i="5"/>
  <c r="P865" i="5"/>
  <c r="P866" i="5"/>
  <c r="P867" i="5"/>
  <c r="P868" i="5"/>
  <c r="P869" i="5"/>
  <c r="P870" i="5"/>
  <c r="P871" i="5"/>
  <c r="P872" i="5"/>
  <c r="P873" i="5"/>
  <c r="P874" i="5"/>
  <c r="P875" i="5"/>
  <c r="P876" i="5"/>
  <c r="P877" i="5"/>
  <c r="P878" i="5"/>
  <c r="P879" i="5"/>
  <c r="P880" i="5"/>
  <c r="P881" i="5"/>
  <c r="P882" i="5"/>
  <c r="P883" i="5"/>
  <c r="P884" i="5"/>
  <c r="P885" i="5"/>
  <c r="P886" i="5"/>
  <c r="P887" i="5"/>
  <c r="P888" i="5"/>
  <c r="P889" i="5"/>
  <c r="P890" i="5"/>
  <c r="P891" i="5"/>
  <c r="P892" i="5"/>
  <c r="P893" i="5"/>
  <c r="P894" i="5"/>
  <c r="P895" i="5"/>
  <c r="P896" i="5"/>
  <c r="P897" i="5"/>
  <c r="P898" i="5"/>
  <c r="P899" i="5"/>
  <c r="P900" i="5"/>
  <c r="P901" i="5"/>
  <c r="P902" i="5"/>
  <c r="P903" i="5"/>
  <c r="P904" i="5"/>
  <c r="P905" i="5"/>
  <c r="P906" i="5"/>
  <c r="P907" i="5"/>
  <c r="P908" i="5"/>
  <c r="P909" i="5"/>
  <c r="P910" i="5"/>
  <c r="P911" i="5"/>
  <c r="P912" i="5"/>
  <c r="P913" i="5"/>
  <c r="P914" i="5"/>
  <c r="P915" i="5"/>
  <c r="P916" i="5"/>
  <c r="P917" i="5"/>
  <c r="P918" i="5"/>
  <c r="P919" i="5"/>
  <c r="P920" i="5"/>
  <c r="P921" i="5"/>
  <c r="P922" i="5"/>
  <c r="P923" i="5"/>
  <c r="P924" i="5"/>
  <c r="P925" i="5"/>
  <c r="P926" i="5"/>
  <c r="P927" i="5"/>
  <c r="P928" i="5"/>
  <c r="P929" i="5"/>
  <c r="P930" i="5"/>
  <c r="P931" i="5"/>
  <c r="P932" i="5"/>
  <c r="P933" i="5"/>
  <c r="P934" i="5"/>
  <c r="P935" i="5"/>
  <c r="P936" i="5"/>
  <c r="P937" i="5"/>
  <c r="P938" i="5"/>
  <c r="P939" i="5"/>
  <c r="P940" i="5"/>
  <c r="P941" i="5"/>
  <c r="P942" i="5"/>
  <c r="P943" i="5"/>
  <c r="P944" i="5"/>
  <c r="P945" i="5"/>
  <c r="P946" i="5"/>
  <c r="P947" i="5"/>
  <c r="P948" i="5"/>
  <c r="P949" i="5"/>
  <c r="P950" i="5"/>
  <c r="P951" i="5"/>
  <c r="P952" i="5"/>
  <c r="P953" i="5"/>
  <c r="P954" i="5"/>
  <c r="P955" i="5"/>
  <c r="P956" i="5"/>
  <c r="P957" i="5"/>
  <c r="P958" i="5"/>
  <c r="P959" i="5"/>
  <c r="P960" i="5"/>
  <c r="P961" i="5"/>
  <c r="P962" i="5"/>
  <c r="P963" i="5"/>
  <c r="P964" i="5"/>
  <c r="P965" i="5"/>
  <c r="P966" i="5"/>
  <c r="P967" i="5"/>
  <c r="P968" i="5"/>
  <c r="P969" i="5"/>
  <c r="P970" i="5"/>
  <c r="P971" i="5"/>
  <c r="P972" i="5"/>
  <c r="P973" i="5"/>
  <c r="P974" i="5"/>
  <c r="P975" i="5"/>
  <c r="P976" i="5"/>
  <c r="P977" i="5"/>
  <c r="P978" i="5"/>
  <c r="P979" i="5"/>
  <c r="P980" i="5"/>
  <c r="P981" i="5"/>
  <c r="P982" i="5"/>
  <c r="P983" i="5"/>
  <c r="P984" i="5"/>
  <c r="P985" i="5"/>
  <c r="P986" i="5"/>
  <c r="P987" i="5"/>
  <c r="P988" i="5"/>
  <c r="P989" i="5"/>
  <c r="P990" i="5"/>
  <c r="P991" i="5"/>
  <c r="P992" i="5"/>
  <c r="P993" i="5"/>
  <c r="P994" i="5"/>
  <c r="P995" i="5"/>
  <c r="P996" i="5"/>
  <c r="P997" i="5"/>
  <c r="P998" i="5"/>
  <c r="P999" i="5"/>
  <c r="P1000" i="5"/>
  <c r="P1001" i="5"/>
  <c r="P2" i="5"/>
  <c r="O3" i="5"/>
  <c r="O4" i="5"/>
  <c r="O5" i="5"/>
  <c r="O6" i="5"/>
  <c r="O7" i="5"/>
  <c r="O8" i="5"/>
  <c r="O9" i="5"/>
  <c r="O10" i="5"/>
  <c r="O11" i="5"/>
  <c r="O12" i="5"/>
  <c r="O13" i="5"/>
  <c r="O14" i="5"/>
  <c r="O15" i="5"/>
  <c r="O16" i="5"/>
  <c r="O17" i="5"/>
  <c r="O18" i="5"/>
  <c r="O19" i="5"/>
  <c r="O20" i="5"/>
  <c r="O21" i="5"/>
  <c r="O22" i="5"/>
  <c r="O23" i="5"/>
  <c r="O24" i="5"/>
  <c r="O25" i="5"/>
  <c r="O26" i="5"/>
  <c r="O27" i="5"/>
  <c r="O28" i="5"/>
  <c r="O29" i="5"/>
  <c r="O30" i="5"/>
  <c r="O31" i="5"/>
  <c r="O32" i="5"/>
  <c r="O33" i="5"/>
  <c r="O34" i="5"/>
  <c r="O35" i="5"/>
  <c r="O36" i="5"/>
  <c r="O37" i="5"/>
  <c r="O38" i="5"/>
  <c r="O39" i="5"/>
  <c r="O40" i="5"/>
  <c r="O41" i="5"/>
  <c r="O42" i="5"/>
  <c r="O43" i="5"/>
  <c r="O44" i="5"/>
  <c r="O45" i="5"/>
  <c r="O46" i="5"/>
  <c r="O47" i="5"/>
  <c r="O48" i="5"/>
  <c r="O49" i="5"/>
  <c r="O50" i="5"/>
  <c r="O51" i="5"/>
  <c r="O52" i="5"/>
  <c r="O53" i="5"/>
  <c r="O54" i="5"/>
  <c r="O55" i="5"/>
  <c r="O56" i="5"/>
  <c r="O57" i="5"/>
  <c r="O58" i="5"/>
  <c r="O59" i="5"/>
  <c r="O60" i="5"/>
  <c r="O61" i="5"/>
  <c r="O62" i="5"/>
  <c r="O63" i="5"/>
  <c r="O64" i="5"/>
  <c r="O65" i="5"/>
  <c r="O66" i="5"/>
  <c r="O67" i="5"/>
  <c r="O68" i="5"/>
  <c r="O69" i="5"/>
  <c r="O70" i="5"/>
  <c r="O71" i="5"/>
  <c r="O72" i="5"/>
  <c r="O73" i="5"/>
  <c r="O74" i="5"/>
  <c r="O75" i="5"/>
  <c r="O76" i="5"/>
  <c r="O77" i="5"/>
  <c r="O78" i="5"/>
  <c r="O79" i="5"/>
  <c r="O80" i="5"/>
  <c r="O81" i="5"/>
  <c r="O82" i="5"/>
  <c r="O83" i="5"/>
  <c r="O84" i="5"/>
  <c r="O85" i="5"/>
  <c r="O86" i="5"/>
  <c r="O87" i="5"/>
  <c r="O88" i="5"/>
  <c r="O89" i="5"/>
  <c r="O90" i="5"/>
  <c r="O91" i="5"/>
  <c r="O92" i="5"/>
  <c r="O93" i="5"/>
  <c r="O94" i="5"/>
  <c r="O95" i="5"/>
  <c r="O96" i="5"/>
  <c r="O97" i="5"/>
  <c r="O98" i="5"/>
  <c r="O99" i="5"/>
  <c r="O100" i="5"/>
  <c r="O101" i="5"/>
  <c r="O102" i="5"/>
  <c r="O103" i="5"/>
  <c r="O104" i="5"/>
  <c r="O105" i="5"/>
  <c r="O106" i="5"/>
  <c r="O107" i="5"/>
  <c r="O108" i="5"/>
  <c r="O109" i="5"/>
  <c r="O110" i="5"/>
  <c r="O111" i="5"/>
  <c r="O112" i="5"/>
  <c r="O113" i="5"/>
  <c r="O114" i="5"/>
  <c r="O115" i="5"/>
  <c r="O116" i="5"/>
  <c r="O117" i="5"/>
  <c r="O118" i="5"/>
  <c r="O119" i="5"/>
  <c r="O120" i="5"/>
  <c r="O121" i="5"/>
  <c r="O122" i="5"/>
  <c r="O123" i="5"/>
  <c r="O124" i="5"/>
  <c r="O125" i="5"/>
  <c r="O126" i="5"/>
  <c r="O127" i="5"/>
  <c r="O128" i="5"/>
  <c r="O129" i="5"/>
  <c r="O130" i="5"/>
  <c r="O131" i="5"/>
  <c r="O132" i="5"/>
  <c r="O133" i="5"/>
  <c r="O134" i="5"/>
  <c r="O135" i="5"/>
  <c r="O136" i="5"/>
  <c r="O137" i="5"/>
  <c r="O138" i="5"/>
  <c r="O139" i="5"/>
  <c r="O140" i="5"/>
  <c r="O141" i="5"/>
  <c r="O142" i="5"/>
  <c r="O143" i="5"/>
  <c r="O144" i="5"/>
  <c r="O145" i="5"/>
  <c r="O146" i="5"/>
  <c r="O147" i="5"/>
  <c r="O148" i="5"/>
  <c r="O149" i="5"/>
  <c r="O150" i="5"/>
  <c r="O151" i="5"/>
  <c r="O152" i="5"/>
  <c r="O153" i="5"/>
  <c r="O154" i="5"/>
  <c r="O155" i="5"/>
  <c r="O156" i="5"/>
  <c r="O157" i="5"/>
  <c r="O158" i="5"/>
  <c r="O159" i="5"/>
  <c r="O160" i="5"/>
  <c r="O161" i="5"/>
  <c r="O162" i="5"/>
  <c r="O163" i="5"/>
  <c r="O164" i="5"/>
  <c r="O165" i="5"/>
  <c r="O166" i="5"/>
  <c r="O167" i="5"/>
  <c r="O168" i="5"/>
  <c r="O169" i="5"/>
  <c r="O170" i="5"/>
  <c r="O171" i="5"/>
  <c r="O172" i="5"/>
  <c r="O173" i="5"/>
  <c r="O174" i="5"/>
  <c r="O175" i="5"/>
  <c r="O176" i="5"/>
  <c r="O177" i="5"/>
  <c r="O178" i="5"/>
  <c r="O179" i="5"/>
  <c r="O180" i="5"/>
  <c r="O181" i="5"/>
  <c r="O182" i="5"/>
  <c r="O183" i="5"/>
  <c r="O184" i="5"/>
  <c r="O185" i="5"/>
  <c r="O186" i="5"/>
  <c r="O187" i="5"/>
  <c r="O188" i="5"/>
  <c r="O189" i="5"/>
  <c r="O190" i="5"/>
  <c r="O191" i="5"/>
  <c r="O192" i="5"/>
  <c r="O193" i="5"/>
  <c r="O194" i="5"/>
  <c r="O195" i="5"/>
  <c r="O196" i="5"/>
  <c r="O197" i="5"/>
  <c r="O198" i="5"/>
  <c r="O199" i="5"/>
  <c r="O200" i="5"/>
  <c r="O201" i="5"/>
  <c r="O202" i="5"/>
  <c r="O203" i="5"/>
  <c r="O204" i="5"/>
  <c r="O205" i="5"/>
  <c r="O206" i="5"/>
  <c r="O207" i="5"/>
  <c r="O208" i="5"/>
  <c r="O209" i="5"/>
  <c r="O210" i="5"/>
  <c r="O211" i="5"/>
  <c r="O212" i="5"/>
  <c r="O213" i="5"/>
  <c r="O214" i="5"/>
  <c r="O215" i="5"/>
  <c r="O216" i="5"/>
  <c r="O217" i="5"/>
  <c r="O218" i="5"/>
  <c r="O219" i="5"/>
  <c r="O220" i="5"/>
  <c r="O221" i="5"/>
  <c r="O222" i="5"/>
  <c r="O223" i="5"/>
  <c r="O224" i="5"/>
  <c r="O225" i="5"/>
  <c r="O226" i="5"/>
  <c r="O227" i="5"/>
  <c r="O228" i="5"/>
  <c r="O229" i="5"/>
  <c r="O230" i="5"/>
  <c r="O231" i="5"/>
  <c r="O232" i="5"/>
  <c r="O233" i="5"/>
  <c r="O234" i="5"/>
  <c r="O235" i="5"/>
  <c r="O236" i="5"/>
  <c r="O237" i="5"/>
  <c r="O238" i="5"/>
  <c r="O239" i="5"/>
  <c r="O240" i="5"/>
  <c r="O241" i="5"/>
  <c r="O242" i="5"/>
  <c r="O243" i="5"/>
  <c r="O244" i="5"/>
  <c r="O245" i="5"/>
  <c r="O246" i="5"/>
  <c r="O247" i="5"/>
  <c r="O248" i="5"/>
  <c r="O249" i="5"/>
  <c r="O250" i="5"/>
  <c r="O251" i="5"/>
  <c r="O252" i="5"/>
  <c r="O253" i="5"/>
  <c r="O254" i="5"/>
  <c r="O255" i="5"/>
  <c r="O256" i="5"/>
  <c r="O257" i="5"/>
  <c r="O258" i="5"/>
  <c r="O259" i="5"/>
  <c r="O260" i="5"/>
  <c r="O261" i="5"/>
  <c r="O262" i="5"/>
  <c r="O263" i="5"/>
  <c r="O264" i="5"/>
  <c r="O265" i="5"/>
  <c r="O266" i="5"/>
  <c r="O267" i="5"/>
  <c r="O268" i="5"/>
  <c r="O269" i="5"/>
  <c r="O270" i="5"/>
  <c r="O271" i="5"/>
  <c r="O272" i="5"/>
  <c r="O273" i="5"/>
  <c r="O274" i="5"/>
  <c r="O275" i="5"/>
  <c r="O276" i="5"/>
  <c r="O277" i="5"/>
  <c r="O278" i="5"/>
  <c r="O279" i="5"/>
  <c r="O280" i="5"/>
  <c r="O281" i="5"/>
  <c r="O282" i="5"/>
  <c r="O283" i="5"/>
  <c r="O284" i="5"/>
  <c r="O285" i="5"/>
  <c r="O286" i="5"/>
  <c r="O287" i="5"/>
  <c r="O288" i="5"/>
  <c r="O289" i="5"/>
  <c r="O290" i="5"/>
  <c r="O291" i="5"/>
  <c r="O292" i="5"/>
  <c r="O293" i="5"/>
  <c r="O294" i="5"/>
  <c r="O295" i="5"/>
  <c r="O296" i="5"/>
  <c r="O297" i="5"/>
  <c r="O298" i="5"/>
  <c r="O299" i="5"/>
  <c r="O300" i="5"/>
  <c r="O301" i="5"/>
  <c r="O302" i="5"/>
  <c r="O303" i="5"/>
  <c r="O304" i="5"/>
  <c r="O305" i="5"/>
  <c r="O306" i="5"/>
  <c r="O307" i="5"/>
  <c r="O308" i="5"/>
  <c r="O309" i="5"/>
  <c r="O310" i="5"/>
  <c r="O311" i="5"/>
  <c r="O312" i="5"/>
  <c r="O313" i="5"/>
  <c r="O314" i="5"/>
  <c r="O315" i="5"/>
  <c r="O316" i="5"/>
  <c r="O317" i="5"/>
  <c r="O318" i="5"/>
  <c r="O319" i="5"/>
  <c r="O320" i="5"/>
  <c r="O321" i="5"/>
  <c r="O322" i="5"/>
  <c r="O323" i="5"/>
  <c r="O324" i="5"/>
  <c r="O325" i="5"/>
  <c r="O326" i="5"/>
  <c r="O327" i="5"/>
  <c r="O328" i="5"/>
  <c r="O329" i="5"/>
  <c r="O330" i="5"/>
  <c r="O331" i="5"/>
  <c r="O332" i="5"/>
  <c r="O333" i="5"/>
  <c r="O334" i="5"/>
  <c r="O335" i="5"/>
  <c r="O336" i="5"/>
  <c r="O337" i="5"/>
  <c r="O338" i="5"/>
  <c r="O339" i="5"/>
  <c r="O340" i="5"/>
  <c r="O341" i="5"/>
  <c r="O342" i="5"/>
  <c r="O343" i="5"/>
  <c r="O344" i="5"/>
  <c r="O345" i="5"/>
  <c r="O346" i="5"/>
  <c r="O347" i="5"/>
  <c r="O348" i="5"/>
  <c r="O349" i="5"/>
  <c r="O350" i="5"/>
  <c r="O351" i="5"/>
  <c r="O352" i="5"/>
  <c r="O353" i="5"/>
  <c r="O354" i="5"/>
  <c r="O355" i="5"/>
  <c r="O356" i="5"/>
  <c r="O357" i="5"/>
  <c r="O358" i="5"/>
  <c r="O359" i="5"/>
  <c r="O360" i="5"/>
  <c r="O361" i="5"/>
  <c r="O362" i="5"/>
  <c r="O363" i="5"/>
  <c r="O364" i="5"/>
  <c r="O365" i="5"/>
  <c r="O366" i="5"/>
  <c r="O367" i="5"/>
  <c r="O368" i="5"/>
  <c r="O369" i="5"/>
  <c r="O370" i="5"/>
  <c r="O371" i="5"/>
  <c r="O372" i="5"/>
  <c r="O373" i="5"/>
  <c r="O374" i="5"/>
  <c r="O375" i="5"/>
  <c r="O376" i="5"/>
  <c r="O377" i="5"/>
  <c r="O378" i="5"/>
  <c r="O379" i="5"/>
  <c r="O380" i="5"/>
  <c r="O381" i="5"/>
  <c r="O382" i="5"/>
  <c r="O383" i="5"/>
  <c r="O384" i="5"/>
  <c r="O385" i="5"/>
  <c r="O386" i="5"/>
  <c r="O387" i="5"/>
  <c r="O388" i="5"/>
  <c r="O389" i="5"/>
  <c r="O390" i="5"/>
  <c r="O391" i="5"/>
  <c r="O392" i="5"/>
  <c r="O393" i="5"/>
  <c r="O394" i="5"/>
  <c r="O395" i="5"/>
  <c r="O396" i="5"/>
  <c r="O397" i="5"/>
  <c r="O398" i="5"/>
  <c r="O399" i="5"/>
  <c r="O400" i="5"/>
  <c r="O401" i="5"/>
  <c r="O402" i="5"/>
  <c r="O403" i="5"/>
  <c r="O404" i="5"/>
  <c r="O405" i="5"/>
  <c r="O406" i="5"/>
  <c r="O407" i="5"/>
  <c r="O408" i="5"/>
  <c r="O409" i="5"/>
  <c r="O410" i="5"/>
  <c r="O411" i="5"/>
  <c r="O412" i="5"/>
  <c r="O413" i="5"/>
  <c r="O414" i="5"/>
  <c r="O415" i="5"/>
  <c r="O416" i="5"/>
  <c r="O417" i="5"/>
  <c r="O418" i="5"/>
  <c r="O419" i="5"/>
  <c r="O420" i="5"/>
  <c r="O421" i="5"/>
  <c r="O422" i="5"/>
  <c r="O423" i="5"/>
  <c r="O424" i="5"/>
  <c r="O425" i="5"/>
  <c r="O426" i="5"/>
  <c r="O427" i="5"/>
  <c r="O428" i="5"/>
  <c r="O429" i="5"/>
  <c r="O430" i="5"/>
  <c r="O431" i="5"/>
  <c r="O432" i="5"/>
  <c r="O433" i="5"/>
  <c r="O434" i="5"/>
  <c r="O435" i="5"/>
  <c r="O436" i="5"/>
  <c r="O437" i="5"/>
  <c r="O438" i="5"/>
  <c r="O439" i="5"/>
  <c r="O440" i="5"/>
  <c r="O441" i="5"/>
  <c r="O442" i="5"/>
  <c r="O443" i="5"/>
  <c r="O444" i="5"/>
  <c r="O445" i="5"/>
  <c r="O446" i="5"/>
  <c r="O447" i="5"/>
  <c r="O448" i="5"/>
  <c r="O449" i="5"/>
  <c r="O450" i="5"/>
  <c r="O451" i="5"/>
  <c r="O452" i="5"/>
  <c r="O453" i="5"/>
  <c r="O454" i="5"/>
  <c r="O455" i="5"/>
  <c r="O456" i="5"/>
  <c r="O457" i="5"/>
  <c r="O458" i="5"/>
  <c r="O459" i="5"/>
  <c r="O460" i="5"/>
  <c r="O461" i="5"/>
  <c r="O462" i="5"/>
  <c r="O463" i="5"/>
  <c r="O464" i="5"/>
  <c r="O465" i="5"/>
  <c r="O466" i="5"/>
  <c r="O467" i="5"/>
  <c r="O468" i="5"/>
  <c r="O469" i="5"/>
  <c r="O470" i="5"/>
  <c r="O471" i="5"/>
  <c r="O472" i="5"/>
  <c r="O473" i="5"/>
  <c r="O474" i="5"/>
  <c r="O475" i="5"/>
  <c r="O476" i="5"/>
  <c r="O477" i="5"/>
  <c r="O478" i="5"/>
  <c r="O479" i="5"/>
  <c r="O480" i="5"/>
  <c r="O481" i="5"/>
  <c r="O482" i="5"/>
  <c r="O483" i="5"/>
  <c r="O484" i="5"/>
  <c r="O485" i="5"/>
  <c r="O486" i="5"/>
  <c r="O487" i="5"/>
  <c r="O488" i="5"/>
  <c r="O489" i="5"/>
  <c r="O490" i="5"/>
  <c r="O491" i="5"/>
  <c r="O492" i="5"/>
  <c r="O493" i="5"/>
  <c r="O494" i="5"/>
  <c r="O495" i="5"/>
  <c r="O496" i="5"/>
  <c r="O497" i="5"/>
  <c r="O498" i="5"/>
  <c r="O499" i="5"/>
  <c r="O500" i="5"/>
  <c r="O501" i="5"/>
  <c r="O502" i="5"/>
  <c r="O503" i="5"/>
  <c r="O504" i="5"/>
  <c r="O505" i="5"/>
  <c r="O506" i="5"/>
  <c r="O507" i="5"/>
  <c r="O508" i="5"/>
  <c r="O509" i="5"/>
  <c r="O510" i="5"/>
  <c r="O511" i="5"/>
  <c r="O512" i="5"/>
  <c r="O513" i="5"/>
  <c r="O514" i="5"/>
  <c r="O515" i="5"/>
  <c r="O516" i="5"/>
  <c r="O517" i="5"/>
  <c r="O518" i="5"/>
  <c r="O519" i="5"/>
  <c r="O520" i="5"/>
  <c r="O521" i="5"/>
  <c r="O522" i="5"/>
  <c r="O523" i="5"/>
  <c r="O524" i="5"/>
  <c r="O525" i="5"/>
  <c r="O526" i="5"/>
  <c r="O527" i="5"/>
  <c r="O528" i="5"/>
  <c r="O529" i="5"/>
  <c r="O530" i="5"/>
  <c r="O531" i="5"/>
  <c r="O532" i="5"/>
  <c r="O533" i="5"/>
  <c r="O534" i="5"/>
  <c r="O535" i="5"/>
  <c r="O536" i="5"/>
  <c r="O537" i="5"/>
  <c r="O538" i="5"/>
  <c r="O539" i="5"/>
  <c r="O540" i="5"/>
  <c r="O541" i="5"/>
  <c r="O542" i="5"/>
  <c r="O543" i="5"/>
  <c r="O544" i="5"/>
  <c r="O545" i="5"/>
  <c r="O546" i="5"/>
  <c r="O547" i="5"/>
  <c r="O548" i="5"/>
  <c r="O549" i="5"/>
  <c r="O550" i="5"/>
  <c r="O551" i="5"/>
  <c r="O552" i="5"/>
  <c r="O553" i="5"/>
  <c r="O554" i="5"/>
  <c r="O555" i="5"/>
  <c r="O556" i="5"/>
  <c r="O557" i="5"/>
  <c r="O558" i="5"/>
  <c r="O559" i="5"/>
  <c r="O560" i="5"/>
  <c r="O561" i="5"/>
  <c r="O562" i="5"/>
  <c r="O563" i="5"/>
  <c r="O564" i="5"/>
  <c r="O565" i="5"/>
  <c r="O566" i="5"/>
  <c r="O567" i="5"/>
  <c r="O568" i="5"/>
  <c r="O569" i="5"/>
  <c r="O570" i="5"/>
  <c r="O571" i="5"/>
  <c r="O572" i="5"/>
  <c r="O573" i="5"/>
  <c r="O574" i="5"/>
  <c r="O575" i="5"/>
  <c r="O576" i="5"/>
  <c r="O577" i="5"/>
  <c r="O578" i="5"/>
  <c r="O579" i="5"/>
  <c r="O580" i="5"/>
  <c r="O581" i="5"/>
  <c r="O582" i="5"/>
  <c r="O583" i="5"/>
  <c r="O584" i="5"/>
  <c r="O585" i="5"/>
  <c r="O586" i="5"/>
  <c r="O587" i="5"/>
  <c r="O588" i="5"/>
  <c r="O589" i="5"/>
  <c r="O590" i="5"/>
  <c r="O591" i="5"/>
  <c r="O592" i="5"/>
  <c r="O593" i="5"/>
  <c r="O594" i="5"/>
  <c r="O595" i="5"/>
  <c r="O596" i="5"/>
  <c r="O597" i="5"/>
  <c r="O598" i="5"/>
  <c r="O599" i="5"/>
  <c r="O600" i="5"/>
  <c r="O601" i="5"/>
  <c r="O602" i="5"/>
  <c r="O603" i="5"/>
  <c r="O604" i="5"/>
  <c r="O605" i="5"/>
  <c r="O606" i="5"/>
  <c r="O607" i="5"/>
  <c r="O608" i="5"/>
  <c r="O609" i="5"/>
  <c r="O610" i="5"/>
  <c r="O611" i="5"/>
  <c r="O612" i="5"/>
  <c r="O613" i="5"/>
  <c r="O614" i="5"/>
  <c r="O615" i="5"/>
  <c r="O616" i="5"/>
  <c r="O617" i="5"/>
  <c r="O618" i="5"/>
  <c r="O619" i="5"/>
  <c r="O620" i="5"/>
  <c r="O621" i="5"/>
  <c r="O622" i="5"/>
  <c r="O623" i="5"/>
  <c r="O624" i="5"/>
  <c r="O625" i="5"/>
  <c r="O626" i="5"/>
  <c r="O627" i="5"/>
  <c r="O628" i="5"/>
  <c r="O629" i="5"/>
  <c r="O630" i="5"/>
  <c r="O631" i="5"/>
  <c r="O632" i="5"/>
  <c r="O633" i="5"/>
  <c r="O634" i="5"/>
  <c r="O635" i="5"/>
  <c r="O636" i="5"/>
  <c r="O637" i="5"/>
  <c r="O638" i="5"/>
  <c r="O639" i="5"/>
  <c r="O640" i="5"/>
  <c r="O641" i="5"/>
  <c r="O642" i="5"/>
  <c r="O643" i="5"/>
  <c r="O644" i="5"/>
  <c r="O645" i="5"/>
  <c r="O646" i="5"/>
  <c r="O647" i="5"/>
  <c r="O648" i="5"/>
  <c r="O649" i="5"/>
  <c r="O650" i="5"/>
  <c r="O651" i="5"/>
  <c r="O652" i="5"/>
  <c r="O653" i="5"/>
  <c r="O654" i="5"/>
  <c r="O655" i="5"/>
  <c r="O656" i="5"/>
  <c r="O657" i="5"/>
  <c r="O658" i="5"/>
  <c r="O659" i="5"/>
  <c r="O660" i="5"/>
  <c r="O661" i="5"/>
  <c r="O662" i="5"/>
  <c r="O663" i="5"/>
  <c r="O664" i="5"/>
  <c r="O665" i="5"/>
  <c r="O666" i="5"/>
  <c r="O667" i="5"/>
  <c r="O668" i="5"/>
  <c r="O669" i="5"/>
  <c r="O670" i="5"/>
  <c r="O671" i="5"/>
  <c r="O672" i="5"/>
  <c r="O673" i="5"/>
  <c r="O674" i="5"/>
  <c r="O675" i="5"/>
  <c r="O676" i="5"/>
  <c r="O677" i="5"/>
  <c r="O678" i="5"/>
  <c r="O679" i="5"/>
  <c r="O680" i="5"/>
  <c r="O681" i="5"/>
  <c r="O682" i="5"/>
  <c r="O683" i="5"/>
  <c r="O684" i="5"/>
  <c r="O685" i="5"/>
  <c r="O686" i="5"/>
  <c r="O687" i="5"/>
  <c r="O688" i="5"/>
  <c r="O689" i="5"/>
  <c r="O690" i="5"/>
  <c r="O691" i="5"/>
  <c r="O692" i="5"/>
  <c r="O693" i="5"/>
  <c r="O694" i="5"/>
  <c r="O695" i="5"/>
  <c r="O696" i="5"/>
  <c r="O697" i="5"/>
  <c r="O698" i="5"/>
  <c r="O699" i="5"/>
  <c r="O700" i="5"/>
  <c r="O701" i="5"/>
  <c r="O702" i="5"/>
  <c r="O703" i="5"/>
  <c r="O704" i="5"/>
  <c r="O705" i="5"/>
  <c r="O706" i="5"/>
  <c r="O707" i="5"/>
  <c r="O708" i="5"/>
  <c r="O709" i="5"/>
  <c r="O710" i="5"/>
  <c r="O711" i="5"/>
  <c r="O712" i="5"/>
  <c r="O713" i="5"/>
  <c r="O714" i="5"/>
  <c r="O715" i="5"/>
  <c r="O716" i="5"/>
  <c r="O717" i="5"/>
  <c r="O718" i="5"/>
  <c r="O719" i="5"/>
  <c r="O720" i="5"/>
  <c r="O721" i="5"/>
  <c r="O722" i="5"/>
  <c r="O723" i="5"/>
  <c r="O724" i="5"/>
  <c r="O725" i="5"/>
  <c r="O726" i="5"/>
  <c r="O727" i="5"/>
  <c r="O728" i="5"/>
  <c r="O729" i="5"/>
  <c r="O730" i="5"/>
  <c r="O731" i="5"/>
  <c r="O732" i="5"/>
  <c r="O733" i="5"/>
  <c r="O734" i="5"/>
  <c r="O735" i="5"/>
  <c r="O736" i="5"/>
  <c r="O737" i="5"/>
  <c r="O738" i="5"/>
  <c r="O739" i="5"/>
  <c r="O740" i="5"/>
  <c r="O741" i="5"/>
  <c r="O742" i="5"/>
  <c r="O743" i="5"/>
  <c r="O744" i="5"/>
  <c r="O745" i="5"/>
  <c r="O746" i="5"/>
  <c r="O747" i="5"/>
  <c r="O748" i="5"/>
  <c r="O749" i="5"/>
  <c r="O750" i="5"/>
  <c r="O751" i="5"/>
  <c r="O752" i="5"/>
  <c r="O753" i="5"/>
  <c r="O754" i="5"/>
  <c r="O755" i="5"/>
  <c r="O756" i="5"/>
  <c r="O757" i="5"/>
  <c r="O758" i="5"/>
  <c r="O759" i="5"/>
  <c r="O760" i="5"/>
  <c r="O761" i="5"/>
  <c r="O762" i="5"/>
  <c r="O763" i="5"/>
  <c r="O764" i="5"/>
  <c r="O765" i="5"/>
  <c r="O766" i="5"/>
  <c r="O767" i="5"/>
  <c r="O768" i="5"/>
  <c r="O769" i="5"/>
  <c r="O770" i="5"/>
  <c r="O771" i="5"/>
  <c r="O772" i="5"/>
  <c r="O773" i="5"/>
  <c r="O774" i="5"/>
  <c r="O775" i="5"/>
  <c r="O776" i="5"/>
  <c r="O777" i="5"/>
  <c r="O778" i="5"/>
  <c r="O779" i="5"/>
  <c r="O780" i="5"/>
  <c r="O781" i="5"/>
  <c r="O782" i="5"/>
  <c r="O783" i="5"/>
  <c r="O784" i="5"/>
  <c r="O785" i="5"/>
  <c r="O786" i="5"/>
  <c r="O787" i="5"/>
  <c r="O788" i="5"/>
  <c r="O789" i="5"/>
  <c r="O790" i="5"/>
  <c r="O791" i="5"/>
  <c r="O792" i="5"/>
  <c r="O793" i="5"/>
  <c r="O794" i="5"/>
  <c r="O795" i="5"/>
  <c r="O796" i="5"/>
  <c r="O797" i="5"/>
  <c r="O798" i="5"/>
  <c r="O799" i="5"/>
  <c r="O800" i="5"/>
  <c r="O801" i="5"/>
  <c r="O802" i="5"/>
  <c r="O803" i="5"/>
  <c r="O804" i="5"/>
  <c r="O805" i="5"/>
  <c r="O806" i="5"/>
  <c r="O807" i="5"/>
  <c r="O808" i="5"/>
  <c r="O809" i="5"/>
  <c r="O810" i="5"/>
  <c r="O811" i="5"/>
  <c r="O812" i="5"/>
  <c r="O813" i="5"/>
  <c r="O814" i="5"/>
  <c r="O815" i="5"/>
  <c r="O816" i="5"/>
  <c r="O817" i="5"/>
  <c r="O818" i="5"/>
  <c r="O819" i="5"/>
  <c r="O820" i="5"/>
  <c r="O821" i="5"/>
  <c r="O822" i="5"/>
  <c r="O823" i="5"/>
  <c r="O824" i="5"/>
  <c r="O825" i="5"/>
  <c r="O826" i="5"/>
  <c r="O827" i="5"/>
  <c r="O828" i="5"/>
  <c r="O829" i="5"/>
  <c r="O830" i="5"/>
  <c r="O831" i="5"/>
  <c r="O832" i="5"/>
  <c r="O833" i="5"/>
  <c r="O834" i="5"/>
  <c r="O835" i="5"/>
  <c r="O836" i="5"/>
  <c r="O837" i="5"/>
  <c r="O838" i="5"/>
  <c r="O839" i="5"/>
  <c r="O840" i="5"/>
  <c r="O841" i="5"/>
  <c r="O842" i="5"/>
  <c r="O843" i="5"/>
  <c r="O844" i="5"/>
  <c r="O845" i="5"/>
  <c r="O846" i="5"/>
  <c r="O847" i="5"/>
  <c r="O848" i="5"/>
  <c r="O849" i="5"/>
  <c r="O850" i="5"/>
  <c r="O851" i="5"/>
  <c r="O852" i="5"/>
  <c r="O853" i="5"/>
  <c r="O854" i="5"/>
  <c r="O855" i="5"/>
  <c r="O856" i="5"/>
  <c r="O857" i="5"/>
  <c r="O858" i="5"/>
  <c r="O859" i="5"/>
  <c r="O860" i="5"/>
  <c r="O861" i="5"/>
  <c r="O862" i="5"/>
  <c r="O863" i="5"/>
  <c r="O864" i="5"/>
  <c r="O865" i="5"/>
  <c r="O866" i="5"/>
  <c r="O867" i="5"/>
  <c r="O868" i="5"/>
  <c r="O869" i="5"/>
  <c r="O870" i="5"/>
  <c r="O871" i="5"/>
  <c r="O872" i="5"/>
  <c r="O873" i="5"/>
  <c r="O874" i="5"/>
  <c r="O875" i="5"/>
  <c r="O876" i="5"/>
  <c r="O877" i="5"/>
  <c r="O878" i="5"/>
  <c r="O879" i="5"/>
  <c r="O880" i="5"/>
  <c r="O881" i="5"/>
  <c r="O882" i="5"/>
  <c r="O883" i="5"/>
  <c r="O884" i="5"/>
  <c r="O885" i="5"/>
  <c r="O886" i="5"/>
  <c r="O887" i="5"/>
  <c r="O888" i="5"/>
  <c r="O889" i="5"/>
  <c r="O890" i="5"/>
  <c r="O891" i="5"/>
  <c r="O892" i="5"/>
  <c r="O893" i="5"/>
  <c r="O894" i="5"/>
  <c r="O895" i="5"/>
  <c r="O896" i="5"/>
  <c r="O897" i="5"/>
  <c r="O898" i="5"/>
  <c r="O899" i="5"/>
  <c r="O900" i="5"/>
  <c r="O901" i="5"/>
  <c r="O902" i="5"/>
  <c r="O903" i="5"/>
  <c r="O904" i="5"/>
  <c r="O905" i="5"/>
  <c r="O906" i="5"/>
  <c r="O907" i="5"/>
  <c r="O908" i="5"/>
  <c r="O909" i="5"/>
  <c r="O910" i="5"/>
  <c r="O911" i="5"/>
  <c r="O912" i="5"/>
  <c r="O913" i="5"/>
  <c r="O914" i="5"/>
  <c r="O915" i="5"/>
  <c r="O916" i="5"/>
  <c r="O917" i="5"/>
  <c r="O918" i="5"/>
  <c r="O919" i="5"/>
  <c r="O920" i="5"/>
  <c r="O921" i="5"/>
  <c r="O922" i="5"/>
  <c r="O923" i="5"/>
  <c r="O924" i="5"/>
  <c r="O925" i="5"/>
  <c r="O926" i="5"/>
  <c r="O927" i="5"/>
  <c r="O928" i="5"/>
  <c r="O929" i="5"/>
  <c r="O930" i="5"/>
  <c r="O931" i="5"/>
  <c r="O932" i="5"/>
  <c r="O933" i="5"/>
  <c r="O934" i="5"/>
  <c r="O935" i="5"/>
  <c r="O936" i="5"/>
  <c r="O937" i="5"/>
  <c r="O938" i="5"/>
  <c r="O939" i="5"/>
  <c r="O940" i="5"/>
  <c r="O941" i="5"/>
  <c r="O942" i="5"/>
  <c r="O943" i="5"/>
  <c r="O944" i="5"/>
  <c r="O945" i="5"/>
  <c r="O946" i="5"/>
  <c r="O947" i="5"/>
  <c r="O948" i="5"/>
  <c r="O949" i="5"/>
  <c r="O950" i="5"/>
  <c r="O951" i="5"/>
  <c r="O952" i="5"/>
  <c r="O953" i="5"/>
  <c r="O954" i="5"/>
  <c r="O955" i="5"/>
  <c r="O956" i="5"/>
  <c r="O957" i="5"/>
  <c r="O958" i="5"/>
  <c r="O959" i="5"/>
  <c r="O960" i="5"/>
  <c r="O961" i="5"/>
  <c r="O962" i="5"/>
  <c r="O963" i="5"/>
  <c r="O964" i="5"/>
  <c r="O965" i="5"/>
  <c r="O966" i="5"/>
  <c r="O967" i="5"/>
  <c r="O968" i="5"/>
  <c r="O969" i="5"/>
  <c r="O970" i="5"/>
  <c r="O971" i="5"/>
  <c r="O972" i="5"/>
  <c r="O973" i="5"/>
  <c r="O974" i="5"/>
  <c r="O975" i="5"/>
  <c r="O976" i="5"/>
  <c r="O977" i="5"/>
  <c r="O978" i="5"/>
  <c r="O979" i="5"/>
  <c r="O980" i="5"/>
  <c r="O981" i="5"/>
  <c r="O982" i="5"/>
  <c r="O983" i="5"/>
  <c r="O984" i="5"/>
  <c r="O985" i="5"/>
  <c r="O986" i="5"/>
  <c r="O987" i="5"/>
  <c r="O988" i="5"/>
  <c r="O989" i="5"/>
  <c r="O990" i="5"/>
  <c r="O991" i="5"/>
  <c r="O992" i="5"/>
  <c r="O993" i="5"/>
  <c r="O994" i="5"/>
  <c r="O995" i="5"/>
  <c r="O996" i="5"/>
  <c r="O997" i="5"/>
  <c r="O998" i="5"/>
  <c r="O999" i="5"/>
  <c r="O1000" i="5"/>
  <c r="O1001" i="5"/>
  <c r="O2" i="5"/>
  <c r="N3" i="5"/>
  <c r="N4" i="5"/>
  <c r="N5" i="5"/>
  <c r="N6" i="5"/>
  <c r="N7" i="5"/>
  <c r="N8" i="5"/>
  <c r="N9" i="5"/>
  <c r="N10" i="5"/>
  <c r="N11" i="5"/>
  <c r="N12" i="5"/>
  <c r="N13" i="5"/>
  <c r="N14" i="5"/>
  <c r="N15" i="5"/>
  <c r="N16" i="5"/>
  <c r="N17" i="5"/>
  <c r="N18" i="5"/>
  <c r="N19" i="5"/>
  <c r="N20" i="5"/>
  <c r="N21" i="5"/>
  <c r="N22" i="5"/>
  <c r="N23" i="5"/>
  <c r="N24" i="5"/>
  <c r="N25" i="5"/>
  <c r="N26" i="5"/>
  <c r="N27" i="5"/>
  <c r="N28" i="5"/>
  <c r="N29" i="5"/>
  <c r="N30" i="5"/>
  <c r="N31" i="5"/>
  <c r="N32" i="5"/>
  <c r="N33" i="5"/>
  <c r="N34" i="5"/>
  <c r="N35" i="5"/>
  <c r="N36" i="5"/>
  <c r="N37" i="5"/>
  <c r="N38" i="5"/>
  <c r="N39" i="5"/>
  <c r="N40" i="5"/>
  <c r="N41" i="5"/>
  <c r="N42" i="5"/>
  <c r="N43" i="5"/>
  <c r="N44" i="5"/>
  <c r="N45" i="5"/>
  <c r="N46" i="5"/>
  <c r="N47" i="5"/>
  <c r="N48" i="5"/>
  <c r="N49" i="5"/>
  <c r="N50" i="5"/>
  <c r="N51" i="5"/>
  <c r="N52" i="5"/>
  <c r="N53" i="5"/>
  <c r="N54" i="5"/>
  <c r="N55" i="5"/>
  <c r="N56" i="5"/>
  <c r="N57" i="5"/>
  <c r="N58" i="5"/>
  <c r="N59" i="5"/>
  <c r="N60" i="5"/>
  <c r="N61" i="5"/>
  <c r="N62" i="5"/>
  <c r="N63" i="5"/>
  <c r="N64" i="5"/>
  <c r="N65" i="5"/>
  <c r="N66" i="5"/>
  <c r="N67" i="5"/>
  <c r="N68" i="5"/>
  <c r="N69" i="5"/>
  <c r="N70" i="5"/>
  <c r="N71" i="5"/>
  <c r="N72" i="5"/>
  <c r="N73" i="5"/>
  <c r="N74" i="5"/>
  <c r="N75" i="5"/>
  <c r="N76" i="5"/>
  <c r="N77" i="5"/>
  <c r="N78" i="5"/>
  <c r="N79" i="5"/>
  <c r="N80" i="5"/>
  <c r="N81" i="5"/>
  <c r="N82" i="5"/>
  <c r="N83" i="5"/>
  <c r="N84" i="5"/>
  <c r="N85" i="5"/>
  <c r="N86" i="5"/>
  <c r="N87" i="5"/>
  <c r="N88" i="5"/>
  <c r="N89" i="5"/>
  <c r="N90" i="5"/>
  <c r="N91" i="5"/>
  <c r="N92" i="5"/>
  <c r="N93" i="5"/>
  <c r="N94" i="5"/>
  <c r="N95" i="5"/>
  <c r="N96" i="5"/>
  <c r="N97" i="5"/>
  <c r="N98" i="5"/>
  <c r="N99" i="5"/>
  <c r="N100" i="5"/>
  <c r="N101" i="5"/>
  <c r="N102" i="5"/>
  <c r="N103" i="5"/>
  <c r="N104" i="5"/>
  <c r="N105" i="5"/>
  <c r="N106" i="5"/>
  <c r="N107" i="5"/>
  <c r="N108" i="5"/>
  <c r="N109" i="5"/>
  <c r="N110" i="5"/>
  <c r="N111" i="5"/>
  <c r="N112" i="5"/>
  <c r="N113" i="5"/>
  <c r="N114" i="5"/>
  <c r="N115" i="5"/>
  <c r="N116" i="5"/>
  <c r="N117" i="5"/>
  <c r="N118" i="5"/>
  <c r="N119" i="5"/>
  <c r="N120" i="5"/>
  <c r="N121" i="5"/>
  <c r="N122" i="5"/>
  <c r="N123" i="5"/>
  <c r="N124" i="5"/>
  <c r="N125" i="5"/>
  <c r="N126" i="5"/>
  <c r="N127" i="5"/>
  <c r="N128" i="5"/>
  <c r="N129" i="5"/>
  <c r="N130" i="5"/>
  <c r="N131" i="5"/>
  <c r="N132" i="5"/>
  <c r="N133" i="5"/>
  <c r="N134" i="5"/>
  <c r="N135" i="5"/>
  <c r="N136" i="5"/>
  <c r="N137" i="5"/>
  <c r="N138" i="5"/>
  <c r="N139" i="5"/>
  <c r="N140" i="5"/>
  <c r="N141" i="5"/>
  <c r="N142" i="5"/>
  <c r="N143" i="5"/>
  <c r="N144" i="5"/>
  <c r="N145" i="5"/>
  <c r="N146" i="5"/>
  <c r="N147" i="5"/>
  <c r="N148" i="5"/>
  <c r="N149" i="5"/>
  <c r="N150" i="5"/>
  <c r="N151" i="5"/>
  <c r="N152" i="5"/>
  <c r="N153" i="5"/>
  <c r="N154" i="5"/>
  <c r="N155" i="5"/>
  <c r="N156" i="5"/>
  <c r="N157" i="5"/>
  <c r="N158" i="5"/>
  <c r="N159" i="5"/>
  <c r="N160" i="5"/>
  <c r="N161" i="5"/>
  <c r="N162" i="5"/>
  <c r="N163" i="5"/>
  <c r="N164" i="5"/>
  <c r="N165" i="5"/>
  <c r="N166" i="5"/>
  <c r="N167" i="5"/>
  <c r="N168" i="5"/>
  <c r="N169" i="5"/>
  <c r="N170" i="5"/>
  <c r="N171" i="5"/>
  <c r="N172" i="5"/>
  <c r="N173" i="5"/>
  <c r="N174" i="5"/>
  <c r="N175" i="5"/>
  <c r="N176" i="5"/>
  <c r="N177" i="5"/>
  <c r="N178" i="5"/>
  <c r="N179" i="5"/>
  <c r="N180" i="5"/>
  <c r="N181" i="5"/>
  <c r="N182" i="5"/>
  <c r="N183" i="5"/>
  <c r="N184" i="5"/>
  <c r="N185" i="5"/>
  <c r="N186" i="5"/>
  <c r="N187" i="5"/>
  <c r="N188" i="5"/>
  <c r="N189" i="5"/>
  <c r="N190" i="5"/>
  <c r="N191" i="5"/>
  <c r="N192" i="5"/>
  <c r="N193" i="5"/>
  <c r="N194" i="5"/>
  <c r="N195" i="5"/>
  <c r="N196" i="5"/>
  <c r="N197" i="5"/>
  <c r="N198" i="5"/>
  <c r="N199" i="5"/>
  <c r="N200" i="5"/>
  <c r="N201" i="5"/>
  <c r="N202" i="5"/>
  <c r="N203" i="5"/>
  <c r="N204" i="5"/>
  <c r="N205" i="5"/>
  <c r="N206" i="5"/>
  <c r="N207" i="5"/>
  <c r="N208" i="5"/>
  <c r="N209" i="5"/>
  <c r="N210" i="5"/>
  <c r="N211" i="5"/>
  <c r="N212" i="5"/>
  <c r="N213" i="5"/>
  <c r="N214" i="5"/>
  <c r="N215" i="5"/>
  <c r="N216" i="5"/>
  <c r="N217" i="5"/>
  <c r="N218" i="5"/>
  <c r="N219" i="5"/>
  <c r="N220" i="5"/>
  <c r="N221" i="5"/>
  <c r="N222" i="5"/>
  <c r="N223" i="5"/>
  <c r="N224" i="5"/>
  <c r="N225" i="5"/>
  <c r="N226" i="5"/>
  <c r="N227" i="5"/>
  <c r="N228" i="5"/>
  <c r="N229" i="5"/>
  <c r="N230" i="5"/>
  <c r="N231" i="5"/>
  <c r="N232" i="5"/>
  <c r="N233" i="5"/>
  <c r="N234" i="5"/>
  <c r="N235" i="5"/>
  <c r="N236" i="5"/>
  <c r="N237" i="5"/>
  <c r="N238" i="5"/>
  <c r="N239" i="5"/>
  <c r="N240" i="5"/>
  <c r="N241" i="5"/>
  <c r="N242" i="5"/>
  <c r="N243" i="5"/>
  <c r="N244" i="5"/>
  <c r="N245" i="5"/>
  <c r="N246" i="5"/>
  <c r="N247" i="5"/>
  <c r="N248" i="5"/>
  <c r="N249" i="5"/>
  <c r="N250" i="5"/>
  <c r="N251" i="5"/>
  <c r="N252" i="5"/>
  <c r="N253" i="5"/>
  <c r="N254" i="5"/>
  <c r="N255" i="5"/>
  <c r="N256" i="5"/>
  <c r="N257" i="5"/>
  <c r="N258" i="5"/>
  <c r="N259" i="5"/>
  <c r="N260" i="5"/>
  <c r="N261" i="5"/>
  <c r="N262" i="5"/>
  <c r="N263" i="5"/>
  <c r="N264" i="5"/>
  <c r="N265" i="5"/>
  <c r="N266" i="5"/>
  <c r="N267" i="5"/>
  <c r="N268" i="5"/>
  <c r="N269" i="5"/>
  <c r="N270" i="5"/>
  <c r="N271" i="5"/>
  <c r="N272" i="5"/>
  <c r="N273" i="5"/>
  <c r="N274" i="5"/>
  <c r="N275" i="5"/>
  <c r="N276" i="5"/>
  <c r="N277" i="5"/>
  <c r="N278" i="5"/>
  <c r="N279" i="5"/>
  <c r="N280" i="5"/>
  <c r="N281" i="5"/>
  <c r="N282" i="5"/>
  <c r="N283" i="5"/>
  <c r="N284" i="5"/>
  <c r="N285" i="5"/>
  <c r="N286" i="5"/>
  <c r="N287" i="5"/>
  <c r="N288" i="5"/>
  <c r="N289" i="5"/>
  <c r="N290" i="5"/>
  <c r="N291" i="5"/>
  <c r="N292" i="5"/>
  <c r="N293" i="5"/>
  <c r="N294" i="5"/>
  <c r="N295" i="5"/>
  <c r="N296" i="5"/>
  <c r="N297" i="5"/>
  <c r="N298" i="5"/>
  <c r="N299" i="5"/>
  <c r="N300" i="5"/>
  <c r="N301" i="5"/>
  <c r="N302" i="5"/>
  <c r="N303" i="5"/>
  <c r="N304" i="5"/>
  <c r="N305" i="5"/>
  <c r="N306" i="5"/>
  <c r="N307" i="5"/>
  <c r="N308" i="5"/>
  <c r="N309" i="5"/>
  <c r="N310" i="5"/>
  <c r="N311" i="5"/>
  <c r="N312" i="5"/>
  <c r="N313" i="5"/>
  <c r="N314" i="5"/>
  <c r="N315" i="5"/>
  <c r="N316" i="5"/>
  <c r="N317" i="5"/>
  <c r="N318" i="5"/>
  <c r="N319" i="5"/>
  <c r="N320" i="5"/>
  <c r="N321" i="5"/>
  <c r="N322" i="5"/>
  <c r="N323" i="5"/>
  <c r="N324" i="5"/>
  <c r="N325" i="5"/>
  <c r="N326" i="5"/>
  <c r="N327" i="5"/>
  <c r="N328" i="5"/>
  <c r="N329" i="5"/>
  <c r="N330" i="5"/>
  <c r="N331" i="5"/>
  <c r="N332" i="5"/>
  <c r="N333" i="5"/>
  <c r="N334" i="5"/>
  <c r="N335" i="5"/>
  <c r="N336" i="5"/>
  <c r="N337" i="5"/>
  <c r="N338" i="5"/>
  <c r="N339" i="5"/>
  <c r="N340" i="5"/>
  <c r="N341" i="5"/>
  <c r="N342" i="5"/>
  <c r="N343" i="5"/>
  <c r="N344" i="5"/>
  <c r="N345" i="5"/>
  <c r="N346" i="5"/>
  <c r="N347" i="5"/>
  <c r="N348" i="5"/>
  <c r="N349" i="5"/>
  <c r="N350" i="5"/>
  <c r="N351" i="5"/>
  <c r="N352" i="5"/>
  <c r="N353" i="5"/>
  <c r="N354" i="5"/>
  <c r="N355" i="5"/>
  <c r="N356" i="5"/>
  <c r="N357" i="5"/>
  <c r="N358" i="5"/>
  <c r="N359" i="5"/>
  <c r="N360" i="5"/>
  <c r="N361" i="5"/>
  <c r="N362" i="5"/>
  <c r="N363" i="5"/>
  <c r="N364" i="5"/>
  <c r="N365" i="5"/>
  <c r="N366" i="5"/>
  <c r="N367" i="5"/>
  <c r="N368" i="5"/>
  <c r="N369" i="5"/>
  <c r="N370" i="5"/>
  <c r="N371" i="5"/>
  <c r="N372" i="5"/>
  <c r="N373" i="5"/>
  <c r="N374" i="5"/>
  <c r="N375" i="5"/>
  <c r="N376" i="5"/>
  <c r="N377" i="5"/>
  <c r="N378" i="5"/>
  <c r="N379" i="5"/>
  <c r="N380" i="5"/>
  <c r="N381" i="5"/>
  <c r="N382" i="5"/>
  <c r="N383" i="5"/>
  <c r="N384" i="5"/>
  <c r="N385" i="5"/>
  <c r="N386" i="5"/>
  <c r="N387" i="5"/>
  <c r="N388" i="5"/>
  <c r="N389" i="5"/>
  <c r="N390" i="5"/>
  <c r="N391" i="5"/>
  <c r="N392" i="5"/>
  <c r="N393" i="5"/>
  <c r="N394" i="5"/>
  <c r="N395" i="5"/>
  <c r="N396" i="5"/>
  <c r="N397" i="5"/>
  <c r="N398" i="5"/>
  <c r="N399" i="5"/>
  <c r="N400" i="5"/>
  <c r="N401" i="5"/>
  <c r="N402" i="5"/>
  <c r="N403" i="5"/>
  <c r="N404" i="5"/>
  <c r="N405" i="5"/>
  <c r="N406" i="5"/>
  <c r="N407" i="5"/>
  <c r="N408" i="5"/>
  <c r="N409" i="5"/>
  <c r="N410" i="5"/>
  <c r="N411" i="5"/>
  <c r="N412" i="5"/>
  <c r="N413" i="5"/>
  <c r="N414" i="5"/>
  <c r="N415" i="5"/>
  <c r="N416" i="5"/>
  <c r="N417" i="5"/>
  <c r="N418" i="5"/>
  <c r="N419" i="5"/>
  <c r="N420" i="5"/>
  <c r="N421" i="5"/>
  <c r="N422" i="5"/>
  <c r="N423" i="5"/>
  <c r="N424" i="5"/>
  <c r="N425" i="5"/>
  <c r="N426" i="5"/>
  <c r="N427" i="5"/>
  <c r="N428" i="5"/>
  <c r="N429" i="5"/>
  <c r="N430" i="5"/>
  <c r="N431" i="5"/>
  <c r="N432" i="5"/>
  <c r="N433" i="5"/>
  <c r="N434" i="5"/>
  <c r="N435" i="5"/>
  <c r="N436" i="5"/>
  <c r="N437" i="5"/>
  <c r="N438" i="5"/>
  <c r="N439" i="5"/>
  <c r="N440" i="5"/>
  <c r="N441" i="5"/>
  <c r="N442" i="5"/>
  <c r="N443" i="5"/>
  <c r="N444" i="5"/>
  <c r="N445" i="5"/>
  <c r="N446" i="5"/>
  <c r="N447" i="5"/>
  <c r="N448" i="5"/>
  <c r="N449" i="5"/>
  <c r="N450" i="5"/>
  <c r="N451" i="5"/>
  <c r="N452" i="5"/>
  <c r="N453" i="5"/>
  <c r="N454" i="5"/>
  <c r="N455" i="5"/>
  <c r="N456" i="5"/>
  <c r="N457" i="5"/>
  <c r="N458" i="5"/>
  <c r="N459" i="5"/>
  <c r="N460" i="5"/>
  <c r="N461" i="5"/>
  <c r="N462" i="5"/>
  <c r="N463" i="5"/>
  <c r="N464" i="5"/>
  <c r="N465" i="5"/>
  <c r="N466" i="5"/>
  <c r="N467" i="5"/>
  <c r="N468" i="5"/>
  <c r="N469" i="5"/>
  <c r="N470" i="5"/>
  <c r="N471" i="5"/>
  <c r="N472" i="5"/>
  <c r="N473" i="5"/>
  <c r="N474" i="5"/>
  <c r="N475" i="5"/>
  <c r="N476" i="5"/>
  <c r="N477" i="5"/>
  <c r="N478" i="5"/>
  <c r="N479" i="5"/>
  <c r="N480" i="5"/>
  <c r="N481" i="5"/>
  <c r="N482" i="5"/>
  <c r="N483" i="5"/>
  <c r="N484" i="5"/>
  <c r="N485" i="5"/>
  <c r="N486" i="5"/>
  <c r="N487" i="5"/>
  <c r="N488" i="5"/>
  <c r="N489" i="5"/>
  <c r="N490" i="5"/>
  <c r="N491" i="5"/>
  <c r="N492" i="5"/>
  <c r="N493" i="5"/>
  <c r="N494" i="5"/>
  <c r="N495" i="5"/>
  <c r="N496" i="5"/>
  <c r="N497" i="5"/>
  <c r="N498" i="5"/>
  <c r="N499" i="5"/>
  <c r="N500" i="5"/>
  <c r="N501" i="5"/>
  <c r="N502" i="5"/>
  <c r="N503" i="5"/>
  <c r="N504" i="5"/>
  <c r="N505" i="5"/>
  <c r="N506" i="5"/>
  <c r="N507" i="5"/>
  <c r="N508" i="5"/>
  <c r="N509" i="5"/>
  <c r="N510" i="5"/>
  <c r="N511" i="5"/>
  <c r="N512" i="5"/>
  <c r="N513" i="5"/>
  <c r="N514" i="5"/>
  <c r="N515" i="5"/>
  <c r="N516" i="5"/>
  <c r="N517" i="5"/>
  <c r="N518" i="5"/>
  <c r="N519" i="5"/>
  <c r="N520" i="5"/>
  <c r="N521" i="5"/>
  <c r="N522" i="5"/>
  <c r="N523" i="5"/>
  <c r="N524" i="5"/>
  <c r="N525" i="5"/>
  <c r="N526" i="5"/>
  <c r="N527" i="5"/>
  <c r="N528" i="5"/>
  <c r="N529" i="5"/>
  <c r="N530" i="5"/>
  <c r="N531" i="5"/>
  <c r="N532" i="5"/>
  <c r="N533" i="5"/>
  <c r="N534" i="5"/>
  <c r="N535" i="5"/>
  <c r="N536" i="5"/>
  <c r="N537" i="5"/>
  <c r="N538" i="5"/>
  <c r="N539" i="5"/>
  <c r="N540" i="5"/>
  <c r="N541" i="5"/>
  <c r="N542" i="5"/>
  <c r="N543" i="5"/>
  <c r="N544" i="5"/>
  <c r="N545" i="5"/>
  <c r="N546" i="5"/>
  <c r="N547" i="5"/>
  <c r="N548" i="5"/>
  <c r="N549" i="5"/>
  <c r="N550" i="5"/>
  <c r="N551" i="5"/>
  <c r="N552" i="5"/>
  <c r="N553" i="5"/>
  <c r="N554" i="5"/>
  <c r="N555" i="5"/>
  <c r="N556" i="5"/>
  <c r="N557" i="5"/>
  <c r="N558" i="5"/>
  <c r="N559" i="5"/>
  <c r="N560" i="5"/>
  <c r="N561" i="5"/>
  <c r="N562" i="5"/>
  <c r="N563" i="5"/>
  <c r="N564" i="5"/>
  <c r="N565" i="5"/>
  <c r="N566" i="5"/>
  <c r="N567" i="5"/>
  <c r="N568" i="5"/>
  <c r="N569" i="5"/>
  <c r="N570" i="5"/>
  <c r="N571" i="5"/>
  <c r="N572" i="5"/>
  <c r="N573" i="5"/>
  <c r="N574" i="5"/>
  <c r="N575" i="5"/>
  <c r="N576" i="5"/>
  <c r="N577" i="5"/>
  <c r="N578" i="5"/>
  <c r="N579" i="5"/>
  <c r="N580" i="5"/>
  <c r="N581" i="5"/>
  <c r="N582" i="5"/>
  <c r="N583" i="5"/>
  <c r="N584" i="5"/>
  <c r="N585" i="5"/>
  <c r="N586" i="5"/>
  <c r="N587" i="5"/>
  <c r="N588" i="5"/>
  <c r="N589" i="5"/>
  <c r="N590" i="5"/>
  <c r="N591" i="5"/>
  <c r="N592" i="5"/>
  <c r="N593" i="5"/>
  <c r="N594" i="5"/>
  <c r="N595" i="5"/>
  <c r="N596" i="5"/>
  <c r="N597" i="5"/>
  <c r="N598" i="5"/>
  <c r="N599" i="5"/>
  <c r="N600" i="5"/>
  <c r="N601" i="5"/>
  <c r="N602" i="5"/>
  <c r="N603" i="5"/>
  <c r="N604" i="5"/>
  <c r="N605" i="5"/>
  <c r="N606" i="5"/>
  <c r="N607" i="5"/>
  <c r="N608" i="5"/>
  <c r="N609" i="5"/>
  <c r="N610" i="5"/>
  <c r="N611" i="5"/>
  <c r="N612" i="5"/>
  <c r="N613" i="5"/>
  <c r="N614" i="5"/>
  <c r="N615" i="5"/>
  <c r="N616" i="5"/>
  <c r="N617" i="5"/>
  <c r="N618" i="5"/>
  <c r="N619" i="5"/>
  <c r="N620" i="5"/>
  <c r="N621" i="5"/>
  <c r="N622" i="5"/>
  <c r="N623" i="5"/>
  <c r="N624" i="5"/>
  <c r="N625" i="5"/>
  <c r="N626" i="5"/>
  <c r="N627" i="5"/>
  <c r="N628" i="5"/>
  <c r="N629" i="5"/>
  <c r="N630" i="5"/>
  <c r="N631" i="5"/>
  <c r="N632" i="5"/>
  <c r="N633" i="5"/>
  <c r="N634" i="5"/>
  <c r="N635" i="5"/>
  <c r="N636" i="5"/>
  <c r="N637" i="5"/>
  <c r="N638" i="5"/>
  <c r="N639" i="5"/>
  <c r="N640" i="5"/>
  <c r="N641" i="5"/>
  <c r="N642" i="5"/>
  <c r="N643" i="5"/>
  <c r="N644" i="5"/>
  <c r="N645" i="5"/>
  <c r="N646" i="5"/>
  <c r="N647" i="5"/>
  <c r="N648" i="5"/>
  <c r="N649" i="5"/>
  <c r="N650" i="5"/>
  <c r="N651" i="5"/>
  <c r="N652" i="5"/>
  <c r="N653" i="5"/>
  <c r="N654" i="5"/>
  <c r="N655" i="5"/>
  <c r="N656" i="5"/>
  <c r="N657" i="5"/>
  <c r="N658" i="5"/>
  <c r="N659" i="5"/>
  <c r="N660" i="5"/>
  <c r="N661" i="5"/>
  <c r="N662" i="5"/>
  <c r="N663" i="5"/>
  <c r="N664" i="5"/>
  <c r="N665" i="5"/>
  <c r="N666" i="5"/>
  <c r="N667" i="5"/>
  <c r="N668" i="5"/>
  <c r="N669" i="5"/>
  <c r="N670" i="5"/>
  <c r="N671" i="5"/>
  <c r="N672" i="5"/>
  <c r="N673" i="5"/>
  <c r="N674" i="5"/>
  <c r="N675" i="5"/>
  <c r="N676" i="5"/>
  <c r="N677" i="5"/>
  <c r="N678" i="5"/>
  <c r="N679" i="5"/>
  <c r="N680" i="5"/>
  <c r="N681" i="5"/>
  <c r="N682" i="5"/>
  <c r="N683" i="5"/>
  <c r="N684" i="5"/>
  <c r="N685" i="5"/>
  <c r="N686" i="5"/>
  <c r="N687" i="5"/>
  <c r="N688" i="5"/>
  <c r="N689" i="5"/>
  <c r="N690" i="5"/>
  <c r="N691" i="5"/>
  <c r="N692" i="5"/>
  <c r="N693" i="5"/>
  <c r="N694" i="5"/>
  <c r="N695" i="5"/>
  <c r="N696" i="5"/>
  <c r="N697" i="5"/>
  <c r="N698" i="5"/>
  <c r="N699" i="5"/>
  <c r="N700" i="5"/>
  <c r="N701" i="5"/>
  <c r="N702" i="5"/>
  <c r="N703" i="5"/>
  <c r="N704" i="5"/>
  <c r="N705" i="5"/>
  <c r="N706" i="5"/>
  <c r="N707" i="5"/>
  <c r="N708" i="5"/>
  <c r="N709" i="5"/>
  <c r="N710" i="5"/>
  <c r="N711" i="5"/>
  <c r="N712" i="5"/>
  <c r="N713" i="5"/>
  <c r="N714" i="5"/>
  <c r="N715" i="5"/>
  <c r="N716" i="5"/>
  <c r="N717" i="5"/>
  <c r="N718" i="5"/>
  <c r="N719" i="5"/>
  <c r="N720" i="5"/>
  <c r="N721" i="5"/>
  <c r="N722" i="5"/>
  <c r="N723" i="5"/>
  <c r="N724" i="5"/>
  <c r="N725" i="5"/>
  <c r="N726" i="5"/>
  <c r="N727" i="5"/>
  <c r="N728" i="5"/>
  <c r="N729" i="5"/>
  <c r="N730" i="5"/>
  <c r="N731" i="5"/>
  <c r="N732" i="5"/>
  <c r="N733" i="5"/>
  <c r="N734" i="5"/>
  <c r="N735" i="5"/>
  <c r="N736" i="5"/>
  <c r="N737" i="5"/>
  <c r="N738" i="5"/>
  <c r="N739" i="5"/>
  <c r="N740" i="5"/>
  <c r="N741" i="5"/>
  <c r="N742" i="5"/>
  <c r="N743" i="5"/>
  <c r="N744" i="5"/>
  <c r="N745" i="5"/>
  <c r="N746" i="5"/>
  <c r="N747" i="5"/>
  <c r="N748" i="5"/>
  <c r="N749" i="5"/>
  <c r="N750" i="5"/>
  <c r="N751" i="5"/>
  <c r="N752" i="5"/>
  <c r="N753" i="5"/>
  <c r="N754" i="5"/>
  <c r="N755" i="5"/>
  <c r="N756" i="5"/>
  <c r="N757" i="5"/>
  <c r="N758" i="5"/>
  <c r="N759" i="5"/>
  <c r="N760" i="5"/>
  <c r="N761" i="5"/>
  <c r="N762" i="5"/>
  <c r="N763" i="5"/>
  <c r="N764" i="5"/>
  <c r="N765" i="5"/>
  <c r="N766" i="5"/>
  <c r="N767" i="5"/>
  <c r="N768" i="5"/>
  <c r="N769" i="5"/>
  <c r="N770" i="5"/>
  <c r="N771" i="5"/>
  <c r="N772" i="5"/>
  <c r="N773" i="5"/>
  <c r="N774" i="5"/>
  <c r="N775" i="5"/>
  <c r="N776" i="5"/>
  <c r="N777" i="5"/>
  <c r="N778" i="5"/>
  <c r="N779" i="5"/>
  <c r="N780" i="5"/>
  <c r="N781" i="5"/>
  <c r="N782" i="5"/>
  <c r="N783" i="5"/>
  <c r="N784" i="5"/>
  <c r="N785" i="5"/>
  <c r="N786" i="5"/>
  <c r="N787" i="5"/>
  <c r="N788" i="5"/>
  <c r="N789" i="5"/>
  <c r="N790" i="5"/>
  <c r="N791" i="5"/>
  <c r="N792" i="5"/>
  <c r="N793" i="5"/>
  <c r="N794" i="5"/>
  <c r="N795" i="5"/>
  <c r="N796" i="5"/>
  <c r="N797" i="5"/>
  <c r="N798" i="5"/>
  <c r="N799" i="5"/>
  <c r="N800" i="5"/>
  <c r="N801" i="5"/>
  <c r="N802" i="5"/>
  <c r="N803" i="5"/>
  <c r="N804" i="5"/>
  <c r="N805" i="5"/>
  <c r="N806" i="5"/>
  <c r="N807" i="5"/>
  <c r="N808" i="5"/>
  <c r="N809" i="5"/>
  <c r="N810" i="5"/>
  <c r="N811" i="5"/>
  <c r="N812" i="5"/>
  <c r="N813" i="5"/>
  <c r="N814" i="5"/>
  <c r="N815" i="5"/>
  <c r="N816" i="5"/>
  <c r="N817" i="5"/>
  <c r="N818" i="5"/>
  <c r="N819" i="5"/>
  <c r="N820" i="5"/>
  <c r="N821" i="5"/>
  <c r="N822" i="5"/>
  <c r="N823" i="5"/>
  <c r="N824" i="5"/>
  <c r="N825" i="5"/>
  <c r="N826" i="5"/>
  <c r="N827" i="5"/>
  <c r="N828" i="5"/>
  <c r="N829" i="5"/>
  <c r="N830" i="5"/>
  <c r="N831" i="5"/>
  <c r="N832" i="5"/>
  <c r="N833" i="5"/>
  <c r="N834" i="5"/>
  <c r="N835" i="5"/>
  <c r="N836" i="5"/>
  <c r="N837" i="5"/>
  <c r="N838" i="5"/>
  <c r="N839" i="5"/>
  <c r="N840" i="5"/>
  <c r="N841" i="5"/>
  <c r="N842" i="5"/>
  <c r="N843" i="5"/>
  <c r="N844" i="5"/>
  <c r="N845" i="5"/>
  <c r="N846" i="5"/>
  <c r="N847" i="5"/>
  <c r="N848" i="5"/>
  <c r="N849" i="5"/>
  <c r="N850" i="5"/>
  <c r="N851" i="5"/>
  <c r="N852" i="5"/>
  <c r="N853" i="5"/>
  <c r="N854" i="5"/>
  <c r="N855" i="5"/>
  <c r="N856" i="5"/>
  <c r="N857" i="5"/>
  <c r="N858" i="5"/>
  <c r="N859" i="5"/>
  <c r="N860" i="5"/>
  <c r="N861" i="5"/>
  <c r="N862" i="5"/>
  <c r="N863" i="5"/>
  <c r="N864" i="5"/>
  <c r="N865" i="5"/>
  <c r="N866" i="5"/>
  <c r="N867" i="5"/>
  <c r="N868" i="5"/>
  <c r="N869" i="5"/>
  <c r="N870" i="5"/>
  <c r="N871" i="5"/>
  <c r="N872" i="5"/>
  <c r="N873" i="5"/>
  <c r="N874" i="5"/>
  <c r="N875" i="5"/>
  <c r="N876" i="5"/>
  <c r="N877" i="5"/>
  <c r="N878" i="5"/>
  <c r="N879" i="5"/>
  <c r="N880" i="5"/>
  <c r="N881" i="5"/>
  <c r="N882" i="5"/>
  <c r="N883" i="5"/>
  <c r="N884" i="5"/>
  <c r="N885" i="5"/>
  <c r="N886" i="5"/>
  <c r="N887" i="5"/>
  <c r="N888" i="5"/>
  <c r="N889" i="5"/>
  <c r="N890" i="5"/>
  <c r="N891" i="5"/>
  <c r="N892" i="5"/>
  <c r="N893" i="5"/>
  <c r="N894" i="5"/>
  <c r="N895" i="5"/>
  <c r="N896" i="5"/>
  <c r="N897" i="5"/>
  <c r="N898" i="5"/>
  <c r="N899" i="5"/>
  <c r="N900" i="5"/>
  <c r="N901" i="5"/>
  <c r="N902" i="5"/>
  <c r="N903" i="5"/>
  <c r="N904" i="5"/>
  <c r="N905" i="5"/>
  <c r="N906" i="5"/>
  <c r="N907" i="5"/>
  <c r="N908" i="5"/>
  <c r="N909" i="5"/>
  <c r="N910" i="5"/>
  <c r="N911" i="5"/>
  <c r="N912" i="5"/>
  <c r="N913" i="5"/>
  <c r="N914" i="5"/>
  <c r="N915" i="5"/>
  <c r="N916" i="5"/>
  <c r="N917" i="5"/>
  <c r="N918" i="5"/>
  <c r="N919" i="5"/>
  <c r="N920" i="5"/>
  <c r="N921" i="5"/>
  <c r="N922" i="5"/>
  <c r="N923" i="5"/>
  <c r="N924" i="5"/>
  <c r="N925" i="5"/>
  <c r="N926" i="5"/>
  <c r="N927" i="5"/>
  <c r="N928" i="5"/>
  <c r="N929" i="5"/>
  <c r="N930" i="5"/>
  <c r="N931" i="5"/>
  <c r="N932" i="5"/>
  <c r="N933" i="5"/>
  <c r="N934" i="5"/>
  <c r="N935" i="5"/>
  <c r="N936" i="5"/>
  <c r="N937" i="5"/>
  <c r="N938" i="5"/>
  <c r="N939" i="5"/>
  <c r="N940" i="5"/>
  <c r="N941" i="5"/>
  <c r="N942" i="5"/>
  <c r="N943" i="5"/>
  <c r="N944" i="5"/>
  <c r="N945" i="5"/>
  <c r="N946" i="5"/>
  <c r="N947" i="5"/>
  <c r="N948" i="5"/>
  <c r="N949" i="5"/>
  <c r="N950" i="5"/>
  <c r="N951" i="5"/>
  <c r="N952" i="5"/>
  <c r="N953" i="5"/>
  <c r="N954" i="5"/>
  <c r="N955" i="5"/>
  <c r="N956" i="5"/>
  <c r="N957" i="5"/>
  <c r="N958" i="5"/>
  <c r="N959" i="5"/>
  <c r="N960" i="5"/>
  <c r="N961" i="5"/>
  <c r="N962" i="5"/>
  <c r="N963" i="5"/>
  <c r="N964" i="5"/>
  <c r="N965" i="5"/>
  <c r="N966" i="5"/>
  <c r="N967" i="5"/>
  <c r="N968" i="5"/>
  <c r="N969" i="5"/>
  <c r="N970" i="5"/>
  <c r="N971" i="5"/>
  <c r="N972" i="5"/>
  <c r="N973" i="5"/>
  <c r="N974" i="5"/>
  <c r="N975" i="5"/>
  <c r="N976" i="5"/>
  <c r="N977" i="5"/>
  <c r="N978" i="5"/>
  <c r="N979" i="5"/>
  <c r="N980" i="5"/>
  <c r="N981" i="5"/>
  <c r="N982" i="5"/>
  <c r="N983" i="5"/>
  <c r="N984" i="5"/>
  <c r="N985" i="5"/>
  <c r="N986" i="5"/>
  <c r="N987" i="5"/>
  <c r="N988" i="5"/>
  <c r="N989" i="5"/>
  <c r="N990" i="5"/>
  <c r="N991" i="5"/>
  <c r="N992" i="5"/>
  <c r="N993" i="5"/>
  <c r="N994" i="5"/>
  <c r="N995" i="5"/>
  <c r="N996" i="5"/>
  <c r="N997" i="5"/>
  <c r="N998" i="5"/>
  <c r="N999" i="5"/>
  <c r="N1000" i="5"/>
  <c r="N1001" i="5"/>
  <c r="N2" i="5"/>
  <c r="M3" i="5"/>
  <c r="M4" i="5"/>
  <c r="M5" i="5"/>
  <c r="M6" i="5"/>
  <c r="M7" i="5"/>
  <c r="M8" i="5"/>
  <c r="M9" i="5"/>
  <c r="M10" i="5"/>
  <c r="M11" i="5"/>
  <c r="M12" i="5"/>
  <c r="M13" i="5"/>
  <c r="M14" i="5"/>
  <c r="M15" i="5"/>
  <c r="M16" i="5"/>
  <c r="M17" i="5"/>
  <c r="M18" i="5"/>
  <c r="M19" i="5"/>
  <c r="M20" i="5"/>
  <c r="M21" i="5"/>
  <c r="M22" i="5"/>
  <c r="M23" i="5"/>
  <c r="M24" i="5"/>
  <c r="M25" i="5"/>
  <c r="M26" i="5"/>
  <c r="M27" i="5"/>
  <c r="M28" i="5"/>
  <c r="M29" i="5"/>
  <c r="M30" i="5"/>
  <c r="M31" i="5"/>
  <c r="M32" i="5"/>
  <c r="M33" i="5"/>
  <c r="M34" i="5"/>
  <c r="M35" i="5"/>
  <c r="M36" i="5"/>
  <c r="M37" i="5"/>
  <c r="M38" i="5"/>
  <c r="M39" i="5"/>
  <c r="M40" i="5"/>
  <c r="M41" i="5"/>
  <c r="M42" i="5"/>
  <c r="M43" i="5"/>
  <c r="M44" i="5"/>
  <c r="M45" i="5"/>
  <c r="M46" i="5"/>
  <c r="M47" i="5"/>
  <c r="M48" i="5"/>
  <c r="M49" i="5"/>
  <c r="M50" i="5"/>
  <c r="M51" i="5"/>
  <c r="M52" i="5"/>
  <c r="M53" i="5"/>
  <c r="M54" i="5"/>
  <c r="M55" i="5"/>
  <c r="M56" i="5"/>
  <c r="M57" i="5"/>
  <c r="M58" i="5"/>
  <c r="M59" i="5"/>
  <c r="M60" i="5"/>
  <c r="M61" i="5"/>
  <c r="M62" i="5"/>
  <c r="M63" i="5"/>
  <c r="M64" i="5"/>
  <c r="M65" i="5"/>
  <c r="M66" i="5"/>
  <c r="M67" i="5"/>
  <c r="M68" i="5"/>
  <c r="M69" i="5"/>
  <c r="M70" i="5"/>
  <c r="M71" i="5"/>
  <c r="M72" i="5"/>
  <c r="M73" i="5"/>
  <c r="M74" i="5"/>
  <c r="M75" i="5"/>
  <c r="M76" i="5"/>
  <c r="M77" i="5"/>
  <c r="M78" i="5"/>
  <c r="M79" i="5"/>
  <c r="M80" i="5"/>
  <c r="M81" i="5"/>
  <c r="M82" i="5"/>
  <c r="M83" i="5"/>
  <c r="M84" i="5"/>
  <c r="M85" i="5"/>
  <c r="M86" i="5"/>
  <c r="M87" i="5"/>
  <c r="M88" i="5"/>
  <c r="M89" i="5"/>
  <c r="M90" i="5"/>
  <c r="M91" i="5"/>
  <c r="M92" i="5"/>
  <c r="M93" i="5"/>
  <c r="M94" i="5"/>
  <c r="M95" i="5"/>
  <c r="M96" i="5"/>
  <c r="M97" i="5"/>
  <c r="M98" i="5"/>
  <c r="M99" i="5"/>
  <c r="M100" i="5"/>
  <c r="M101" i="5"/>
  <c r="M102" i="5"/>
  <c r="M103" i="5"/>
  <c r="M104" i="5"/>
  <c r="M105" i="5"/>
  <c r="M106" i="5"/>
  <c r="M107" i="5"/>
  <c r="M108" i="5"/>
  <c r="M109" i="5"/>
  <c r="M110" i="5"/>
  <c r="M111" i="5"/>
  <c r="M112" i="5"/>
  <c r="M113" i="5"/>
  <c r="M114" i="5"/>
  <c r="M115" i="5"/>
  <c r="M116" i="5"/>
  <c r="M117" i="5"/>
  <c r="M118" i="5"/>
  <c r="M119" i="5"/>
  <c r="M120" i="5"/>
  <c r="M121" i="5"/>
  <c r="M122" i="5"/>
  <c r="M123" i="5"/>
  <c r="M124" i="5"/>
  <c r="M125" i="5"/>
  <c r="M126" i="5"/>
  <c r="M127" i="5"/>
  <c r="M128" i="5"/>
  <c r="M129" i="5"/>
  <c r="M130" i="5"/>
  <c r="M131" i="5"/>
  <c r="M132" i="5"/>
  <c r="M133" i="5"/>
  <c r="M134" i="5"/>
  <c r="M135" i="5"/>
  <c r="M136" i="5"/>
  <c r="M137" i="5"/>
  <c r="M138" i="5"/>
  <c r="M139" i="5"/>
  <c r="M140" i="5"/>
  <c r="M141" i="5"/>
  <c r="M142" i="5"/>
  <c r="M143" i="5"/>
  <c r="M144" i="5"/>
  <c r="M145" i="5"/>
  <c r="M146" i="5"/>
  <c r="M147" i="5"/>
  <c r="M148" i="5"/>
  <c r="M149" i="5"/>
  <c r="M150" i="5"/>
  <c r="M151" i="5"/>
  <c r="M152" i="5"/>
  <c r="M153" i="5"/>
  <c r="M154" i="5"/>
  <c r="M155" i="5"/>
  <c r="M156" i="5"/>
  <c r="M157" i="5"/>
  <c r="M158" i="5"/>
  <c r="M159" i="5"/>
  <c r="M160" i="5"/>
  <c r="M161" i="5"/>
  <c r="M162" i="5"/>
  <c r="M163" i="5"/>
  <c r="M164" i="5"/>
  <c r="M165" i="5"/>
  <c r="M166" i="5"/>
  <c r="M167" i="5"/>
  <c r="M168" i="5"/>
  <c r="M169" i="5"/>
  <c r="M170" i="5"/>
  <c r="M171" i="5"/>
  <c r="M172" i="5"/>
  <c r="M173" i="5"/>
  <c r="M174" i="5"/>
  <c r="M175" i="5"/>
  <c r="M176" i="5"/>
  <c r="M177" i="5"/>
  <c r="M178" i="5"/>
  <c r="M179" i="5"/>
  <c r="M180" i="5"/>
  <c r="M181" i="5"/>
  <c r="M182" i="5"/>
  <c r="M183" i="5"/>
  <c r="M184" i="5"/>
  <c r="M185" i="5"/>
  <c r="M186" i="5"/>
  <c r="M187" i="5"/>
  <c r="M188" i="5"/>
  <c r="M189" i="5"/>
  <c r="M190" i="5"/>
  <c r="M191" i="5"/>
  <c r="M192" i="5"/>
  <c r="M193" i="5"/>
  <c r="M194" i="5"/>
  <c r="M195" i="5"/>
  <c r="M196" i="5"/>
  <c r="M197" i="5"/>
  <c r="M198" i="5"/>
  <c r="M199" i="5"/>
  <c r="M200" i="5"/>
  <c r="M201" i="5"/>
  <c r="M202" i="5"/>
  <c r="M203" i="5"/>
  <c r="M204" i="5"/>
  <c r="M205" i="5"/>
  <c r="M206" i="5"/>
  <c r="M207" i="5"/>
  <c r="M208" i="5"/>
  <c r="M209" i="5"/>
  <c r="M210" i="5"/>
  <c r="M211" i="5"/>
  <c r="M212" i="5"/>
  <c r="M213" i="5"/>
  <c r="M214" i="5"/>
  <c r="M215" i="5"/>
  <c r="M216" i="5"/>
  <c r="M217" i="5"/>
  <c r="M218" i="5"/>
  <c r="M219" i="5"/>
  <c r="M220" i="5"/>
  <c r="M221" i="5"/>
  <c r="M222" i="5"/>
  <c r="M223" i="5"/>
  <c r="M224" i="5"/>
  <c r="M225" i="5"/>
  <c r="M226" i="5"/>
  <c r="M227" i="5"/>
  <c r="M228" i="5"/>
  <c r="M229" i="5"/>
  <c r="M230" i="5"/>
  <c r="M231" i="5"/>
  <c r="M232" i="5"/>
  <c r="M233" i="5"/>
  <c r="M234" i="5"/>
  <c r="M235" i="5"/>
  <c r="M236" i="5"/>
  <c r="M237" i="5"/>
  <c r="M238" i="5"/>
  <c r="M239" i="5"/>
  <c r="M240" i="5"/>
  <c r="M241" i="5"/>
  <c r="M242" i="5"/>
  <c r="M243" i="5"/>
  <c r="M244" i="5"/>
  <c r="M245" i="5"/>
  <c r="M246" i="5"/>
  <c r="M247" i="5"/>
  <c r="M248" i="5"/>
  <c r="M249" i="5"/>
  <c r="M250" i="5"/>
  <c r="M251" i="5"/>
  <c r="M252" i="5"/>
  <c r="M253" i="5"/>
  <c r="M254" i="5"/>
  <c r="M255" i="5"/>
  <c r="M256" i="5"/>
  <c r="M257" i="5"/>
  <c r="M258" i="5"/>
  <c r="M259" i="5"/>
  <c r="M260" i="5"/>
  <c r="M261" i="5"/>
  <c r="M262" i="5"/>
  <c r="M263" i="5"/>
  <c r="M264" i="5"/>
  <c r="M265" i="5"/>
  <c r="M266" i="5"/>
  <c r="M267" i="5"/>
  <c r="M268" i="5"/>
  <c r="M269" i="5"/>
  <c r="M270" i="5"/>
  <c r="M271" i="5"/>
  <c r="M272" i="5"/>
  <c r="M273" i="5"/>
  <c r="M274" i="5"/>
  <c r="M275" i="5"/>
  <c r="M276" i="5"/>
  <c r="M277" i="5"/>
  <c r="M278" i="5"/>
  <c r="M279" i="5"/>
  <c r="M280" i="5"/>
  <c r="M281" i="5"/>
  <c r="M282" i="5"/>
  <c r="M283" i="5"/>
  <c r="M284" i="5"/>
  <c r="M285" i="5"/>
  <c r="M286" i="5"/>
  <c r="M287" i="5"/>
  <c r="M288" i="5"/>
  <c r="M289" i="5"/>
  <c r="M290" i="5"/>
  <c r="M291" i="5"/>
  <c r="M292" i="5"/>
  <c r="M293" i="5"/>
  <c r="M294" i="5"/>
  <c r="M295" i="5"/>
  <c r="M296" i="5"/>
  <c r="M297" i="5"/>
  <c r="M298" i="5"/>
  <c r="M299" i="5"/>
  <c r="M300" i="5"/>
  <c r="M301" i="5"/>
  <c r="M302" i="5"/>
  <c r="M303" i="5"/>
  <c r="M304" i="5"/>
  <c r="M305" i="5"/>
  <c r="M306" i="5"/>
  <c r="M307" i="5"/>
  <c r="M308" i="5"/>
  <c r="M309" i="5"/>
  <c r="M310" i="5"/>
  <c r="M311" i="5"/>
  <c r="M312" i="5"/>
  <c r="M313" i="5"/>
  <c r="M314" i="5"/>
  <c r="M315" i="5"/>
  <c r="M316" i="5"/>
  <c r="M317" i="5"/>
  <c r="M318" i="5"/>
  <c r="M319" i="5"/>
  <c r="M320" i="5"/>
  <c r="M321" i="5"/>
  <c r="M322" i="5"/>
  <c r="M323" i="5"/>
  <c r="M324" i="5"/>
  <c r="M325" i="5"/>
  <c r="M326" i="5"/>
  <c r="M327" i="5"/>
  <c r="M328" i="5"/>
  <c r="M329" i="5"/>
  <c r="M330" i="5"/>
  <c r="M331" i="5"/>
  <c r="M332" i="5"/>
  <c r="M333" i="5"/>
  <c r="M334" i="5"/>
  <c r="M335" i="5"/>
  <c r="M336" i="5"/>
  <c r="M337" i="5"/>
  <c r="M338" i="5"/>
  <c r="M339" i="5"/>
  <c r="M340" i="5"/>
  <c r="M341" i="5"/>
  <c r="M342" i="5"/>
  <c r="M343" i="5"/>
  <c r="M344" i="5"/>
  <c r="M345" i="5"/>
  <c r="M346" i="5"/>
  <c r="M347" i="5"/>
  <c r="M348" i="5"/>
  <c r="M349" i="5"/>
  <c r="M350" i="5"/>
  <c r="M351" i="5"/>
  <c r="M352" i="5"/>
  <c r="M353" i="5"/>
  <c r="M354" i="5"/>
  <c r="M355" i="5"/>
  <c r="M356" i="5"/>
  <c r="M357" i="5"/>
  <c r="M358" i="5"/>
  <c r="M359" i="5"/>
  <c r="M360" i="5"/>
  <c r="M361" i="5"/>
  <c r="M362" i="5"/>
  <c r="M363" i="5"/>
  <c r="M364" i="5"/>
  <c r="M365" i="5"/>
  <c r="M366" i="5"/>
  <c r="M367" i="5"/>
  <c r="M368" i="5"/>
  <c r="M369" i="5"/>
  <c r="M370" i="5"/>
  <c r="M371" i="5"/>
  <c r="M372" i="5"/>
  <c r="M373" i="5"/>
  <c r="M374" i="5"/>
  <c r="M375" i="5"/>
  <c r="M376" i="5"/>
  <c r="M377" i="5"/>
  <c r="M378" i="5"/>
  <c r="M379" i="5"/>
  <c r="M380" i="5"/>
  <c r="M381" i="5"/>
  <c r="M382" i="5"/>
  <c r="M383" i="5"/>
  <c r="M384" i="5"/>
  <c r="M385" i="5"/>
  <c r="M386" i="5"/>
  <c r="M387" i="5"/>
  <c r="M388" i="5"/>
  <c r="M389" i="5"/>
  <c r="M390" i="5"/>
  <c r="M391" i="5"/>
  <c r="M392" i="5"/>
  <c r="M393" i="5"/>
  <c r="M394" i="5"/>
  <c r="M395" i="5"/>
  <c r="M396" i="5"/>
  <c r="M397" i="5"/>
  <c r="M398" i="5"/>
  <c r="M399" i="5"/>
  <c r="M400" i="5"/>
  <c r="M401" i="5"/>
  <c r="M402" i="5"/>
  <c r="M403" i="5"/>
  <c r="M404" i="5"/>
  <c r="M405" i="5"/>
  <c r="M406" i="5"/>
  <c r="M407" i="5"/>
  <c r="M408" i="5"/>
  <c r="M409" i="5"/>
  <c r="M410" i="5"/>
  <c r="M411" i="5"/>
  <c r="M412" i="5"/>
  <c r="M413" i="5"/>
  <c r="M414" i="5"/>
  <c r="M415" i="5"/>
  <c r="M416" i="5"/>
  <c r="M417" i="5"/>
  <c r="M418" i="5"/>
  <c r="M419" i="5"/>
  <c r="M420" i="5"/>
  <c r="M421" i="5"/>
  <c r="M422" i="5"/>
  <c r="M423" i="5"/>
  <c r="M424" i="5"/>
  <c r="M425" i="5"/>
  <c r="M426" i="5"/>
  <c r="M427" i="5"/>
  <c r="M428" i="5"/>
  <c r="M429" i="5"/>
  <c r="M430" i="5"/>
  <c r="M431" i="5"/>
  <c r="M432" i="5"/>
  <c r="M433" i="5"/>
  <c r="M434" i="5"/>
  <c r="M435" i="5"/>
  <c r="M436" i="5"/>
  <c r="M437" i="5"/>
  <c r="M438" i="5"/>
  <c r="M439" i="5"/>
  <c r="M440" i="5"/>
  <c r="M441" i="5"/>
  <c r="M442" i="5"/>
  <c r="M443" i="5"/>
  <c r="M444" i="5"/>
  <c r="M445" i="5"/>
  <c r="M446" i="5"/>
  <c r="M447" i="5"/>
  <c r="M448" i="5"/>
  <c r="M449" i="5"/>
  <c r="M450" i="5"/>
  <c r="M451" i="5"/>
  <c r="M452" i="5"/>
  <c r="M453" i="5"/>
  <c r="M454" i="5"/>
  <c r="M455" i="5"/>
  <c r="M456" i="5"/>
  <c r="M457" i="5"/>
  <c r="M458" i="5"/>
  <c r="M459" i="5"/>
  <c r="M460" i="5"/>
  <c r="M461" i="5"/>
  <c r="M462" i="5"/>
  <c r="M463" i="5"/>
  <c r="M464" i="5"/>
  <c r="M465" i="5"/>
  <c r="M466" i="5"/>
  <c r="M467" i="5"/>
  <c r="M468" i="5"/>
  <c r="M469" i="5"/>
  <c r="M470" i="5"/>
  <c r="M471" i="5"/>
  <c r="M472" i="5"/>
  <c r="M473" i="5"/>
  <c r="M474" i="5"/>
  <c r="M475" i="5"/>
  <c r="M476" i="5"/>
  <c r="M477" i="5"/>
  <c r="M478" i="5"/>
  <c r="M479" i="5"/>
  <c r="M480" i="5"/>
  <c r="M481" i="5"/>
  <c r="M482" i="5"/>
  <c r="M483" i="5"/>
  <c r="M484" i="5"/>
  <c r="M485" i="5"/>
  <c r="M486" i="5"/>
  <c r="M487" i="5"/>
  <c r="M488" i="5"/>
  <c r="M489" i="5"/>
  <c r="M490" i="5"/>
  <c r="M491" i="5"/>
  <c r="M492" i="5"/>
  <c r="M493" i="5"/>
  <c r="M494" i="5"/>
  <c r="M495" i="5"/>
  <c r="M496" i="5"/>
  <c r="M497" i="5"/>
  <c r="M498" i="5"/>
  <c r="M499" i="5"/>
  <c r="M500" i="5"/>
  <c r="M501" i="5"/>
  <c r="M502" i="5"/>
  <c r="M503" i="5"/>
  <c r="M504" i="5"/>
  <c r="M505" i="5"/>
  <c r="M506" i="5"/>
  <c r="M507" i="5"/>
  <c r="M508" i="5"/>
  <c r="M509" i="5"/>
  <c r="M510" i="5"/>
  <c r="M511" i="5"/>
  <c r="M512" i="5"/>
  <c r="M513" i="5"/>
  <c r="M514" i="5"/>
  <c r="M515" i="5"/>
  <c r="M516" i="5"/>
  <c r="M517" i="5"/>
  <c r="M518" i="5"/>
  <c r="M519" i="5"/>
  <c r="M520" i="5"/>
  <c r="M521" i="5"/>
  <c r="M522" i="5"/>
  <c r="M523" i="5"/>
  <c r="M524" i="5"/>
  <c r="M525" i="5"/>
  <c r="M526" i="5"/>
  <c r="M527" i="5"/>
  <c r="M528" i="5"/>
  <c r="M529" i="5"/>
  <c r="M530" i="5"/>
  <c r="M531" i="5"/>
  <c r="M532" i="5"/>
  <c r="M533" i="5"/>
  <c r="M534" i="5"/>
  <c r="M535" i="5"/>
  <c r="M536" i="5"/>
  <c r="M537" i="5"/>
  <c r="M538" i="5"/>
  <c r="M539" i="5"/>
  <c r="M540" i="5"/>
  <c r="M541" i="5"/>
  <c r="M542" i="5"/>
  <c r="M543" i="5"/>
  <c r="M544" i="5"/>
  <c r="M545" i="5"/>
  <c r="M546" i="5"/>
  <c r="M547" i="5"/>
  <c r="M548" i="5"/>
  <c r="M549" i="5"/>
  <c r="M550" i="5"/>
  <c r="M551" i="5"/>
  <c r="M552" i="5"/>
  <c r="M553" i="5"/>
  <c r="M554" i="5"/>
  <c r="M555" i="5"/>
  <c r="M556" i="5"/>
  <c r="M557" i="5"/>
  <c r="M558" i="5"/>
  <c r="M559" i="5"/>
  <c r="M560" i="5"/>
  <c r="M561" i="5"/>
  <c r="M562" i="5"/>
  <c r="M563" i="5"/>
  <c r="M564" i="5"/>
  <c r="M565" i="5"/>
  <c r="M566" i="5"/>
  <c r="M567" i="5"/>
  <c r="M568" i="5"/>
  <c r="M569" i="5"/>
  <c r="M570" i="5"/>
  <c r="M571" i="5"/>
  <c r="M572" i="5"/>
  <c r="M573" i="5"/>
  <c r="M574" i="5"/>
  <c r="M575" i="5"/>
  <c r="M576" i="5"/>
  <c r="M577" i="5"/>
  <c r="M578" i="5"/>
  <c r="M579" i="5"/>
  <c r="M580" i="5"/>
  <c r="M581" i="5"/>
  <c r="M582" i="5"/>
  <c r="M583" i="5"/>
  <c r="M584" i="5"/>
  <c r="M585" i="5"/>
  <c r="M586" i="5"/>
  <c r="M587" i="5"/>
  <c r="M588" i="5"/>
  <c r="M589" i="5"/>
  <c r="M590" i="5"/>
  <c r="M591" i="5"/>
  <c r="M592" i="5"/>
  <c r="M593" i="5"/>
  <c r="M594" i="5"/>
  <c r="M595" i="5"/>
  <c r="M596" i="5"/>
  <c r="M597" i="5"/>
  <c r="M598" i="5"/>
  <c r="M599" i="5"/>
  <c r="M600" i="5"/>
  <c r="M601" i="5"/>
  <c r="M602" i="5"/>
  <c r="M603" i="5"/>
  <c r="M604" i="5"/>
  <c r="M605" i="5"/>
  <c r="M606" i="5"/>
  <c r="M607" i="5"/>
  <c r="M608" i="5"/>
  <c r="M609" i="5"/>
  <c r="M610" i="5"/>
  <c r="M611" i="5"/>
  <c r="M612" i="5"/>
  <c r="M613" i="5"/>
  <c r="M614" i="5"/>
  <c r="M615" i="5"/>
  <c r="M616" i="5"/>
  <c r="M617" i="5"/>
  <c r="M618" i="5"/>
  <c r="M619" i="5"/>
  <c r="M620" i="5"/>
  <c r="M621" i="5"/>
  <c r="M622" i="5"/>
  <c r="M623" i="5"/>
  <c r="M624" i="5"/>
  <c r="M625" i="5"/>
  <c r="M626" i="5"/>
  <c r="M627" i="5"/>
  <c r="M628" i="5"/>
  <c r="M629" i="5"/>
  <c r="M630" i="5"/>
  <c r="M631" i="5"/>
  <c r="M632" i="5"/>
  <c r="M633" i="5"/>
  <c r="M634" i="5"/>
  <c r="M635" i="5"/>
  <c r="M636" i="5"/>
  <c r="M637" i="5"/>
  <c r="M638" i="5"/>
  <c r="M639" i="5"/>
  <c r="M640" i="5"/>
  <c r="M641" i="5"/>
  <c r="M642" i="5"/>
  <c r="M643" i="5"/>
  <c r="M644" i="5"/>
  <c r="M645" i="5"/>
  <c r="M646" i="5"/>
  <c r="M647" i="5"/>
  <c r="M648" i="5"/>
  <c r="M649" i="5"/>
  <c r="M650" i="5"/>
  <c r="M651" i="5"/>
  <c r="M652" i="5"/>
  <c r="M653" i="5"/>
  <c r="M654" i="5"/>
  <c r="M655" i="5"/>
  <c r="M656" i="5"/>
  <c r="M657" i="5"/>
  <c r="M658" i="5"/>
  <c r="M659" i="5"/>
  <c r="M660" i="5"/>
  <c r="M661" i="5"/>
  <c r="M662" i="5"/>
  <c r="M663" i="5"/>
  <c r="M664" i="5"/>
  <c r="M665" i="5"/>
  <c r="M666" i="5"/>
  <c r="M667" i="5"/>
  <c r="M668" i="5"/>
  <c r="M669" i="5"/>
  <c r="M670" i="5"/>
  <c r="M671" i="5"/>
  <c r="M672" i="5"/>
  <c r="M673" i="5"/>
  <c r="M674" i="5"/>
  <c r="M675" i="5"/>
  <c r="M676" i="5"/>
  <c r="M677" i="5"/>
  <c r="M678" i="5"/>
  <c r="M679" i="5"/>
  <c r="M680" i="5"/>
  <c r="M681" i="5"/>
  <c r="M682" i="5"/>
  <c r="M683" i="5"/>
  <c r="M684" i="5"/>
  <c r="M685" i="5"/>
  <c r="M686" i="5"/>
  <c r="M687" i="5"/>
  <c r="M688" i="5"/>
  <c r="M689" i="5"/>
  <c r="M690" i="5"/>
  <c r="M691" i="5"/>
  <c r="M692" i="5"/>
  <c r="M693" i="5"/>
  <c r="M694" i="5"/>
  <c r="M695" i="5"/>
  <c r="M696" i="5"/>
  <c r="M697" i="5"/>
  <c r="M698" i="5"/>
  <c r="M699" i="5"/>
  <c r="M700" i="5"/>
  <c r="M701" i="5"/>
  <c r="M702" i="5"/>
  <c r="M703" i="5"/>
  <c r="M704" i="5"/>
  <c r="M705" i="5"/>
  <c r="M706" i="5"/>
  <c r="M707" i="5"/>
  <c r="M708" i="5"/>
  <c r="M709" i="5"/>
  <c r="M710" i="5"/>
  <c r="M711" i="5"/>
  <c r="M712" i="5"/>
  <c r="M713" i="5"/>
  <c r="M714" i="5"/>
  <c r="M715" i="5"/>
  <c r="M716" i="5"/>
  <c r="M717" i="5"/>
  <c r="M718" i="5"/>
  <c r="M719" i="5"/>
  <c r="M720" i="5"/>
  <c r="M721" i="5"/>
  <c r="M722" i="5"/>
  <c r="M723" i="5"/>
  <c r="M724" i="5"/>
  <c r="M725" i="5"/>
  <c r="M726" i="5"/>
  <c r="M727" i="5"/>
  <c r="M728" i="5"/>
  <c r="M729" i="5"/>
  <c r="M730" i="5"/>
  <c r="M731" i="5"/>
  <c r="M732" i="5"/>
  <c r="M733" i="5"/>
  <c r="M734" i="5"/>
  <c r="M735" i="5"/>
  <c r="M736" i="5"/>
  <c r="M737" i="5"/>
  <c r="M738" i="5"/>
  <c r="M739" i="5"/>
  <c r="M740" i="5"/>
  <c r="M741" i="5"/>
  <c r="M742" i="5"/>
  <c r="M743" i="5"/>
  <c r="M744" i="5"/>
  <c r="M745" i="5"/>
  <c r="M746" i="5"/>
  <c r="M747" i="5"/>
  <c r="M748" i="5"/>
  <c r="M749" i="5"/>
  <c r="M750" i="5"/>
  <c r="M751" i="5"/>
  <c r="M752" i="5"/>
  <c r="M753" i="5"/>
  <c r="M754" i="5"/>
  <c r="M755" i="5"/>
  <c r="M756" i="5"/>
  <c r="M757" i="5"/>
  <c r="M758" i="5"/>
  <c r="M759" i="5"/>
  <c r="M760" i="5"/>
  <c r="M761" i="5"/>
  <c r="M762" i="5"/>
  <c r="M763" i="5"/>
  <c r="M764" i="5"/>
  <c r="M765" i="5"/>
  <c r="M766" i="5"/>
  <c r="M767" i="5"/>
  <c r="M768" i="5"/>
  <c r="M769" i="5"/>
  <c r="M770" i="5"/>
  <c r="M771" i="5"/>
  <c r="M772" i="5"/>
  <c r="M773" i="5"/>
  <c r="M774" i="5"/>
  <c r="M775" i="5"/>
  <c r="M776" i="5"/>
  <c r="M777" i="5"/>
  <c r="M778" i="5"/>
  <c r="M779" i="5"/>
  <c r="M780" i="5"/>
  <c r="M781" i="5"/>
  <c r="M782" i="5"/>
  <c r="M783" i="5"/>
  <c r="M784" i="5"/>
  <c r="M785" i="5"/>
  <c r="M786" i="5"/>
  <c r="M787" i="5"/>
  <c r="M788" i="5"/>
  <c r="M789" i="5"/>
  <c r="M790" i="5"/>
  <c r="M791" i="5"/>
  <c r="M792" i="5"/>
  <c r="M793" i="5"/>
  <c r="M794" i="5"/>
  <c r="M795" i="5"/>
  <c r="M796" i="5"/>
  <c r="M797" i="5"/>
  <c r="M798" i="5"/>
  <c r="M799" i="5"/>
  <c r="M800" i="5"/>
  <c r="M801" i="5"/>
  <c r="M802" i="5"/>
  <c r="M803" i="5"/>
  <c r="M804" i="5"/>
  <c r="M805" i="5"/>
  <c r="M806" i="5"/>
  <c r="M807" i="5"/>
  <c r="M808" i="5"/>
  <c r="M809" i="5"/>
  <c r="M810" i="5"/>
  <c r="M811" i="5"/>
  <c r="M812" i="5"/>
  <c r="M813" i="5"/>
  <c r="M814" i="5"/>
  <c r="M815" i="5"/>
  <c r="M816" i="5"/>
  <c r="M817" i="5"/>
  <c r="M818" i="5"/>
  <c r="M819" i="5"/>
  <c r="M820" i="5"/>
  <c r="M821" i="5"/>
  <c r="M822" i="5"/>
  <c r="M823" i="5"/>
  <c r="M824" i="5"/>
  <c r="M825" i="5"/>
  <c r="M826" i="5"/>
  <c r="M827" i="5"/>
  <c r="M828" i="5"/>
  <c r="M829" i="5"/>
  <c r="M830" i="5"/>
  <c r="M831" i="5"/>
  <c r="M832" i="5"/>
  <c r="M833" i="5"/>
  <c r="M834" i="5"/>
  <c r="M835" i="5"/>
  <c r="M836" i="5"/>
  <c r="M837" i="5"/>
  <c r="M838" i="5"/>
  <c r="M839" i="5"/>
  <c r="M840" i="5"/>
  <c r="M841" i="5"/>
  <c r="M842" i="5"/>
  <c r="M843" i="5"/>
  <c r="M844" i="5"/>
  <c r="M845" i="5"/>
  <c r="M846" i="5"/>
  <c r="M847" i="5"/>
  <c r="M848" i="5"/>
  <c r="M849" i="5"/>
  <c r="M850" i="5"/>
  <c r="M851" i="5"/>
  <c r="M852" i="5"/>
  <c r="M853" i="5"/>
  <c r="M854" i="5"/>
  <c r="M855" i="5"/>
  <c r="M856" i="5"/>
  <c r="M857" i="5"/>
  <c r="M858" i="5"/>
  <c r="M859" i="5"/>
  <c r="M860" i="5"/>
  <c r="M861" i="5"/>
  <c r="M862" i="5"/>
  <c r="M863" i="5"/>
  <c r="M864" i="5"/>
  <c r="M865" i="5"/>
  <c r="M866" i="5"/>
  <c r="M867" i="5"/>
  <c r="M868" i="5"/>
  <c r="M869" i="5"/>
  <c r="M870" i="5"/>
  <c r="M871" i="5"/>
  <c r="M872" i="5"/>
  <c r="M873" i="5"/>
  <c r="M874" i="5"/>
  <c r="M875" i="5"/>
  <c r="M876" i="5"/>
  <c r="M877" i="5"/>
  <c r="M878" i="5"/>
  <c r="M879" i="5"/>
  <c r="M880" i="5"/>
  <c r="M881" i="5"/>
  <c r="M882" i="5"/>
  <c r="M883" i="5"/>
  <c r="M884" i="5"/>
  <c r="M885" i="5"/>
  <c r="M886" i="5"/>
  <c r="M887" i="5"/>
  <c r="M888" i="5"/>
  <c r="M889" i="5"/>
  <c r="M890" i="5"/>
  <c r="M891" i="5"/>
  <c r="M892" i="5"/>
  <c r="M893" i="5"/>
  <c r="M894" i="5"/>
  <c r="M895" i="5"/>
  <c r="M896" i="5"/>
  <c r="M897" i="5"/>
  <c r="M898" i="5"/>
  <c r="M899" i="5"/>
  <c r="M900" i="5"/>
  <c r="M901" i="5"/>
  <c r="M902" i="5"/>
  <c r="M903" i="5"/>
  <c r="M904" i="5"/>
  <c r="M905" i="5"/>
  <c r="M906" i="5"/>
  <c r="M907" i="5"/>
  <c r="M908" i="5"/>
  <c r="M909" i="5"/>
  <c r="M910" i="5"/>
  <c r="M911" i="5"/>
  <c r="M912" i="5"/>
  <c r="M913" i="5"/>
  <c r="M914" i="5"/>
  <c r="M915" i="5"/>
  <c r="M916" i="5"/>
  <c r="M917" i="5"/>
  <c r="M918" i="5"/>
  <c r="M919" i="5"/>
  <c r="M920" i="5"/>
  <c r="M921" i="5"/>
  <c r="M922" i="5"/>
  <c r="M923" i="5"/>
  <c r="M924" i="5"/>
  <c r="M925" i="5"/>
  <c r="M926" i="5"/>
  <c r="M927" i="5"/>
  <c r="M928" i="5"/>
  <c r="M929" i="5"/>
  <c r="M930" i="5"/>
  <c r="M931" i="5"/>
  <c r="M932" i="5"/>
  <c r="M933" i="5"/>
  <c r="M934" i="5"/>
  <c r="M935" i="5"/>
  <c r="M936" i="5"/>
  <c r="M937" i="5"/>
  <c r="M938" i="5"/>
  <c r="M939" i="5"/>
  <c r="M940" i="5"/>
  <c r="M941" i="5"/>
  <c r="M942" i="5"/>
  <c r="M943" i="5"/>
  <c r="M944" i="5"/>
  <c r="M945" i="5"/>
  <c r="M946" i="5"/>
  <c r="M947" i="5"/>
  <c r="M948" i="5"/>
  <c r="M949" i="5"/>
  <c r="M950" i="5"/>
  <c r="M951" i="5"/>
  <c r="M952" i="5"/>
  <c r="M953" i="5"/>
  <c r="M954" i="5"/>
  <c r="M955" i="5"/>
  <c r="M956" i="5"/>
  <c r="M957" i="5"/>
  <c r="M958" i="5"/>
  <c r="M959" i="5"/>
  <c r="M960" i="5"/>
  <c r="M961" i="5"/>
  <c r="M962" i="5"/>
  <c r="M963" i="5"/>
  <c r="M964" i="5"/>
  <c r="M965" i="5"/>
  <c r="M966" i="5"/>
  <c r="M967" i="5"/>
  <c r="M968" i="5"/>
  <c r="M969" i="5"/>
  <c r="M970" i="5"/>
  <c r="M971" i="5"/>
  <c r="M972" i="5"/>
  <c r="M973" i="5"/>
  <c r="M974" i="5"/>
  <c r="M975" i="5"/>
  <c r="M976" i="5"/>
  <c r="M977" i="5"/>
  <c r="M978" i="5"/>
  <c r="M979" i="5"/>
  <c r="M980" i="5"/>
  <c r="M981" i="5"/>
  <c r="M982" i="5"/>
  <c r="M983" i="5"/>
  <c r="M984" i="5"/>
  <c r="M985" i="5"/>
  <c r="M986" i="5"/>
  <c r="M987" i="5"/>
  <c r="M988" i="5"/>
  <c r="M989" i="5"/>
  <c r="M990" i="5"/>
  <c r="M991" i="5"/>
  <c r="M992" i="5"/>
  <c r="M993" i="5"/>
  <c r="M994" i="5"/>
  <c r="M995" i="5"/>
  <c r="M996" i="5"/>
  <c r="M997" i="5"/>
  <c r="M998" i="5"/>
  <c r="M999" i="5"/>
  <c r="M1000" i="5"/>
  <c r="M1001" i="5"/>
  <c r="M2" i="5"/>
  <c r="L3" i="5"/>
  <c r="L4" i="5"/>
  <c r="L5" i="5"/>
  <c r="L6" i="5"/>
  <c r="L7" i="5"/>
  <c r="L8" i="5"/>
  <c r="L9" i="5"/>
  <c r="L10" i="5"/>
  <c r="L11" i="5"/>
  <c r="L12" i="5"/>
  <c r="L13" i="5"/>
  <c r="L14" i="5"/>
  <c r="L15" i="5"/>
  <c r="L16" i="5"/>
  <c r="L17" i="5"/>
  <c r="L18" i="5"/>
  <c r="L19" i="5"/>
  <c r="L20" i="5"/>
  <c r="L21" i="5"/>
  <c r="L22" i="5"/>
  <c r="L23" i="5"/>
  <c r="L24" i="5"/>
  <c r="L25" i="5"/>
  <c r="L26" i="5"/>
  <c r="L27" i="5"/>
  <c r="L28" i="5"/>
  <c r="L29" i="5"/>
  <c r="L30" i="5"/>
  <c r="L31" i="5"/>
  <c r="L32" i="5"/>
  <c r="L33" i="5"/>
  <c r="L34" i="5"/>
  <c r="L35" i="5"/>
  <c r="L36" i="5"/>
  <c r="L37" i="5"/>
  <c r="L38" i="5"/>
  <c r="L39" i="5"/>
  <c r="L40" i="5"/>
  <c r="L41" i="5"/>
  <c r="L42" i="5"/>
  <c r="L43" i="5"/>
  <c r="L44" i="5"/>
  <c r="L45" i="5"/>
  <c r="L46" i="5"/>
  <c r="L47" i="5"/>
  <c r="L48" i="5"/>
  <c r="L49" i="5"/>
  <c r="L50" i="5"/>
  <c r="L51" i="5"/>
  <c r="L52" i="5"/>
  <c r="L53" i="5"/>
  <c r="L54" i="5"/>
  <c r="L55" i="5"/>
  <c r="L56" i="5"/>
  <c r="L57" i="5"/>
  <c r="L58" i="5"/>
  <c r="L59" i="5"/>
  <c r="L60" i="5"/>
  <c r="L61" i="5"/>
  <c r="L62" i="5"/>
  <c r="L63" i="5"/>
  <c r="L64" i="5"/>
  <c r="L65" i="5"/>
  <c r="L66" i="5"/>
  <c r="L67" i="5"/>
  <c r="L68" i="5"/>
  <c r="L69" i="5"/>
  <c r="L70" i="5"/>
  <c r="L71" i="5"/>
  <c r="L72" i="5"/>
  <c r="L73" i="5"/>
  <c r="L74" i="5"/>
  <c r="L75" i="5"/>
  <c r="L76" i="5"/>
  <c r="L77" i="5"/>
  <c r="L78" i="5"/>
  <c r="L79" i="5"/>
  <c r="L80" i="5"/>
  <c r="L81" i="5"/>
  <c r="L82" i="5"/>
  <c r="L83" i="5"/>
  <c r="L84" i="5"/>
  <c r="L85" i="5"/>
  <c r="L86" i="5"/>
  <c r="L87" i="5"/>
  <c r="L88" i="5"/>
  <c r="L89" i="5"/>
  <c r="L90" i="5"/>
  <c r="L91" i="5"/>
  <c r="L92" i="5"/>
  <c r="L93" i="5"/>
  <c r="L94" i="5"/>
  <c r="L95" i="5"/>
  <c r="L96" i="5"/>
  <c r="L97" i="5"/>
  <c r="L98" i="5"/>
  <c r="L99" i="5"/>
  <c r="L100" i="5"/>
  <c r="L101" i="5"/>
  <c r="L102" i="5"/>
  <c r="L103" i="5"/>
  <c r="L104" i="5"/>
  <c r="L105" i="5"/>
  <c r="L106" i="5"/>
  <c r="L107" i="5"/>
  <c r="L108" i="5"/>
  <c r="L109" i="5"/>
  <c r="L110" i="5"/>
  <c r="L111" i="5"/>
  <c r="L112" i="5"/>
  <c r="L113" i="5"/>
  <c r="L114" i="5"/>
  <c r="L115" i="5"/>
  <c r="L116" i="5"/>
  <c r="L117" i="5"/>
  <c r="L118" i="5"/>
  <c r="L119" i="5"/>
  <c r="L120" i="5"/>
  <c r="L121" i="5"/>
  <c r="L122" i="5"/>
  <c r="L123" i="5"/>
  <c r="L124" i="5"/>
  <c r="L125" i="5"/>
  <c r="L126" i="5"/>
  <c r="L127" i="5"/>
  <c r="L128" i="5"/>
  <c r="L129" i="5"/>
  <c r="L130" i="5"/>
  <c r="L131" i="5"/>
  <c r="L132" i="5"/>
  <c r="L133" i="5"/>
  <c r="L134" i="5"/>
  <c r="L135" i="5"/>
  <c r="L136" i="5"/>
  <c r="L137" i="5"/>
  <c r="L138" i="5"/>
  <c r="L139" i="5"/>
  <c r="L140" i="5"/>
  <c r="L141" i="5"/>
  <c r="L142" i="5"/>
  <c r="L143" i="5"/>
  <c r="L144" i="5"/>
  <c r="L145" i="5"/>
  <c r="L146" i="5"/>
  <c r="L147" i="5"/>
  <c r="L148" i="5"/>
  <c r="L149" i="5"/>
  <c r="L150" i="5"/>
  <c r="L151" i="5"/>
  <c r="L152" i="5"/>
  <c r="L153" i="5"/>
  <c r="L154" i="5"/>
  <c r="L155" i="5"/>
  <c r="L156" i="5"/>
  <c r="L157" i="5"/>
  <c r="L158" i="5"/>
  <c r="L159" i="5"/>
  <c r="L160" i="5"/>
  <c r="L161" i="5"/>
  <c r="L162" i="5"/>
  <c r="L163" i="5"/>
  <c r="L164" i="5"/>
  <c r="L165" i="5"/>
  <c r="L166" i="5"/>
  <c r="L167" i="5"/>
  <c r="L168" i="5"/>
  <c r="L169" i="5"/>
  <c r="L170" i="5"/>
  <c r="L171" i="5"/>
  <c r="L172" i="5"/>
  <c r="L173" i="5"/>
  <c r="L174" i="5"/>
  <c r="L175" i="5"/>
  <c r="L176" i="5"/>
  <c r="L177" i="5"/>
  <c r="L178" i="5"/>
  <c r="L179" i="5"/>
  <c r="L180" i="5"/>
  <c r="L181" i="5"/>
  <c r="L182" i="5"/>
  <c r="L183" i="5"/>
  <c r="L184" i="5"/>
  <c r="L185" i="5"/>
  <c r="L186" i="5"/>
  <c r="L187" i="5"/>
  <c r="L188" i="5"/>
  <c r="L189" i="5"/>
  <c r="L190" i="5"/>
  <c r="L191" i="5"/>
  <c r="L192" i="5"/>
  <c r="L193" i="5"/>
  <c r="L194" i="5"/>
  <c r="L195" i="5"/>
  <c r="L196" i="5"/>
  <c r="L197" i="5"/>
  <c r="L198" i="5"/>
  <c r="L199" i="5"/>
  <c r="L200" i="5"/>
  <c r="L201" i="5"/>
  <c r="L202" i="5"/>
  <c r="L203" i="5"/>
  <c r="L204" i="5"/>
  <c r="L205" i="5"/>
  <c r="L206" i="5"/>
  <c r="L207" i="5"/>
  <c r="L208" i="5"/>
  <c r="L209" i="5"/>
  <c r="L210" i="5"/>
  <c r="L211" i="5"/>
  <c r="L212" i="5"/>
  <c r="L213" i="5"/>
  <c r="L214" i="5"/>
  <c r="L215" i="5"/>
  <c r="L216" i="5"/>
  <c r="L217" i="5"/>
  <c r="L218" i="5"/>
  <c r="L219" i="5"/>
  <c r="L220" i="5"/>
  <c r="L221" i="5"/>
  <c r="L222" i="5"/>
  <c r="L223" i="5"/>
  <c r="L224" i="5"/>
  <c r="L225" i="5"/>
  <c r="L226" i="5"/>
  <c r="L227" i="5"/>
  <c r="L228" i="5"/>
  <c r="L229" i="5"/>
  <c r="L230" i="5"/>
  <c r="L231" i="5"/>
  <c r="L232" i="5"/>
  <c r="L233" i="5"/>
  <c r="L234" i="5"/>
  <c r="L235" i="5"/>
  <c r="L236" i="5"/>
  <c r="L237" i="5"/>
  <c r="L238" i="5"/>
  <c r="L239" i="5"/>
  <c r="L240" i="5"/>
  <c r="L241" i="5"/>
  <c r="L242" i="5"/>
  <c r="L243" i="5"/>
  <c r="L244" i="5"/>
  <c r="L245" i="5"/>
  <c r="L246" i="5"/>
  <c r="L247" i="5"/>
  <c r="L248" i="5"/>
  <c r="L249" i="5"/>
  <c r="L250" i="5"/>
  <c r="L251" i="5"/>
  <c r="L252" i="5"/>
  <c r="L253" i="5"/>
  <c r="L254" i="5"/>
  <c r="L255" i="5"/>
  <c r="L256" i="5"/>
  <c r="L257" i="5"/>
  <c r="L258" i="5"/>
  <c r="L259" i="5"/>
  <c r="L260" i="5"/>
  <c r="L261" i="5"/>
  <c r="L262" i="5"/>
  <c r="L263" i="5"/>
  <c r="L264" i="5"/>
  <c r="L265" i="5"/>
  <c r="L266" i="5"/>
  <c r="L267" i="5"/>
  <c r="L268" i="5"/>
  <c r="L269" i="5"/>
  <c r="L270" i="5"/>
  <c r="L271" i="5"/>
  <c r="L272" i="5"/>
  <c r="L273" i="5"/>
  <c r="L274" i="5"/>
  <c r="L275" i="5"/>
  <c r="L276" i="5"/>
  <c r="L277" i="5"/>
  <c r="L278" i="5"/>
  <c r="L279" i="5"/>
  <c r="L280" i="5"/>
  <c r="L281" i="5"/>
  <c r="L282" i="5"/>
  <c r="L283" i="5"/>
  <c r="L284" i="5"/>
  <c r="L285" i="5"/>
  <c r="L286" i="5"/>
  <c r="L287" i="5"/>
  <c r="L288" i="5"/>
  <c r="L289" i="5"/>
  <c r="L290" i="5"/>
  <c r="L291" i="5"/>
  <c r="L292" i="5"/>
  <c r="L293" i="5"/>
  <c r="L294" i="5"/>
  <c r="L295" i="5"/>
  <c r="L296" i="5"/>
  <c r="L297" i="5"/>
  <c r="L298" i="5"/>
  <c r="L299" i="5"/>
  <c r="L300" i="5"/>
  <c r="L301" i="5"/>
  <c r="L302" i="5"/>
  <c r="L303" i="5"/>
  <c r="L304" i="5"/>
  <c r="L305" i="5"/>
  <c r="L306" i="5"/>
  <c r="L307" i="5"/>
  <c r="L308" i="5"/>
  <c r="L309" i="5"/>
  <c r="L310" i="5"/>
  <c r="L311" i="5"/>
  <c r="L312" i="5"/>
  <c r="L313" i="5"/>
  <c r="L314" i="5"/>
  <c r="L315" i="5"/>
  <c r="L316" i="5"/>
  <c r="L317" i="5"/>
  <c r="L318" i="5"/>
  <c r="L319" i="5"/>
  <c r="L320" i="5"/>
  <c r="L321" i="5"/>
  <c r="L322" i="5"/>
  <c r="L323" i="5"/>
  <c r="L324" i="5"/>
  <c r="L325" i="5"/>
  <c r="L326" i="5"/>
  <c r="L327" i="5"/>
  <c r="L328" i="5"/>
  <c r="L329" i="5"/>
  <c r="L330" i="5"/>
  <c r="L331" i="5"/>
  <c r="L332" i="5"/>
  <c r="L333" i="5"/>
  <c r="L334" i="5"/>
  <c r="L335" i="5"/>
  <c r="L336" i="5"/>
  <c r="L337" i="5"/>
  <c r="L338" i="5"/>
  <c r="L339" i="5"/>
  <c r="L340" i="5"/>
  <c r="L341" i="5"/>
  <c r="L342" i="5"/>
  <c r="L343" i="5"/>
  <c r="L344" i="5"/>
  <c r="L345" i="5"/>
  <c r="L346" i="5"/>
  <c r="L347" i="5"/>
  <c r="L348" i="5"/>
  <c r="L349" i="5"/>
  <c r="L350" i="5"/>
  <c r="L351" i="5"/>
  <c r="L352" i="5"/>
  <c r="L353" i="5"/>
  <c r="L354" i="5"/>
  <c r="L355" i="5"/>
  <c r="L356" i="5"/>
  <c r="L357" i="5"/>
  <c r="L358" i="5"/>
  <c r="L359" i="5"/>
  <c r="L360" i="5"/>
  <c r="L361" i="5"/>
  <c r="L362" i="5"/>
  <c r="L363" i="5"/>
  <c r="L364" i="5"/>
  <c r="L365" i="5"/>
  <c r="L366" i="5"/>
  <c r="L367" i="5"/>
  <c r="L368" i="5"/>
  <c r="L369" i="5"/>
  <c r="L370" i="5"/>
  <c r="L371" i="5"/>
  <c r="L372" i="5"/>
  <c r="L373" i="5"/>
  <c r="L374" i="5"/>
  <c r="L375" i="5"/>
  <c r="L376" i="5"/>
  <c r="L377" i="5"/>
  <c r="L378" i="5"/>
  <c r="L379" i="5"/>
  <c r="L380" i="5"/>
  <c r="L381" i="5"/>
  <c r="L382" i="5"/>
  <c r="L383" i="5"/>
  <c r="L384" i="5"/>
  <c r="L385" i="5"/>
  <c r="L386" i="5"/>
  <c r="L387" i="5"/>
  <c r="L388" i="5"/>
  <c r="L389" i="5"/>
  <c r="L390" i="5"/>
  <c r="L391" i="5"/>
  <c r="L392" i="5"/>
  <c r="L393" i="5"/>
  <c r="L394" i="5"/>
  <c r="L395" i="5"/>
  <c r="L396" i="5"/>
  <c r="L397" i="5"/>
  <c r="L398" i="5"/>
  <c r="L399" i="5"/>
  <c r="L400" i="5"/>
  <c r="L401" i="5"/>
  <c r="L402" i="5"/>
  <c r="L403" i="5"/>
  <c r="L404" i="5"/>
  <c r="L405" i="5"/>
  <c r="L406" i="5"/>
  <c r="L407" i="5"/>
  <c r="L408" i="5"/>
  <c r="L409" i="5"/>
  <c r="L410" i="5"/>
  <c r="L411" i="5"/>
  <c r="L412" i="5"/>
  <c r="L413" i="5"/>
  <c r="L414" i="5"/>
  <c r="L415" i="5"/>
  <c r="L416" i="5"/>
  <c r="L417" i="5"/>
  <c r="L418" i="5"/>
  <c r="L419" i="5"/>
  <c r="L420" i="5"/>
  <c r="L421" i="5"/>
  <c r="L422" i="5"/>
  <c r="L423" i="5"/>
  <c r="L424" i="5"/>
  <c r="L425" i="5"/>
  <c r="L426" i="5"/>
  <c r="L427" i="5"/>
  <c r="L428" i="5"/>
  <c r="L429" i="5"/>
  <c r="L430" i="5"/>
  <c r="L431" i="5"/>
  <c r="L432" i="5"/>
  <c r="L433" i="5"/>
  <c r="L434" i="5"/>
  <c r="L435" i="5"/>
  <c r="L436" i="5"/>
  <c r="L437" i="5"/>
  <c r="L438" i="5"/>
  <c r="L439" i="5"/>
  <c r="L440" i="5"/>
  <c r="L441" i="5"/>
  <c r="L442" i="5"/>
  <c r="L443" i="5"/>
  <c r="L444" i="5"/>
  <c r="L445" i="5"/>
  <c r="L446" i="5"/>
  <c r="L447" i="5"/>
  <c r="L448" i="5"/>
  <c r="L449" i="5"/>
  <c r="L450" i="5"/>
  <c r="L451" i="5"/>
  <c r="L452" i="5"/>
  <c r="L453" i="5"/>
  <c r="L454" i="5"/>
  <c r="L455" i="5"/>
  <c r="L456" i="5"/>
  <c r="L457" i="5"/>
  <c r="L458" i="5"/>
  <c r="L459" i="5"/>
  <c r="L460" i="5"/>
  <c r="L461" i="5"/>
  <c r="L462" i="5"/>
  <c r="L463" i="5"/>
  <c r="L464" i="5"/>
  <c r="L465" i="5"/>
  <c r="L466" i="5"/>
  <c r="L467" i="5"/>
  <c r="L468" i="5"/>
  <c r="L469" i="5"/>
  <c r="L470" i="5"/>
  <c r="L471" i="5"/>
  <c r="L472" i="5"/>
  <c r="L473" i="5"/>
  <c r="L474" i="5"/>
  <c r="L475" i="5"/>
  <c r="L476" i="5"/>
  <c r="L477" i="5"/>
  <c r="L478" i="5"/>
  <c r="L479" i="5"/>
  <c r="L480" i="5"/>
  <c r="L481" i="5"/>
  <c r="L482" i="5"/>
  <c r="L483" i="5"/>
  <c r="L484" i="5"/>
  <c r="L485" i="5"/>
  <c r="L486" i="5"/>
  <c r="L487" i="5"/>
  <c r="L488" i="5"/>
  <c r="L489" i="5"/>
  <c r="L490" i="5"/>
  <c r="L491" i="5"/>
  <c r="L492" i="5"/>
  <c r="L493" i="5"/>
  <c r="L494" i="5"/>
  <c r="L495" i="5"/>
  <c r="L496" i="5"/>
  <c r="L497" i="5"/>
  <c r="L498" i="5"/>
  <c r="L499" i="5"/>
  <c r="L500" i="5"/>
  <c r="L501" i="5"/>
  <c r="L502" i="5"/>
  <c r="L503" i="5"/>
  <c r="L504" i="5"/>
  <c r="L505" i="5"/>
  <c r="L506" i="5"/>
  <c r="L507" i="5"/>
  <c r="L508" i="5"/>
  <c r="L509" i="5"/>
  <c r="L510" i="5"/>
  <c r="L511" i="5"/>
  <c r="L512" i="5"/>
  <c r="L513" i="5"/>
  <c r="L514" i="5"/>
  <c r="L515" i="5"/>
  <c r="L516" i="5"/>
  <c r="L517" i="5"/>
  <c r="L518" i="5"/>
  <c r="L519" i="5"/>
  <c r="L520" i="5"/>
  <c r="L521" i="5"/>
  <c r="L522" i="5"/>
  <c r="L523" i="5"/>
  <c r="L524" i="5"/>
  <c r="L525" i="5"/>
  <c r="L526" i="5"/>
  <c r="L527" i="5"/>
  <c r="L528" i="5"/>
  <c r="L529" i="5"/>
  <c r="L530" i="5"/>
  <c r="L531" i="5"/>
  <c r="L532" i="5"/>
  <c r="L533" i="5"/>
  <c r="L534" i="5"/>
  <c r="L535" i="5"/>
  <c r="L536" i="5"/>
  <c r="L537" i="5"/>
  <c r="L538" i="5"/>
  <c r="L539" i="5"/>
  <c r="L540" i="5"/>
  <c r="L541" i="5"/>
  <c r="L542" i="5"/>
  <c r="L543" i="5"/>
  <c r="L544" i="5"/>
  <c r="L545" i="5"/>
  <c r="L546" i="5"/>
  <c r="L547" i="5"/>
  <c r="L548" i="5"/>
  <c r="L549" i="5"/>
  <c r="L550" i="5"/>
  <c r="L551" i="5"/>
  <c r="L552" i="5"/>
  <c r="L553" i="5"/>
  <c r="L554" i="5"/>
  <c r="L555" i="5"/>
  <c r="L556" i="5"/>
  <c r="L557" i="5"/>
  <c r="L558" i="5"/>
  <c r="L559" i="5"/>
  <c r="L560" i="5"/>
  <c r="L561" i="5"/>
  <c r="L562" i="5"/>
  <c r="L563" i="5"/>
  <c r="L564" i="5"/>
  <c r="L565" i="5"/>
  <c r="L566" i="5"/>
  <c r="L567" i="5"/>
  <c r="L568" i="5"/>
  <c r="L569" i="5"/>
  <c r="L570" i="5"/>
  <c r="L571" i="5"/>
  <c r="L572" i="5"/>
  <c r="L573" i="5"/>
  <c r="L574" i="5"/>
  <c r="L575" i="5"/>
  <c r="L576" i="5"/>
  <c r="L577" i="5"/>
  <c r="L578" i="5"/>
  <c r="L579" i="5"/>
  <c r="L580" i="5"/>
  <c r="L581" i="5"/>
  <c r="L582" i="5"/>
  <c r="L583" i="5"/>
  <c r="L584" i="5"/>
  <c r="L585" i="5"/>
  <c r="L586" i="5"/>
  <c r="L587" i="5"/>
  <c r="L588" i="5"/>
  <c r="L589" i="5"/>
  <c r="L590" i="5"/>
  <c r="L591" i="5"/>
  <c r="L592" i="5"/>
  <c r="L593" i="5"/>
  <c r="L594" i="5"/>
  <c r="L595" i="5"/>
  <c r="L596" i="5"/>
  <c r="L597" i="5"/>
  <c r="L598" i="5"/>
  <c r="L599" i="5"/>
  <c r="L600" i="5"/>
  <c r="L601" i="5"/>
  <c r="L602" i="5"/>
  <c r="L603" i="5"/>
  <c r="L604" i="5"/>
  <c r="L605" i="5"/>
  <c r="L606" i="5"/>
  <c r="L607" i="5"/>
  <c r="L608" i="5"/>
  <c r="L609" i="5"/>
  <c r="L610" i="5"/>
  <c r="L611" i="5"/>
  <c r="L612" i="5"/>
  <c r="L613" i="5"/>
  <c r="L614" i="5"/>
  <c r="L615" i="5"/>
  <c r="L616" i="5"/>
  <c r="L617" i="5"/>
  <c r="L618" i="5"/>
  <c r="L619" i="5"/>
  <c r="L620" i="5"/>
  <c r="L621" i="5"/>
  <c r="L622" i="5"/>
  <c r="L623" i="5"/>
  <c r="L624" i="5"/>
  <c r="L625" i="5"/>
  <c r="L626" i="5"/>
  <c r="L627" i="5"/>
  <c r="L628" i="5"/>
  <c r="L629" i="5"/>
  <c r="L630" i="5"/>
  <c r="L631" i="5"/>
  <c r="L632" i="5"/>
  <c r="L633" i="5"/>
  <c r="L634" i="5"/>
  <c r="L635" i="5"/>
  <c r="L636" i="5"/>
  <c r="L637" i="5"/>
  <c r="L638" i="5"/>
  <c r="L639" i="5"/>
  <c r="L640" i="5"/>
  <c r="L641" i="5"/>
  <c r="L642" i="5"/>
  <c r="L643" i="5"/>
  <c r="L644" i="5"/>
  <c r="L645" i="5"/>
  <c r="L646" i="5"/>
  <c r="L647" i="5"/>
  <c r="L648" i="5"/>
  <c r="L649" i="5"/>
  <c r="L650" i="5"/>
  <c r="L651" i="5"/>
  <c r="L652" i="5"/>
  <c r="L653" i="5"/>
  <c r="L654" i="5"/>
  <c r="L655" i="5"/>
  <c r="L656" i="5"/>
  <c r="L657" i="5"/>
  <c r="L658" i="5"/>
  <c r="L659" i="5"/>
  <c r="L660" i="5"/>
  <c r="L661" i="5"/>
  <c r="L662" i="5"/>
  <c r="L663" i="5"/>
  <c r="L664" i="5"/>
  <c r="L665" i="5"/>
  <c r="L666" i="5"/>
  <c r="L667" i="5"/>
  <c r="L668" i="5"/>
  <c r="L669" i="5"/>
  <c r="L670" i="5"/>
  <c r="L671" i="5"/>
  <c r="L672" i="5"/>
  <c r="L673" i="5"/>
  <c r="L674" i="5"/>
  <c r="L675" i="5"/>
  <c r="L676" i="5"/>
  <c r="L677" i="5"/>
  <c r="L678" i="5"/>
  <c r="L679" i="5"/>
  <c r="L680" i="5"/>
  <c r="L681" i="5"/>
  <c r="L682" i="5"/>
  <c r="L683" i="5"/>
  <c r="L684" i="5"/>
  <c r="L685" i="5"/>
  <c r="L686" i="5"/>
  <c r="L687" i="5"/>
  <c r="L688" i="5"/>
  <c r="L689" i="5"/>
  <c r="L690" i="5"/>
  <c r="L691" i="5"/>
  <c r="L692" i="5"/>
  <c r="L693" i="5"/>
  <c r="L694" i="5"/>
  <c r="L695" i="5"/>
  <c r="L696" i="5"/>
  <c r="L697" i="5"/>
  <c r="L698" i="5"/>
  <c r="L699" i="5"/>
  <c r="L700" i="5"/>
  <c r="L701" i="5"/>
  <c r="L702" i="5"/>
  <c r="L703" i="5"/>
  <c r="L704" i="5"/>
  <c r="L705" i="5"/>
  <c r="L706" i="5"/>
  <c r="L707" i="5"/>
  <c r="L708" i="5"/>
  <c r="L709" i="5"/>
  <c r="L710" i="5"/>
  <c r="L711" i="5"/>
  <c r="L712" i="5"/>
  <c r="L713" i="5"/>
  <c r="L714" i="5"/>
  <c r="L715" i="5"/>
  <c r="L716" i="5"/>
  <c r="L717" i="5"/>
  <c r="L718" i="5"/>
  <c r="L719" i="5"/>
  <c r="L720" i="5"/>
  <c r="L721" i="5"/>
  <c r="L722" i="5"/>
  <c r="L723" i="5"/>
  <c r="L724" i="5"/>
  <c r="L725" i="5"/>
  <c r="L726" i="5"/>
  <c r="L727" i="5"/>
  <c r="L728" i="5"/>
  <c r="L729" i="5"/>
  <c r="L730" i="5"/>
  <c r="L731" i="5"/>
  <c r="L732" i="5"/>
  <c r="L733" i="5"/>
  <c r="L734" i="5"/>
  <c r="L735" i="5"/>
  <c r="L736" i="5"/>
  <c r="L737" i="5"/>
  <c r="L738" i="5"/>
  <c r="L739" i="5"/>
  <c r="L740" i="5"/>
  <c r="L741" i="5"/>
  <c r="L742" i="5"/>
  <c r="L743" i="5"/>
  <c r="L744" i="5"/>
  <c r="L745" i="5"/>
  <c r="L746" i="5"/>
  <c r="L747" i="5"/>
  <c r="L748" i="5"/>
  <c r="L749" i="5"/>
  <c r="L750" i="5"/>
  <c r="L751" i="5"/>
  <c r="L752" i="5"/>
  <c r="L753" i="5"/>
  <c r="L754" i="5"/>
  <c r="L755" i="5"/>
  <c r="L756" i="5"/>
  <c r="L757" i="5"/>
  <c r="L758" i="5"/>
  <c r="L759" i="5"/>
  <c r="L760" i="5"/>
  <c r="L761" i="5"/>
  <c r="L762" i="5"/>
  <c r="L763" i="5"/>
  <c r="L764" i="5"/>
  <c r="L765" i="5"/>
  <c r="L766" i="5"/>
  <c r="L767" i="5"/>
  <c r="L768" i="5"/>
  <c r="L769" i="5"/>
  <c r="L770" i="5"/>
  <c r="L771" i="5"/>
  <c r="L772" i="5"/>
  <c r="L773" i="5"/>
  <c r="L774" i="5"/>
  <c r="L775" i="5"/>
  <c r="L776" i="5"/>
  <c r="L777" i="5"/>
  <c r="L778" i="5"/>
  <c r="L779" i="5"/>
  <c r="L780" i="5"/>
  <c r="L781" i="5"/>
  <c r="L782" i="5"/>
  <c r="L783" i="5"/>
  <c r="L784" i="5"/>
  <c r="L785" i="5"/>
  <c r="L786" i="5"/>
  <c r="L787" i="5"/>
  <c r="L788" i="5"/>
  <c r="L789" i="5"/>
  <c r="L790" i="5"/>
  <c r="L791" i="5"/>
  <c r="L792" i="5"/>
  <c r="L793" i="5"/>
  <c r="L794" i="5"/>
  <c r="L795" i="5"/>
  <c r="L796" i="5"/>
  <c r="L797" i="5"/>
  <c r="L798" i="5"/>
  <c r="L799" i="5"/>
  <c r="L800" i="5"/>
  <c r="L801" i="5"/>
  <c r="L802" i="5"/>
  <c r="L803" i="5"/>
  <c r="L804" i="5"/>
  <c r="L805" i="5"/>
  <c r="L806" i="5"/>
  <c r="L807" i="5"/>
  <c r="L808" i="5"/>
  <c r="L809" i="5"/>
  <c r="L810" i="5"/>
  <c r="L811" i="5"/>
  <c r="L812" i="5"/>
  <c r="L813" i="5"/>
  <c r="L814" i="5"/>
  <c r="L815" i="5"/>
  <c r="L816" i="5"/>
  <c r="L817" i="5"/>
  <c r="L818" i="5"/>
  <c r="L819" i="5"/>
  <c r="L820" i="5"/>
  <c r="L821" i="5"/>
  <c r="L822" i="5"/>
  <c r="L823" i="5"/>
  <c r="L824" i="5"/>
  <c r="L825" i="5"/>
  <c r="L826" i="5"/>
  <c r="L827" i="5"/>
  <c r="L828" i="5"/>
  <c r="L829" i="5"/>
  <c r="L830" i="5"/>
  <c r="L831" i="5"/>
  <c r="L832" i="5"/>
  <c r="L833" i="5"/>
  <c r="L834" i="5"/>
  <c r="L835" i="5"/>
  <c r="L836" i="5"/>
  <c r="L837" i="5"/>
  <c r="L838" i="5"/>
  <c r="L839" i="5"/>
  <c r="L840" i="5"/>
  <c r="L841" i="5"/>
  <c r="L842" i="5"/>
  <c r="L843" i="5"/>
  <c r="L844" i="5"/>
  <c r="L845" i="5"/>
  <c r="L846" i="5"/>
  <c r="L847" i="5"/>
  <c r="L848" i="5"/>
  <c r="L849" i="5"/>
  <c r="L850" i="5"/>
  <c r="L851" i="5"/>
  <c r="L852" i="5"/>
  <c r="L853" i="5"/>
  <c r="L854" i="5"/>
  <c r="L855" i="5"/>
  <c r="L856" i="5"/>
  <c r="L857" i="5"/>
  <c r="L858" i="5"/>
  <c r="L859" i="5"/>
  <c r="L860" i="5"/>
  <c r="L861" i="5"/>
  <c r="L862" i="5"/>
  <c r="L863" i="5"/>
  <c r="L864" i="5"/>
  <c r="L865" i="5"/>
  <c r="L866" i="5"/>
  <c r="L867" i="5"/>
  <c r="L868" i="5"/>
  <c r="L869" i="5"/>
  <c r="L870" i="5"/>
  <c r="L871" i="5"/>
  <c r="L872" i="5"/>
  <c r="L873" i="5"/>
  <c r="L874" i="5"/>
  <c r="L875" i="5"/>
  <c r="L876" i="5"/>
  <c r="L877" i="5"/>
  <c r="L878" i="5"/>
  <c r="L879" i="5"/>
  <c r="L880" i="5"/>
  <c r="L881" i="5"/>
  <c r="L882" i="5"/>
  <c r="L883" i="5"/>
  <c r="L884" i="5"/>
  <c r="L885" i="5"/>
  <c r="L886" i="5"/>
  <c r="L887" i="5"/>
  <c r="L888" i="5"/>
  <c r="L889" i="5"/>
  <c r="L890" i="5"/>
  <c r="L891" i="5"/>
  <c r="L892" i="5"/>
  <c r="L893" i="5"/>
  <c r="L894" i="5"/>
  <c r="L895" i="5"/>
  <c r="L896" i="5"/>
  <c r="L897" i="5"/>
  <c r="L898" i="5"/>
  <c r="L899" i="5"/>
  <c r="L900" i="5"/>
  <c r="L901" i="5"/>
  <c r="L902" i="5"/>
  <c r="L903" i="5"/>
  <c r="L904" i="5"/>
  <c r="L905" i="5"/>
  <c r="L906" i="5"/>
  <c r="L907" i="5"/>
  <c r="L908" i="5"/>
  <c r="L909" i="5"/>
  <c r="L910" i="5"/>
  <c r="L911" i="5"/>
  <c r="L912" i="5"/>
  <c r="L913" i="5"/>
  <c r="L914" i="5"/>
  <c r="L915" i="5"/>
  <c r="L916" i="5"/>
  <c r="L917" i="5"/>
  <c r="L918" i="5"/>
  <c r="L919" i="5"/>
  <c r="L920" i="5"/>
  <c r="L921" i="5"/>
  <c r="L922" i="5"/>
  <c r="L923" i="5"/>
  <c r="L924" i="5"/>
  <c r="L925" i="5"/>
  <c r="L926" i="5"/>
  <c r="L927" i="5"/>
  <c r="L928" i="5"/>
  <c r="L929" i="5"/>
  <c r="L930" i="5"/>
  <c r="L931" i="5"/>
  <c r="L932" i="5"/>
  <c r="L933" i="5"/>
  <c r="L934" i="5"/>
  <c r="L935" i="5"/>
  <c r="L936" i="5"/>
  <c r="L937" i="5"/>
  <c r="L938" i="5"/>
  <c r="L939" i="5"/>
  <c r="L940" i="5"/>
  <c r="L941" i="5"/>
  <c r="L942" i="5"/>
  <c r="L943" i="5"/>
  <c r="L944" i="5"/>
  <c r="L945" i="5"/>
  <c r="L946" i="5"/>
  <c r="L947" i="5"/>
  <c r="L948" i="5"/>
  <c r="L949" i="5"/>
  <c r="L950" i="5"/>
  <c r="L951" i="5"/>
  <c r="L952" i="5"/>
  <c r="L953" i="5"/>
  <c r="L954" i="5"/>
  <c r="L955" i="5"/>
  <c r="L956" i="5"/>
  <c r="L957" i="5"/>
  <c r="L958" i="5"/>
  <c r="L959" i="5"/>
  <c r="L960" i="5"/>
  <c r="L961" i="5"/>
  <c r="L962" i="5"/>
  <c r="L963" i="5"/>
  <c r="L964" i="5"/>
  <c r="L965" i="5"/>
  <c r="L966" i="5"/>
  <c r="L967" i="5"/>
  <c r="L968" i="5"/>
  <c r="L969" i="5"/>
  <c r="L970" i="5"/>
  <c r="L971" i="5"/>
  <c r="L972" i="5"/>
  <c r="L973" i="5"/>
  <c r="L974" i="5"/>
  <c r="L975" i="5"/>
  <c r="L976" i="5"/>
  <c r="L977" i="5"/>
  <c r="L978" i="5"/>
  <c r="L979" i="5"/>
  <c r="L980" i="5"/>
  <c r="L981" i="5"/>
  <c r="L982" i="5"/>
  <c r="L983" i="5"/>
  <c r="L984" i="5"/>
  <c r="L985" i="5"/>
  <c r="L986" i="5"/>
  <c r="L987" i="5"/>
  <c r="L988" i="5"/>
  <c r="L989" i="5"/>
  <c r="L990" i="5"/>
  <c r="L991" i="5"/>
  <c r="L992" i="5"/>
  <c r="L993" i="5"/>
  <c r="L994" i="5"/>
  <c r="L995" i="5"/>
  <c r="L996" i="5"/>
  <c r="L997" i="5"/>
  <c r="L998" i="5"/>
  <c r="L999" i="5"/>
  <c r="L1000" i="5"/>
  <c r="L1001" i="5"/>
  <c r="L2" i="5"/>
  <c r="J13" i="6" l="1"/>
  <c r="J16" i="6"/>
  <c r="J19" i="6"/>
  <c r="J18" i="6"/>
  <c r="J17" i="6"/>
  <c r="J15" i="6"/>
  <c r="J14" i="6"/>
  <c r="G24" i="6" l="1"/>
</calcChain>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<sst xmlns="http://schemas.openxmlformats.org/spreadsheetml/2006/main" count="12109" uniqueCount="1066">
  <si>
    <t>Invoice ID</t>
  </si>
  <si>
    <t>Branch</t>
  </si>
  <si>
    <t>City</t>
  </si>
  <si>
    <t>Customer type</t>
  </si>
  <si>
    <t>Gender</t>
  </si>
  <si>
    <t>Product line</t>
  </si>
  <si>
    <t>Unit price</t>
  </si>
  <si>
    <t>Quantity</t>
  </si>
  <si>
    <t>Tax 5%</t>
  </si>
  <si>
    <t>Total</t>
  </si>
  <si>
    <t>Date</t>
  </si>
  <si>
    <t>Time</t>
  </si>
  <si>
    <t>Payment</t>
  </si>
  <si>
    <t>cogs</t>
  </si>
  <si>
    <t>gross margin percentage</t>
  </si>
  <si>
    <t>gross income</t>
  </si>
  <si>
    <t>Rating</t>
  </si>
  <si>
    <t>750-67-8428</t>
  </si>
  <si>
    <t>A</t>
  </si>
  <si>
    <t>Yangon</t>
  </si>
  <si>
    <t>Member</t>
  </si>
  <si>
    <t>Female</t>
  </si>
  <si>
    <t>Health and beauty</t>
  </si>
  <si>
    <t>Ewallet</t>
  </si>
  <si>
    <t>226-31-3081</t>
  </si>
  <si>
    <t>C</t>
  </si>
  <si>
    <t>Naypyitaw</t>
  </si>
  <si>
    <t>Normal</t>
  </si>
  <si>
    <t>Electronic accessories</t>
  </si>
  <si>
    <t>Cash</t>
  </si>
  <si>
    <t>631-41-3108</t>
  </si>
  <si>
    <t>Male</t>
  </si>
  <si>
    <t>Home and lifestyle</t>
  </si>
  <si>
    <t>Credit card</t>
  </si>
  <si>
    <t>123-19-1176</t>
  </si>
  <si>
    <t>373-73-7910</t>
  </si>
  <si>
    <t>Sports and travel</t>
  </si>
  <si>
    <t>699-14-3026</t>
  </si>
  <si>
    <t>355-53-5943</t>
  </si>
  <si>
    <t>315-22-5665</t>
  </si>
  <si>
    <t>665-32-9167</t>
  </si>
  <si>
    <t>692-92-5582</t>
  </si>
  <si>
    <t>B</t>
  </si>
  <si>
    <t>Mandalay</t>
  </si>
  <si>
    <t>Food and beverages</t>
  </si>
  <si>
    <t>351-62-0822</t>
  </si>
  <si>
    <t>Fashion accessories</t>
  </si>
  <si>
    <t>529-56-3974</t>
  </si>
  <si>
    <t>365-64-0515</t>
  </si>
  <si>
    <t>252-56-2699</t>
  </si>
  <si>
    <t>829-34-3910</t>
  </si>
  <si>
    <t>299-46-1805</t>
  </si>
  <si>
    <t>656-95-9349</t>
  </si>
  <si>
    <t>765-26-6951</t>
  </si>
  <si>
    <t>329-62-1586</t>
  </si>
  <si>
    <t>319-50-3348</t>
  </si>
  <si>
    <t>300-71-4605</t>
  </si>
  <si>
    <t>371-85-5789</t>
  </si>
  <si>
    <t>273-16-6619</t>
  </si>
  <si>
    <t>636-48-8204</t>
  </si>
  <si>
    <t>549-59-1358</t>
  </si>
  <si>
    <t>227-03-5010</t>
  </si>
  <si>
    <t>649-29-6775</t>
  </si>
  <si>
    <t>189-17-4241</t>
  </si>
  <si>
    <t>145-94-9061</t>
  </si>
  <si>
    <t>848-62-7243</t>
  </si>
  <si>
    <t>871-79-8483</t>
  </si>
  <si>
    <t>149-71-6266</t>
  </si>
  <si>
    <t>640-49-2076</t>
  </si>
  <si>
    <t>595-11-5460</t>
  </si>
  <si>
    <t>183-56-6882</t>
  </si>
  <si>
    <t>232-16-2483</t>
  </si>
  <si>
    <t>129-29-8530</t>
  </si>
  <si>
    <t>272-65-1806</t>
  </si>
  <si>
    <t>333-73-7901</t>
  </si>
  <si>
    <t>777-82-7220</t>
  </si>
  <si>
    <t>280-35-5823</t>
  </si>
  <si>
    <t>554-53-8700</t>
  </si>
  <si>
    <t>354-25-5821</t>
  </si>
  <si>
    <t>228-96-1411</t>
  </si>
  <si>
    <t>617-15-4209</t>
  </si>
  <si>
    <t>132-32-9879</t>
  </si>
  <si>
    <t>370-41-7321</t>
  </si>
  <si>
    <t>727-46-3608</t>
  </si>
  <si>
    <t>669-54-1719</t>
  </si>
  <si>
    <t>574-22-5561</t>
  </si>
  <si>
    <t>326-78-5178</t>
  </si>
  <si>
    <t>162-48-8011</t>
  </si>
  <si>
    <t>616-24-2851</t>
  </si>
  <si>
    <t>778-71-5554</t>
  </si>
  <si>
    <t>242-55-6721</t>
  </si>
  <si>
    <t>399-46-5918</t>
  </si>
  <si>
    <t>106-35-6779</t>
  </si>
  <si>
    <t>635-40-6220</t>
  </si>
  <si>
    <t>817-48-8732</t>
  </si>
  <si>
    <t>120-06-4233</t>
  </si>
  <si>
    <t>285-68-5083</t>
  </si>
  <si>
    <t>803-83-5989</t>
  </si>
  <si>
    <t>347-34-2234</t>
  </si>
  <si>
    <t>199-75-8169</t>
  </si>
  <si>
    <t>853-23-2453</t>
  </si>
  <si>
    <t>877-22-3308</t>
  </si>
  <si>
    <t>838-78-4295</t>
  </si>
  <si>
    <t>109-28-2512</t>
  </si>
  <si>
    <t>232-11-3025</t>
  </si>
  <si>
    <t>382-03-4532</t>
  </si>
  <si>
    <t>393-65-2792</t>
  </si>
  <si>
    <t>796-12-2025</t>
  </si>
  <si>
    <t>510-95-6347</t>
  </si>
  <si>
    <t>841-35-6630</t>
  </si>
  <si>
    <t>287-21-9091</t>
  </si>
  <si>
    <t>732-94-0499</t>
  </si>
  <si>
    <t>263-10-3913</t>
  </si>
  <si>
    <t>381-20-0914</t>
  </si>
  <si>
    <t>829-49-1914</t>
  </si>
  <si>
    <t>756-01-7507</t>
  </si>
  <si>
    <t>870-72-4431</t>
  </si>
  <si>
    <t>847-38-7188</t>
  </si>
  <si>
    <t>480-63-2856</t>
  </si>
  <si>
    <t>787-56-0757</t>
  </si>
  <si>
    <t>360-39-5055</t>
  </si>
  <si>
    <t>730-50-9884</t>
  </si>
  <si>
    <t>362-58-8315</t>
  </si>
  <si>
    <t>633-44-8566</t>
  </si>
  <si>
    <t>504-35-8843</t>
  </si>
  <si>
    <t>318-68-5053</t>
  </si>
  <si>
    <t>565-80-5980</t>
  </si>
  <si>
    <t>225-32-0908</t>
  </si>
  <si>
    <t>873-51-0671</t>
  </si>
  <si>
    <t>152-08-9985</t>
  </si>
  <si>
    <t>512-91-0811</t>
  </si>
  <si>
    <t>594-34-4444</t>
  </si>
  <si>
    <t>766-85-7061</t>
  </si>
  <si>
    <t>871-39-9221</t>
  </si>
  <si>
    <t>865-92-6136</t>
  </si>
  <si>
    <t>733-01-9107</t>
  </si>
  <si>
    <t>163-56-7055</t>
  </si>
  <si>
    <t>189-98-2939</t>
  </si>
  <si>
    <t>551-21-3069</t>
  </si>
  <si>
    <t>212-62-1842</t>
  </si>
  <si>
    <t>716-39-1409</t>
  </si>
  <si>
    <t>704-48-3927</t>
  </si>
  <si>
    <t>628-34-3388</t>
  </si>
  <si>
    <t>630-74-5166</t>
  </si>
  <si>
    <t>588-01-7461</t>
  </si>
  <si>
    <t>861-77-0145</t>
  </si>
  <si>
    <t>479-26-8945</t>
  </si>
  <si>
    <t>210-67-5886</t>
  </si>
  <si>
    <t>227-78-1148</t>
  </si>
  <si>
    <t>645-44-1170</t>
  </si>
  <si>
    <t>237-01-6122</t>
  </si>
  <si>
    <t>225-98-1496</t>
  </si>
  <si>
    <t>291-32-1427</t>
  </si>
  <si>
    <t>659-65-8956</t>
  </si>
  <si>
    <t>642-32-2990</t>
  </si>
  <si>
    <t>378-24-2715</t>
  </si>
  <si>
    <t>638-60-7125</t>
  </si>
  <si>
    <t>659-36-1684</t>
  </si>
  <si>
    <t>219-22-9386</t>
  </si>
  <si>
    <t>336-78-2147</t>
  </si>
  <si>
    <t>268-27-6179</t>
  </si>
  <si>
    <t>668-90-8900</t>
  </si>
  <si>
    <t>870-54-3162</t>
  </si>
  <si>
    <t>189-08-9157</t>
  </si>
  <si>
    <t>663-86-9076</t>
  </si>
  <si>
    <t>549-84-7482</t>
  </si>
  <si>
    <t>191-10-6171</t>
  </si>
  <si>
    <t>802-70-5316</t>
  </si>
  <si>
    <t>695-51-0018</t>
  </si>
  <si>
    <t>590-83-4591</t>
  </si>
  <si>
    <t>483-71-1164</t>
  </si>
  <si>
    <t>597-78-7908</t>
  </si>
  <si>
    <t>700-81-1757</t>
  </si>
  <si>
    <t>354-39-5160</t>
  </si>
  <si>
    <t>241-72-9525</t>
  </si>
  <si>
    <t>575-30-8091</t>
  </si>
  <si>
    <t>731-81-9469</t>
  </si>
  <si>
    <t>280-17-4359</t>
  </si>
  <si>
    <t>338-65-2210</t>
  </si>
  <si>
    <t>488-25-4221</t>
  </si>
  <si>
    <t>239-10-7476</t>
  </si>
  <si>
    <t>458-41-1477</t>
  </si>
  <si>
    <t>685-64-1609</t>
  </si>
  <si>
    <t>568-90-5112</t>
  </si>
  <si>
    <t>262-47-2794</t>
  </si>
  <si>
    <t>238-49-0436</t>
  </si>
  <si>
    <t>608-96-3517</t>
  </si>
  <si>
    <t>584-86-7256</t>
  </si>
  <si>
    <t>746-94-0204</t>
  </si>
  <si>
    <t>214-17-6927</t>
  </si>
  <si>
    <t>400-89-4171</t>
  </si>
  <si>
    <t>782-95-9291</t>
  </si>
  <si>
    <t>279-74-2924</t>
  </si>
  <si>
    <t>307-85-2293</t>
  </si>
  <si>
    <t>743-04-1105</t>
  </si>
  <si>
    <t>423-57-2993</t>
  </si>
  <si>
    <t>894-41-5205</t>
  </si>
  <si>
    <t>275-28-0149</t>
  </si>
  <si>
    <t>101-17-6199</t>
  </si>
  <si>
    <t>423-80-0988</t>
  </si>
  <si>
    <t>548-46-9322</t>
  </si>
  <si>
    <t>505-02-0892</t>
  </si>
  <si>
    <t>234-65-2137</t>
  </si>
  <si>
    <t>687-47-8271</t>
  </si>
  <si>
    <t>796-32-9050</t>
  </si>
  <si>
    <t>105-31-1824</t>
  </si>
  <si>
    <t>249-42-3782</t>
  </si>
  <si>
    <t>316-55-4634</t>
  </si>
  <si>
    <t>733-33-4967</t>
  </si>
  <si>
    <t>608-27-6295</t>
  </si>
  <si>
    <t>414-12-7047</t>
  </si>
  <si>
    <t>827-26-2100</t>
  </si>
  <si>
    <t>175-54-2529</t>
  </si>
  <si>
    <t>139-52-2867</t>
  </si>
  <si>
    <t>407-63-8975</t>
  </si>
  <si>
    <t>342-65-4817</t>
  </si>
  <si>
    <t>130-98-8941</t>
  </si>
  <si>
    <t>434-83-9547</t>
  </si>
  <si>
    <t>851-28-6367</t>
  </si>
  <si>
    <t>824-88-3614</t>
  </si>
  <si>
    <t>586-25-0848</t>
  </si>
  <si>
    <t>895-66-0685</t>
  </si>
  <si>
    <t>305-14-0245</t>
  </si>
  <si>
    <t>732-04-5373</t>
  </si>
  <si>
    <t>400-60-7251</t>
  </si>
  <si>
    <t>593-65-1552</t>
  </si>
  <si>
    <t>284-34-9626</t>
  </si>
  <si>
    <t>437-58-8131</t>
  </si>
  <si>
    <t>286-43-6208</t>
  </si>
  <si>
    <t>641-43-2399</t>
  </si>
  <si>
    <t>831-07-6050</t>
  </si>
  <si>
    <t>556-86-3144</t>
  </si>
  <si>
    <t>848-24-9445</t>
  </si>
  <si>
    <t>856-22-8149</t>
  </si>
  <si>
    <t>699-01-4164</t>
  </si>
  <si>
    <t>420-11-4919</t>
  </si>
  <si>
    <t>606-80-4905</t>
  </si>
  <si>
    <t>542-41-0513</t>
  </si>
  <si>
    <t>426-39-2418</t>
  </si>
  <si>
    <t>875-46-5808</t>
  </si>
  <si>
    <t>394-43-4238</t>
  </si>
  <si>
    <t>749-24-1565</t>
  </si>
  <si>
    <t>672-51-8681</t>
  </si>
  <si>
    <t>263-87-5680</t>
  </si>
  <si>
    <t>573-58-9734</t>
  </si>
  <si>
    <t>817-69-8206</t>
  </si>
  <si>
    <t>888-02-0338</t>
  </si>
  <si>
    <t>677-11-0152</t>
  </si>
  <si>
    <t>142-63-6033</t>
  </si>
  <si>
    <t>656-16-1063</t>
  </si>
  <si>
    <t>891-58-8335</t>
  </si>
  <si>
    <t>802-43-8934</t>
  </si>
  <si>
    <t>560-30-5617</t>
  </si>
  <si>
    <t>319-74-2561</t>
  </si>
  <si>
    <t>549-03-9315</t>
  </si>
  <si>
    <t>790-29-1172</t>
  </si>
  <si>
    <t>239-36-3640</t>
  </si>
  <si>
    <t>468-01-2051</t>
  </si>
  <si>
    <t>389-25-3394</t>
  </si>
  <si>
    <t>279-62-1445</t>
  </si>
  <si>
    <t>213-72-6612</t>
  </si>
  <si>
    <t>746-68-6593</t>
  </si>
  <si>
    <t>836-82-5858</t>
  </si>
  <si>
    <t>583-72-1480</t>
  </si>
  <si>
    <t>466-61-5506</t>
  </si>
  <si>
    <t>721-86-6247</t>
  </si>
  <si>
    <t>289-65-5721</t>
  </si>
  <si>
    <t>545-46-3100</t>
  </si>
  <si>
    <t>418-02-5978</t>
  </si>
  <si>
    <t>269-04-5750</t>
  </si>
  <si>
    <t>157-13-5295</t>
  </si>
  <si>
    <t>645-78-8093</t>
  </si>
  <si>
    <t>211-30-9270</t>
  </si>
  <si>
    <t>755-12-3214</t>
  </si>
  <si>
    <t>346-84-3103</t>
  </si>
  <si>
    <t>478-06-7835</t>
  </si>
  <si>
    <t>540-11-4336</t>
  </si>
  <si>
    <t>448-81-5016</t>
  </si>
  <si>
    <t>142-72-4741</t>
  </si>
  <si>
    <t>217-58-1179</t>
  </si>
  <si>
    <t>376-02-8238</t>
  </si>
  <si>
    <t>530-90-9855</t>
  </si>
  <si>
    <t>866-05-7563</t>
  </si>
  <si>
    <t>604-70-6476</t>
  </si>
  <si>
    <t>799-71-1548</t>
  </si>
  <si>
    <t>785-13-7708</t>
  </si>
  <si>
    <t>845-51-0542</t>
  </si>
  <si>
    <t>662-47-5456</t>
  </si>
  <si>
    <t>883-17-4236</t>
  </si>
  <si>
    <t>290-68-2984</t>
  </si>
  <si>
    <t>704-11-6354</t>
  </si>
  <si>
    <t>110-48-7033</t>
  </si>
  <si>
    <t>366-93-0948</t>
  </si>
  <si>
    <t>729-09-9681</t>
  </si>
  <si>
    <t>151-16-1484</t>
  </si>
  <si>
    <t>380-94-4661</t>
  </si>
  <si>
    <t>850-41-9669</t>
  </si>
  <si>
    <t>821-07-3596</t>
  </si>
  <si>
    <t>655-85-5130</t>
  </si>
  <si>
    <t>447-15-7839</t>
  </si>
  <si>
    <t>154-74-7179</t>
  </si>
  <si>
    <t>253-12-6086</t>
  </si>
  <si>
    <t>808-65-0703</t>
  </si>
  <si>
    <t>571-94-0759</t>
  </si>
  <si>
    <t>144-51-6085</t>
  </si>
  <si>
    <t>731-14-2199</t>
  </si>
  <si>
    <t>783-09-1637</t>
  </si>
  <si>
    <t>687-15-1097</t>
  </si>
  <si>
    <t>126-54-1082</t>
  </si>
  <si>
    <t>633-91-1052</t>
  </si>
  <si>
    <t>477-24-6490</t>
  </si>
  <si>
    <t>566-19-5475</t>
  </si>
  <si>
    <t>526-86-8552</t>
  </si>
  <si>
    <t>376-56-3573</t>
  </si>
  <si>
    <t>537-72-0426</t>
  </si>
  <si>
    <t>828-61-5674</t>
  </si>
  <si>
    <t>136-08-6195</t>
  </si>
  <si>
    <t>523-38-0215</t>
  </si>
  <si>
    <t>490-29-1201</t>
  </si>
  <si>
    <t>667-92-0055</t>
  </si>
  <si>
    <t>565-17-3836</t>
  </si>
  <si>
    <t>498-41-1961</t>
  </si>
  <si>
    <t>593-95-4461</t>
  </si>
  <si>
    <t>226-71-3580</t>
  </si>
  <si>
    <t>283-79-9594</t>
  </si>
  <si>
    <t>430-60-3493</t>
  </si>
  <si>
    <t>139-20-0155</t>
  </si>
  <si>
    <t>558-80-4082</t>
  </si>
  <si>
    <t>278-97-7759</t>
  </si>
  <si>
    <t>316-68-6352</t>
  </si>
  <si>
    <t>585-03-5943</t>
  </si>
  <si>
    <t>211-05-0490</t>
  </si>
  <si>
    <t>727-75-6477</t>
  </si>
  <si>
    <t>744-02-5987</t>
  </si>
  <si>
    <t>307-83-9164</t>
  </si>
  <si>
    <t>779-06-0012</t>
  </si>
  <si>
    <t>446-47-6729</t>
  </si>
  <si>
    <t>573-10-3877</t>
  </si>
  <si>
    <t>735-06-4124</t>
  </si>
  <si>
    <t>439-54-7422</t>
  </si>
  <si>
    <t>396-90-2219</t>
  </si>
  <si>
    <t>411-77-0180</t>
  </si>
  <si>
    <t>286-01-5402</t>
  </si>
  <si>
    <t>803-17-8013</t>
  </si>
  <si>
    <t>512-98-1403</t>
  </si>
  <si>
    <t>848-42-2560</t>
  </si>
  <si>
    <t>532-59-7201</t>
  </si>
  <si>
    <t>181-94-6432</t>
  </si>
  <si>
    <t>870-76-1733</t>
  </si>
  <si>
    <t>423-64-4619</t>
  </si>
  <si>
    <t>227-07-4446</t>
  </si>
  <si>
    <t>174-36-3675</t>
  </si>
  <si>
    <t>428-83-5800</t>
  </si>
  <si>
    <t>603-07-0961</t>
  </si>
  <si>
    <t>704-20-4138</t>
  </si>
  <si>
    <t>787-15-1757</t>
  </si>
  <si>
    <t>649-11-3678</t>
  </si>
  <si>
    <t>622-20-1945</t>
  </si>
  <si>
    <t>372-94-8041</t>
  </si>
  <si>
    <t>563-91-7120</t>
  </si>
  <si>
    <t>746-54-5508</t>
  </si>
  <si>
    <t>276-54-0879</t>
  </si>
  <si>
    <t>815-11-1168</t>
  </si>
  <si>
    <t>719-76-3868</t>
  </si>
  <si>
    <t>730-61-8757</t>
  </si>
  <si>
    <t>340-66-0321</t>
  </si>
  <si>
    <t>868-81-1752</t>
  </si>
  <si>
    <t>634-97-8956</t>
  </si>
  <si>
    <t>566-71-1091</t>
  </si>
  <si>
    <t>442-48-3607</t>
  </si>
  <si>
    <t>835-16-0096</t>
  </si>
  <si>
    <t>527-09-6272</t>
  </si>
  <si>
    <t>898-04-2717</t>
  </si>
  <si>
    <t>692-27-8933</t>
  </si>
  <si>
    <t>633-09-3463</t>
  </si>
  <si>
    <t>374-17-3652</t>
  </si>
  <si>
    <t>378-07-7001</t>
  </si>
  <si>
    <t>433-75-6987</t>
  </si>
  <si>
    <t>873-95-4984</t>
  </si>
  <si>
    <t>416-13-5917</t>
  </si>
  <si>
    <t>150-89-8043</t>
  </si>
  <si>
    <t>135-84-8019</t>
  </si>
  <si>
    <t>441-94-7118</t>
  </si>
  <si>
    <t>725-96-3778</t>
  </si>
  <si>
    <t>531-80-1784</t>
  </si>
  <si>
    <t>400-45-1220</t>
  </si>
  <si>
    <t>860-79-0874</t>
  </si>
  <si>
    <t>834-61-8124</t>
  </si>
  <si>
    <t>115-99-4379</t>
  </si>
  <si>
    <t>565-67-6697</t>
  </si>
  <si>
    <t>320-49-6392</t>
  </si>
  <si>
    <t>889-04-9723</t>
  </si>
  <si>
    <t>632-90-0281</t>
  </si>
  <si>
    <t>554-42-2417</t>
  </si>
  <si>
    <t>453-63-6187</t>
  </si>
  <si>
    <t>578-80-7669</t>
  </si>
  <si>
    <t>612-36-5536</t>
  </si>
  <si>
    <t>605-72-4132</t>
  </si>
  <si>
    <t>471-41-2823</t>
  </si>
  <si>
    <t>462-67-9126</t>
  </si>
  <si>
    <t>272-27-9238</t>
  </si>
  <si>
    <t>834-25-9262</t>
  </si>
  <si>
    <t>122-61-9553</t>
  </si>
  <si>
    <t>468-88-0009</t>
  </si>
  <si>
    <t>613-59-9758</t>
  </si>
  <si>
    <t>254-31-0042</t>
  </si>
  <si>
    <t>201-86-2184</t>
  </si>
  <si>
    <t>261-12-8671</t>
  </si>
  <si>
    <t>730-70-9830</t>
  </si>
  <si>
    <t>382-25-8917</t>
  </si>
  <si>
    <t>422-29-8786</t>
  </si>
  <si>
    <t>667-23-5919</t>
  </si>
  <si>
    <t>843-01-4703</t>
  </si>
  <si>
    <t>743-88-1662</t>
  </si>
  <si>
    <t>595-86-2894</t>
  </si>
  <si>
    <t>182-69-8360</t>
  </si>
  <si>
    <t>289-15-7034</t>
  </si>
  <si>
    <t>462-78-5240</t>
  </si>
  <si>
    <t>868-52-7573</t>
  </si>
  <si>
    <t>153-58-4872</t>
  </si>
  <si>
    <t>662-72-2873</t>
  </si>
  <si>
    <t>525-88-7307</t>
  </si>
  <si>
    <t>689-16-9784</t>
  </si>
  <si>
    <t>725-56-0833</t>
  </si>
  <si>
    <t>394-41-0748</t>
  </si>
  <si>
    <t>596-42-3999</t>
  </si>
  <si>
    <t>541-89-9860</t>
  </si>
  <si>
    <t>173-82-9529</t>
  </si>
  <si>
    <t>563-36-9814</t>
  </si>
  <si>
    <t>308-47-4913</t>
  </si>
  <si>
    <t>885-17-6250</t>
  </si>
  <si>
    <t>726-27-2396</t>
  </si>
  <si>
    <t>316-01-3952</t>
  </si>
  <si>
    <t>760-54-1821</t>
  </si>
  <si>
    <t>793-10-3222</t>
  </si>
  <si>
    <t>346-12-3257</t>
  </si>
  <si>
    <t>110-05-6330</t>
  </si>
  <si>
    <t>651-61-0874</t>
  </si>
  <si>
    <t>236-86-3015</t>
  </si>
  <si>
    <t>831-64-0259</t>
  </si>
  <si>
    <t>587-03-7455</t>
  </si>
  <si>
    <t>882-40-4577</t>
  </si>
  <si>
    <t>732-67-5346</t>
  </si>
  <si>
    <t>725-32-9708</t>
  </si>
  <si>
    <t>256-08-8343</t>
  </si>
  <si>
    <t>372-26-1506</t>
  </si>
  <si>
    <t>244-08-0162</t>
  </si>
  <si>
    <t>569-71-4390</t>
  </si>
  <si>
    <t>132-23-6451</t>
  </si>
  <si>
    <t>696-90-2548</t>
  </si>
  <si>
    <t>472-15-9636</t>
  </si>
  <si>
    <t>268-03-6164</t>
  </si>
  <si>
    <t>750-57-9686</t>
  </si>
  <si>
    <t>186-09-3669</t>
  </si>
  <si>
    <t>848-07-1692</t>
  </si>
  <si>
    <t>745-71-3520</t>
  </si>
  <si>
    <t>266-76-6436</t>
  </si>
  <si>
    <t>740-22-2500</t>
  </si>
  <si>
    <t>271-88-8734</t>
  </si>
  <si>
    <t>301-81-8610</t>
  </si>
  <si>
    <t>489-64-4354</t>
  </si>
  <si>
    <t>198-84-7132</t>
  </si>
  <si>
    <t>269-10-8440</t>
  </si>
  <si>
    <t>650-98-6268</t>
  </si>
  <si>
    <t>741-73-3559</t>
  </si>
  <si>
    <t>325-77-6186</t>
  </si>
  <si>
    <t>286-75-7818</t>
  </si>
  <si>
    <t>574-57-9721</t>
  </si>
  <si>
    <t>459-50-7686</t>
  </si>
  <si>
    <t>616-87-0016</t>
  </si>
  <si>
    <t>837-55-7229</t>
  </si>
  <si>
    <t>751-69-0068</t>
  </si>
  <si>
    <t>257-73-1380</t>
  </si>
  <si>
    <t>345-08-4992</t>
  </si>
  <si>
    <t>549-96-4200</t>
  </si>
  <si>
    <t>810-60-6344</t>
  </si>
  <si>
    <t>450-28-2866</t>
  </si>
  <si>
    <t>394-30-3170</t>
  </si>
  <si>
    <t>138-17-5109</t>
  </si>
  <si>
    <t>192-98-7397</t>
  </si>
  <si>
    <t>301-11-9629</t>
  </si>
  <si>
    <t>390-80-5128</t>
  </si>
  <si>
    <t>235-46-8343</t>
  </si>
  <si>
    <t>453-12-7053</t>
  </si>
  <si>
    <t>296-11-7041</t>
  </si>
  <si>
    <t>449-27-2918</t>
  </si>
  <si>
    <t>891-01-7034</t>
  </si>
  <si>
    <t>744-09-5786</t>
  </si>
  <si>
    <t>727-17-0390</t>
  </si>
  <si>
    <t>568-88-3448</t>
  </si>
  <si>
    <t>187-83-5490</t>
  </si>
  <si>
    <t>767-54-1907</t>
  </si>
  <si>
    <t>710-46-4433</t>
  </si>
  <si>
    <t>533-33-5337</t>
  </si>
  <si>
    <t>325-90-8763</t>
  </si>
  <si>
    <t>729-46-7422</t>
  </si>
  <si>
    <t>639-76-1242</t>
  </si>
  <si>
    <t>234-03-4040</t>
  </si>
  <si>
    <t>326-71-2155</t>
  </si>
  <si>
    <t>320-32-8842</t>
  </si>
  <si>
    <t>470-32-9057</t>
  </si>
  <si>
    <t>878-30-2331</t>
  </si>
  <si>
    <t>440-59-5691</t>
  </si>
  <si>
    <t>554-53-3790</t>
  </si>
  <si>
    <t>746-19-0921</t>
  </si>
  <si>
    <t>233-34-0817</t>
  </si>
  <si>
    <t>767-05-1286</t>
  </si>
  <si>
    <t>340-21-9136</t>
  </si>
  <si>
    <t>405-31-3305</t>
  </si>
  <si>
    <t>731-59-7531</t>
  </si>
  <si>
    <t>676-39-6028</t>
  </si>
  <si>
    <t>502-05-1910</t>
  </si>
  <si>
    <t>485-30-8700</t>
  </si>
  <si>
    <t>598-47-9715</t>
  </si>
  <si>
    <t>701-69-8742</t>
  </si>
  <si>
    <t>575-67-1508</t>
  </si>
  <si>
    <t>541-08-3113</t>
  </si>
  <si>
    <t>246-11-3901</t>
  </si>
  <si>
    <t>674-15-9296</t>
  </si>
  <si>
    <t>305-18-3552</t>
  </si>
  <si>
    <t>493-65-6248</t>
  </si>
  <si>
    <t>438-01-4015</t>
  </si>
  <si>
    <t>709-58-4068</t>
  </si>
  <si>
    <t>795-49-7276</t>
  </si>
  <si>
    <t>556-72-8512</t>
  </si>
  <si>
    <t>627-95-3243</t>
  </si>
  <si>
    <t>686-41-0932</t>
  </si>
  <si>
    <t>510-09-5628</t>
  </si>
  <si>
    <t>608-04-3797</t>
  </si>
  <si>
    <t>148-82-2527</t>
  </si>
  <si>
    <t>437-53-3084</t>
  </si>
  <si>
    <t>632-32-4574</t>
  </si>
  <si>
    <t>556-97-7101</t>
  </si>
  <si>
    <t>862-59-8517</t>
  </si>
  <si>
    <t>401-18-8016</t>
  </si>
  <si>
    <t>420-18-8989</t>
  </si>
  <si>
    <t>277-63-2961</t>
  </si>
  <si>
    <t>573-98-8548</t>
  </si>
  <si>
    <t>620-02-2046</t>
  </si>
  <si>
    <t>282-35-2475</t>
  </si>
  <si>
    <t>511-54-3087</t>
  </si>
  <si>
    <t>726-29-6793</t>
  </si>
  <si>
    <t>387-49-4215</t>
  </si>
  <si>
    <t>862-17-9201</t>
  </si>
  <si>
    <t>291-21-5991</t>
  </si>
  <si>
    <t>602-80-9671</t>
  </si>
  <si>
    <t>347-72-6115</t>
  </si>
  <si>
    <t>209-61-0206</t>
  </si>
  <si>
    <t>595-27-4851</t>
  </si>
  <si>
    <t>189-52-0236</t>
  </si>
  <si>
    <t>503-07-0930</t>
  </si>
  <si>
    <t>413-20-6708</t>
  </si>
  <si>
    <t>425-85-2085</t>
  </si>
  <si>
    <t>521-18-7827</t>
  </si>
  <si>
    <t>220-28-1851</t>
  </si>
  <si>
    <t>600-38-9738</t>
  </si>
  <si>
    <t>734-91-1155</t>
  </si>
  <si>
    <t>451-28-5717</t>
  </si>
  <si>
    <t>609-81-8548</t>
  </si>
  <si>
    <t>133-14-7229</t>
  </si>
  <si>
    <t>534-01-4457</t>
  </si>
  <si>
    <t>719-89-8991</t>
  </si>
  <si>
    <t>286-62-6248</t>
  </si>
  <si>
    <t>339-38-9982</t>
  </si>
  <si>
    <t>827-44-5872</t>
  </si>
  <si>
    <t>827-77-7633</t>
  </si>
  <si>
    <t>287-83-1405</t>
  </si>
  <si>
    <t>435-13-4908</t>
  </si>
  <si>
    <t>857-67-9057</t>
  </si>
  <si>
    <t>236-27-1144</t>
  </si>
  <si>
    <t>892-05-6689</t>
  </si>
  <si>
    <t>583-41-4548</t>
  </si>
  <si>
    <t>339-12-4827</t>
  </si>
  <si>
    <t>643-38-7867</t>
  </si>
  <si>
    <t>308-81-0538</t>
  </si>
  <si>
    <t>358-88-9262</t>
  </si>
  <si>
    <t>460-35-4390</t>
  </si>
  <si>
    <t>343-87-0864</t>
  </si>
  <si>
    <t>173-50-1108</t>
  </si>
  <si>
    <t>243-47-2663</t>
  </si>
  <si>
    <t>841-18-8232</t>
  </si>
  <si>
    <t>701-23-5550</t>
  </si>
  <si>
    <t>647-50-1224</t>
  </si>
  <si>
    <t>541-48-8554</t>
  </si>
  <si>
    <t>539-21-7227</t>
  </si>
  <si>
    <t>213-32-1216</t>
  </si>
  <si>
    <t>747-58-7183</t>
  </si>
  <si>
    <t>582-52-8065</t>
  </si>
  <si>
    <t>210-57-1719</t>
  </si>
  <si>
    <t>399-69-4630</t>
  </si>
  <si>
    <t>134-75-2619</t>
  </si>
  <si>
    <t>356-44-8813</t>
  </si>
  <si>
    <t>198-66-9832</t>
  </si>
  <si>
    <t>283-26-5248</t>
  </si>
  <si>
    <t>712-39-0363</t>
  </si>
  <si>
    <t>218-59-9410</t>
  </si>
  <si>
    <t>174-75-0888</t>
  </si>
  <si>
    <t>866-99-7614</t>
  </si>
  <si>
    <t>134-54-4720</t>
  </si>
  <si>
    <t>760-90-2357</t>
  </si>
  <si>
    <t>514-37-2845</t>
  </si>
  <si>
    <t>698-98-5964</t>
  </si>
  <si>
    <t>718-57-9773</t>
  </si>
  <si>
    <t>651-88-7328</t>
  </si>
  <si>
    <t>241-11-2261</t>
  </si>
  <si>
    <t>408-26-9866</t>
  </si>
  <si>
    <t>834-83-1826</t>
  </si>
  <si>
    <t>343-61-3544</t>
  </si>
  <si>
    <t>239-48-4278</t>
  </si>
  <si>
    <t>355-34-6244</t>
  </si>
  <si>
    <t>550-84-8664</t>
  </si>
  <si>
    <t>339-96-8318</t>
  </si>
  <si>
    <t>458-61-0011</t>
  </si>
  <si>
    <t>592-34-6155</t>
  </si>
  <si>
    <t>797-88-0493</t>
  </si>
  <si>
    <t>207-73-1363</t>
  </si>
  <si>
    <t>390-31-6381</t>
  </si>
  <si>
    <t>443-82-0585</t>
  </si>
  <si>
    <t>339-18-7061</t>
  </si>
  <si>
    <t>359-90-3665</t>
  </si>
  <si>
    <t>375-72-3056</t>
  </si>
  <si>
    <t>127-47-6963</t>
  </si>
  <si>
    <t>278-86-2735</t>
  </si>
  <si>
    <t>695-28-6250</t>
  </si>
  <si>
    <t>379-17-6588</t>
  </si>
  <si>
    <t>227-50-3718</t>
  </si>
  <si>
    <t>302-15-2162</t>
  </si>
  <si>
    <t>788-07-8452</t>
  </si>
  <si>
    <t>560-49-6611</t>
  </si>
  <si>
    <t>880-35-0356</t>
  </si>
  <si>
    <t>585-11-6748</t>
  </si>
  <si>
    <t>470-31-3286</t>
  </si>
  <si>
    <t>152-68-2907</t>
  </si>
  <si>
    <t>123-35-4896</t>
  </si>
  <si>
    <t>258-69-7810</t>
  </si>
  <si>
    <t>334-64-2006</t>
  </si>
  <si>
    <t>219-61-4139</t>
  </si>
  <si>
    <t>881-41-7302</t>
  </si>
  <si>
    <t>373-09-4567</t>
  </si>
  <si>
    <t>642-30-6693</t>
  </si>
  <si>
    <t>484-22-8230</t>
  </si>
  <si>
    <t>830-58-2383</t>
  </si>
  <si>
    <t>559-98-9873</t>
  </si>
  <si>
    <t>544-32-5024</t>
  </si>
  <si>
    <t>318-12-0304</t>
  </si>
  <si>
    <t>349-97-8902</t>
  </si>
  <si>
    <t>421-95-9805</t>
  </si>
  <si>
    <t>277-35-5865</t>
  </si>
  <si>
    <t>789-23-8625</t>
  </si>
  <si>
    <t>284-54-4231</t>
  </si>
  <si>
    <t>443-59-0061</t>
  </si>
  <si>
    <t>509-29-3912</t>
  </si>
  <si>
    <t>327-40-9673</t>
  </si>
  <si>
    <t>840-19-2096</t>
  </si>
  <si>
    <t>828-46-6863</t>
  </si>
  <si>
    <t>641-96-3695</t>
  </si>
  <si>
    <t>420-97-3340</t>
  </si>
  <si>
    <t>436-54-4512</t>
  </si>
  <si>
    <t>670-79-6321</t>
  </si>
  <si>
    <t>852-62-7105</t>
  </si>
  <si>
    <t>598-06-7312</t>
  </si>
  <si>
    <t>135-13-8269</t>
  </si>
  <si>
    <t>816-57-2053</t>
  </si>
  <si>
    <t>628-90-8624</t>
  </si>
  <si>
    <t>856-66-2701</t>
  </si>
  <si>
    <t>308-39-1707</t>
  </si>
  <si>
    <t>149-61-1929</t>
  </si>
  <si>
    <t>655-07-2265</t>
  </si>
  <si>
    <t>589-02-8023</t>
  </si>
  <si>
    <t>420-04-7590</t>
  </si>
  <si>
    <t>182-88-2763</t>
  </si>
  <si>
    <t>188-55-0967</t>
  </si>
  <si>
    <t>610-46-4100</t>
  </si>
  <si>
    <t>318-81-2368</t>
  </si>
  <si>
    <t>364-33-8584</t>
  </si>
  <si>
    <t>665-63-9737</t>
  </si>
  <si>
    <t>695-09-5146</t>
  </si>
  <si>
    <t>155-45-3814</t>
  </si>
  <si>
    <t>794-32-2436</t>
  </si>
  <si>
    <t>131-15-8856</t>
  </si>
  <si>
    <t>273-84-2164</t>
  </si>
  <si>
    <t>706-36-6154</t>
  </si>
  <si>
    <t>778-89-7974</t>
  </si>
  <si>
    <t>574-31-8277</t>
  </si>
  <si>
    <t>859-71-0933</t>
  </si>
  <si>
    <t>740-11-5257</t>
  </si>
  <si>
    <t>369-82-2676</t>
  </si>
  <si>
    <t>563-47-4072</t>
  </si>
  <si>
    <t>742-04-5161</t>
  </si>
  <si>
    <t>149-15-7606</t>
  </si>
  <si>
    <t>133-77-3154</t>
  </si>
  <si>
    <t>169-52-4504</t>
  </si>
  <si>
    <t>250-81-7186</t>
  </si>
  <si>
    <t>562-12-5430</t>
  </si>
  <si>
    <t>816-72-8853</t>
  </si>
  <si>
    <t>491-38-3499</t>
  </si>
  <si>
    <t>322-02-2271</t>
  </si>
  <si>
    <t>842-29-4695</t>
  </si>
  <si>
    <t>725-67-2480</t>
  </si>
  <si>
    <t>641-51-2661</t>
  </si>
  <si>
    <t>714-02-3114</t>
  </si>
  <si>
    <t>518-17-2983</t>
  </si>
  <si>
    <t>779-42-2410</t>
  </si>
  <si>
    <t>190-14-3147</t>
  </si>
  <si>
    <t>408-66-6712</t>
  </si>
  <si>
    <t>679-22-6530</t>
  </si>
  <si>
    <t>588-47-8641</t>
  </si>
  <si>
    <t>642-61-4706</t>
  </si>
  <si>
    <t>576-31-4774</t>
  </si>
  <si>
    <t>556-41-6224</t>
  </si>
  <si>
    <t>811-03-8790</t>
  </si>
  <si>
    <t>242-11-3142</t>
  </si>
  <si>
    <t>752-23-3760</t>
  </si>
  <si>
    <t>274-05-5470</t>
  </si>
  <si>
    <t>648-94-3045</t>
  </si>
  <si>
    <t>130-67-4723</t>
  </si>
  <si>
    <t>528-87-5606</t>
  </si>
  <si>
    <t>320-85-2052</t>
  </si>
  <si>
    <t>370-96-0655</t>
  </si>
  <si>
    <t>105-10-6182</t>
  </si>
  <si>
    <t>510-79-0415</t>
  </si>
  <si>
    <t>241-96-5076</t>
  </si>
  <si>
    <t>767-97-4650</t>
  </si>
  <si>
    <t>648-83-1321</t>
  </si>
  <si>
    <t>173-57-2300</t>
  </si>
  <si>
    <t>305-03-2383</t>
  </si>
  <si>
    <t>394-55-6384</t>
  </si>
  <si>
    <t>266-20-6657</t>
  </si>
  <si>
    <t>689-05-1884</t>
  </si>
  <si>
    <t>196-01-2849</t>
  </si>
  <si>
    <t>372-62-5264</t>
  </si>
  <si>
    <t>800-09-8606</t>
  </si>
  <si>
    <t>182-52-7000</t>
  </si>
  <si>
    <t>826-58-8051</t>
  </si>
  <si>
    <t>868-06-0466</t>
  </si>
  <si>
    <t>751-41-9720</t>
  </si>
  <si>
    <t>626-43-7888</t>
  </si>
  <si>
    <t>176-64-7711</t>
  </si>
  <si>
    <t>191-29-0321</t>
  </si>
  <si>
    <t>729-06-2010</t>
  </si>
  <si>
    <t>640-48-5028</t>
  </si>
  <si>
    <t>186-79-9562</t>
  </si>
  <si>
    <t>834-45-5519</t>
  </si>
  <si>
    <t>162-65-8559</t>
  </si>
  <si>
    <t>760-27-5490</t>
  </si>
  <si>
    <t>445-30-9252</t>
  </si>
  <si>
    <t>786-94-2700</t>
  </si>
  <si>
    <t>728-88-7867</t>
  </si>
  <si>
    <t>183-21-3799</t>
  </si>
  <si>
    <t>268-20-3585</t>
  </si>
  <si>
    <t>735-32-9839</t>
  </si>
  <si>
    <t>258-92-7466</t>
  </si>
  <si>
    <t>857-16-3520</t>
  </si>
  <si>
    <t>482-17-1179</t>
  </si>
  <si>
    <t>788-21-5741</t>
  </si>
  <si>
    <t>821-14-9046</t>
  </si>
  <si>
    <t>418-05-0656</t>
  </si>
  <si>
    <t>678-79-0726</t>
  </si>
  <si>
    <t>776-68-1096</t>
  </si>
  <si>
    <t>592-46-1692</t>
  </si>
  <si>
    <t>434-35-9162</t>
  </si>
  <si>
    <t>149-14-0304</t>
  </si>
  <si>
    <t>442-44-6497</t>
  </si>
  <si>
    <t>174-64-0215</t>
  </si>
  <si>
    <t>210-74-9613</t>
  </si>
  <si>
    <t>299-29-0180</t>
  </si>
  <si>
    <t>247-11-2470</t>
  </si>
  <si>
    <t>635-28-5728</t>
  </si>
  <si>
    <t>756-49-0168</t>
  </si>
  <si>
    <t>438-23-1242</t>
  </si>
  <si>
    <t>238-45-6950</t>
  </si>
  <si>
    <t>607-65-2441</t>
  </si>
  <si>
    <t>386-27-7606</t>
  </si>
  <si>
    <t>137-63-5492</t>
  </si>
  <si>
    <t>197-77-7132</t>
  </si>
  <si>
    <t>805-86-0265</t>
  </si>
  <si>
    <t>733-29-1227</t>
  </si>
  <si>
    <t>451-73-2711</t>
  </si>
  <si>
    <t>373-14-0504</t>
  </si>
  <si>
    <t>546-80-2899</t>
  </si>
  <si>
    <t>345-68-9016</t>
  </si>
  <si>
    <t>390-17-5806</t>
  </si>
  <si>
    <t>457-13-1708</t>
  </si>
  <si>
    <t>664-14-2882</t>
  </si>
  <si>
    <t>487-79-6868</t>
  </si>
  <si>
    <t>314-23-4520</t>
  </si>
  <si>
    <t>210-30-7976</t>
  </si>
  <si>
    <t>585-86-8361</t>
  </si>
  <si>
    <t>807-14-7833</t>
  </si>
  <si>
    <t>775-72-1988</t>
  </si>
  <si>
    <t>288-38-3758</t>
  </si>
  <si>
    <t>652-43-6591</t>
  </si>
  <si>
    <t>785-96-0615</t>
  </si>
  <si>
    <t>406-46-7107</t>
  </si>
  <si>
    <t>250-17-5703</t>
  </si>
  <si>
    <t>156-95-3964</t>
  </si>
  <si>
    <t>842-40-8179</t>
  </si>
  <si>
    <t>525-09-8450</t>
  </si>
  <si>
    <t>410-67-1709</t>
  </si>
  <si>
    <t>587-73-4862</t>
  </si>
  <si>
    <t>787-87-2010</t>
  </si>
  <si>
    <t>593-14-4239</t>
  </si>
  <si>
    <t>801-88-0346</t>
  </si>
  <si>
    <t>388-76-2555</t>
  </si>
  <si>
    <t>711-31-1234</t>
  </si>
  <si>
    <t>886-54-6089</t>
  </si>
  <si>
    <t>707-32-7409</t>
  </si>
  <si>
    <t>759-98-4285</t>
  </si>
  <si>
    <t>201-63-8275</t>
  </si>
  <si>
    <t>471-06-8611</t>
  </si>
  <si>
    <t>200-16-5952</t>
  </si>
  <si>
    <t>120-54-2248</t>
  </si>
  <si>
    <t>102-77-2261</t>
  </si>
  <si>
    <t>875-31-8302</t>
  </si>
  <si>
    <t>102-06-2002</t>
  </si>
  <si>
    <t>457-94-0464</t>
  </si>
  <si>
    <t>629-42-4133</t>
  </si>
  <si>
    <t>534-53-3526</t>
  </si>
  <si>
    <t>307-04-2070</t>
  </si>
  <si>
    <t>468-99-7231</t>
  </si>
  <si>
    <t>516-77-6464</t>
  </si>
  <si>
    <t>404-91-5964</t>
  </si>
  <si>
    <t>886-77-9084</t>
  </si>
  <si>
    <t>790-38-4466</t>
  </si>
  <si>
    <t>704-10-4056</t>
  </si>
  <si>
    <t>497-37-6538</t>
  </si>
  <si>
    <t>651-96-5970</t>
  </si>
  <si>
    <t>400-80-4065</t>
  </si>
  <si>
    <t>744-16-7898</t>
  </si>
  <si>
    <t>263-12-5321</t>
  </si>
  <si>
    <t>702-72-0487</t>
  </si>
  <si>
    <t>605-83-1050</t>
  </si>
  <si>
    <t>443-60-9639</t>
  </si>
  <si>
    <t>864-24-7918</t>
  </si>
  <si>
    <t>359-94-5395</t>
  </si>
  <si>
    <t>401-09-4232</t>
  </si>
  <si>
    <t>751-15-6198</t>
  </si>
  <si>
    <t>324-41-6833</t>
  </si>
  <si>
    <t>474-33-8305</t>
  </si>
  <si>
    <t>759-29-9521</t>
  </si>
  <si>
    <t>831-81-6575</t>
  </si>
  <si>
    <t>220-68-6701</t>
  </si>
  <si>
    <t>618-34-8551</t>
  </si>
  <si>
    <t>257-60-7754</t>
  </si>
  <si>
    <t>559-61-5987</t>
  </si>
  <si>
    <t>189-55-2313</t>
  </si>
  <si>
    <t>565-91-4567</t>
  </si>
  <si>
    <t>380-60-5336</t>
  </si>
  <si>
    <t>815-04-6282</t>
  </si>
  <si>
    <t>674-56-6360</t>
  </si>
  <si>
    <t>778-34-2523</t>
  </si>
  <si>
    <t>499-27-7781</t>
  </si>
  <si>
    <t>477-59-2456</t>
  </si>
  <si>
    <t>832-51-6761</t>
  </si>
  <si>
    <t>869-11-3082</t>
  </si>
  <si>
    <t>190-59-3964</t>
  </si>
  <si>
    <t>366-43-6862</t>
  </si>
  <si>
    <t>186-43-8965</t>
  </si>
  <si>
    <t>784-21-9238</t>
  </si>
  <si>
    <t>276-75-6884</t>
  </si>
  <si>
    <t>109-86-4363</t>
  </si>
  <si>
    <t>569-76-2760</t>
  </si>
  <si>
    <t>222-42-0244</t>
  </si>
  <si>
    <t>760-53-9233</t>
  </si>
  <si>
    <t>538-22-0304</t>
  </si>
  <si>
    <t>416-17-9926</t>
  </si>
  <si>
    <t>237-44-6163</t>
  </si>
  <si>
    <t>636-17-0325</t>
  </si>
  <si>
    <t>343-75-9322</t>
  </si>
  <si>
    <t>528-14-9470</t>
  </si>
  <si>
    <t>427-45-9297</t>
  </si>
  <si>
    <t>807-34-3742</t>
  </si>
  <si>
    <t>288-62-1085</t>
  </si>
  <si>
    <t>670-71-7306</t>
  </si>
  <si>
    <t>660-29-7083</t>
  </si>
  <si>
    <t>271-77-8740</t>
  </si>
  <si>
    <t>497-36-0989</t>
  </si>
  <si>
    <t>291-59-1384</t>
  </si>
  <si>
    <t>860-73-6466</t>
  </si>
  <si>
    <t>549-23-9016</t>
  </si>
  <si>
    <t>896-34-0956</t>
  </si>
  <si>
    <t>804-38-3935</t>
  </si>
  <si>
    <t>585-90-0249</t>
  </si>
  <si>
    <t>862-29-5914</t>
  </si>
  <si>
    <t>845-94-6841</t>
  </si>
  <si>
    <t>125-45-2293</t>
  </si>
  <si>
    <t>843-73-4724</t>
  </si>
  <si>
    <t>409-33-9708</t>
  </si>
  <si>
    <t>658-66-3967</t>
  </si>
  <si>
    <t>866-70-2814</t>
  </si>
  <si>
    <t>160-22-2687</t>
  </si>
  <si>
    <t>895-03-6665</t>
  </si>
  <si>
    <t>770-42-8960</t>
  </si>
  <si>
    <t>748-45-2862</t>
  </si>
  <si>
    <t>234-36-2483</t>
  </si>
  <si>
    <t>316-66-3011</t>
  </si>
  <si>
    <t>848-95-6252</t>
  </si>
  <si>
    <t>840-76-5966</t>
  </si>
  <si>
    <t>152-03-4217</t>
  </si>
  <si>
    <t>533-66-5566</t>
  </si>
  <si>
    <t>124-31-1458</t>
  </si>
  <si>
    <t>176-78-1170</t>
  </si>
  <si>
    <t>361-59-0574</t>
  </si>
  <si>
    <t>101-81-4070</t>
  </si>
  <si>
    <t>631-34-1880</t>
  </si>
  <si>
    <t>852-82-2749</t>
  </si>
  <si>
    <t>873-14-6353</t>
  </si>
  <si>
    <t>584-66-4073</t>
  </si>
  <si>
    <t>544-55-9589</t>
  </si>
  <si>
    <t>166-19-2553</t>
  </si>
  <si>
    <t>737-88-5876</t>
  </si>
  <si>
    <t>154-87-7367</t>
  </si>
  <si>
    <t>885-56-0389</t>
  </si>
  <si>
    <t>608-05-3804</t>
  </si>
  <si>
    <t>448-61-3783</t>
  </si>
  <si>
    <t>761-49-0439</t>
  </si>
  <si>
    <t>490-95-0021</t>
  </si>
  <si>
    <t>115-38-7388</t>
  </si>
  <si>
    <t>311-13-6971</t>
  </si>
  <si>
    <t>291-55-6563</t>
  </si>
  <si>
    <t>548-48-3156</t>
  </si>
  <si>
    <t>460-93-5834</t>
  </si>
  <si>
    <t>325-89-4209</t>
  </si>
  <si>
    <t>884-80-6021</t>
  </si>
  <si>
    <t>137-74-8729</t>
  </si>
  <si>
    <t>880-46-5796</t>
  </si>
  <si>
    <t>389-70-2397</t>
  </si>
  <si>
    <t>114-35-5271</t>
  </si>
  <si>
    <t>607-76-6216</t>
  </si>
  <si>
    <t>715-20-1673</t>
  </si>
  <si>
    <t>811-35-1094</t>
  </si>
  <si>
    <t>699-88-1972</t>
  </si>
  <si>
    <t>781-84-8059</t>
  </si>
  <si>
    <t>409-49-6995</t>
  </si>
  <si>
    <t>725-54-0677</t>
  </si>
  <si>
    <t>146-09-5432</t>
  </si>
  <si>
    <t>377-79-7592</t>
  </si>
  <si>
    <t>509-10-0516</t>
  </si>
  <si>
    <t>595-94-9924</t>
  </si>
  <si>
    <t>865-41-9075</t>
  </si>
  <si>
    <t>545-07-8534</t>
  </si>
  <si>
    <t>118-62-1812</t>
  </si>
  <si>
    <t>450-42-3339</t>
  </si>
  <si>
    <t>851-98-3555</t>
  </si>
  <si>
    <t>186-71-5196</t>
  </si>
  <si>
    <t>624-01-8356</t>
  </si>
  <si>
    <t>313-66-9943</t>
  </si>
  <si>
    <t>151-27-8496</t>
  </si>
  <si>
    <t>453-33-6436</t>
  </si>
  <si>
    <t>522-57-8364</t>
  </si>
  <si>
    <t>459-45-2396</t>
  </si>
  <si>
    <t>717-96-4189</t>
  </si>
  <si>
    <t>722-13-2115</t>
  </si>
  <si>
    <t>749-81-8133</t>
  </si>
  <si>
    <t>777-67-2495</t>
  </si>
  <si>
    <t>636-98-3364</t>
  </si>
  <si>
    <t>246-55-6923</t>
  </si>
  <si>
    <t>181-82-6255</t>
  </si>
  <si>
    <t>838-02-1821</t>
  </si>
  <si>
    <t>887-42-0517</t>
  </si>
  <si>
    <t>457-12-0244</t>
  </si>
  <si>
    <t>226-34-0034</t>
  </si>
  <si>
    <t>321-49-7382</t>
  </si>
  <si>
    <t>397-25-8725</t>
  </si>
  <si>
    <t>431-66-2305</t>
  </si>
  <si>
    <t>825-94-5922</t>
  </si>
  <si>
    <t>641-62-7288</t>
  </si>
  <si>
    <t>756-93-1854</t>
  </si>
  <si>
    <t>243-55-8457</t>
  </si>
  <si>
    <t>458-10-8612</t>
  </si>
  <si>
    <t>501-61-1753</t>
  </si>
  <si>
    <t>235-06-8510</t>
  </si>
  <si>
    <t>433-08-7822</t>
  </si>
  <si>
    <t>361-85-2571</t>
  </si>
  <si>
    <t>131-70-8179</t>
  </si>
  <si>
    <t>500-02-2261</t>
  </si>
  <si>
    <t>720-72-2436</t>
  </si>
  <si>
    <t>702-83-5291</t>
  </si>
  <si>
    <t>809-69-9497</t>
  </si>
  <si>
    <t>449-16-6770</t>
  </si>
  <si>
    <t>333-23-2632</t>
  </si>
  <si>
    <t>489-82-1237</t>
  </si>
  <si>
    <t>859-97-6048</t>
  </si>
  <si>
    <t>676-10-2200</t>
  </si>
  <si>
    <t>373-88-1424</t>
  </si>
  <si>
    <t>365-16-4334</t>
  </si>
  <si>
    <t>503-21-4385</t>
  </si>
  <si>
    <t>305-89-2768</t>
  </si>
  <si>
    <t>574-80-1489</t>
  </si>
  <si>
    <t>784-08-0310</t>
  </si>
  <si>
    <t>200-40-6154</t>
  </si>
  <si>
    <t>846-10-0341</t>
  </si>
  <si>
    <t>577-34-7579</t>
  </si>
  <si>
    <t>430-02-3888</t>
  </si>
  <si>
    <t>867-47-1948</t>
  </si>
  <si>
    <t>384-59-6655</t>
  </si>
  <si>
    <t>256-58-3609</t>
  </si>
  <si>
    <t>324-92-3863</t>
  </si>
  <si>
    <t>593-08-5916</t>
  </si>
  <si>
    <t>364-34-2972</t>
  </si>
  <si>
    <t>794-42-3736</t>
  </si>
  <si>
    <t>172-42-8274</t>
  </si>
  <si>
    <t>558-60-5016</t>
  </si>
  <si>
    <t>195-06-0432</t>
  </si>
  <si>
    <t>605-03-2706</t>
  </si>
  <si>
    <t>214-30-2776</t>
  </si>
  <si>
    <t>746-04-1077</t>
  </si>
  <si>
    <t>448-34-8700</t>
  </si>
  <si>
    <t>452-04-8808</t>
  </si>
  <si>
    <t>531-56-4728</t>
  </si>
  <si>
    <t>744-82-9138</t>
  </si>
  <si>
    <t>883-69-1285</t>
  </si>
  <si>
    <t>221-25-5073</t>
  </si>
  <si>
    <t>518-71-6847</t>
  </si>
  <si>
    <t>156-20-0370</t>
  </si>
  <si>
    <t>151-33-7434</t>
  </si>
  <si>
    <t>728-47-9078</t>
  </si>
  <si>
    <t>809-46-1866</t>
  </si>
  <si>
    <t>139-32-4183</t>
  </si>
  <si>
    <t>148-41-7930</t>
  </si>
  <si>
    <t>189-40-5216</t>
  </si>
  <si>
    <t>374-38-5555</t>
  </si>
  <si>
    <t>764-44-8999</t>
  </si>
  <si>
    <t>552-44-5977</t>
  </si>
  <si>
    <t>267-62-7380</t>
  </si>
  <si>
    <t>430-53-4718</t>
  </si>
  <si>
    <t>886-18-2897</t>
  </si>
  <si>
    <t>602-16-6955</t>
  </si>
  <si>
    <t>745-74-0715</t>
  </si>
  <si>
    <t>690-01-6631</t>
  </si>
  <si>
    <t>652-49-6720</t>
  </si>
  <si>
    <t>233-67-5758</t>
  </si>
  <si>
    <t>303-96-2227</t>
  </si>
  <si>
    <t>727-02-1313</t>
  </si>
  <si>
    <t>347-56-2442</t>
  </si>
  <si>
    <t>849-09-3807</t>
  </si>
  <si>
    <t>CustomerType</t>
  </si>
  <si>
    <t>Product Line</t>
  </si>
  <si>
    <t>Month</t>
  </si>
  <si>
    <t>Day</t>
  </si>
  <si>
    <t>Revenue</t>
  </si>
  <si>
    <t>Sum of Revenue</t>
  </si>
  <si>
    <t>Hour</t>
  </si>
  <si>
    <t>Time of Day</t>
  </si>
  <si>
    <t>Average of Rating</t>
  </si>
  <si>
    <t>Sun</t>
  </si>
  <si>
    <t>Mon</t>
  </si>
  <si>
    <t>Tue</t>
  </si>
  <si>
    <t>Wed</t>
  </si>
  <si>
    <t>Thu</t>
  </si>
  <si>
    <t>Fri</t>
  </si>
  <si>
    <t>Sat</t>
  </si>
  <si>
    <t>Jan</t>
  </si>
  <si>
    <t>Feb</t>
  </si>
  <si>
    <t>Mar</t>
  </si>
  <si>
    <t>Afternoon</t>
  </si>
  <si>
    <t>Evening</t>
  </si>
  <si>
    <t>Morning</t>
  </si>
  <si>
    <t>Night</t>
  </si>
  <si>
    <t>Sum of Quantity</t>
  </si>
  <si>
    <t>max</t>
  </si>
  <si>
    <t>max quantity</t>
  </si>
  <si>
    <t>MAX</t>
  </si>
  <si>
    <t>%</t>
  </si>
  <si>
    <t>Sum of cogs</t>
  </si>
  <si>
    <t>Gross profit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</si>
</sst>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6">
    <numFmt numFmtId="164" formatCode="[$-F400]h:mm:ss\ AM/PM"/>
    <numFmt numFmtId="165" formatCode="0.0"/>
    <numFmt numFmtId="166" formatCode="&quot;$&quot;#,##0.00"/>
    <numFmt numFmtId="167" formatCode="&quot;$&quot;#,##0;[Red]&quot;$&quot;#,##0"/>
    <numFmt numFmtId="168" formatCode="&quot;$&quot;#,##0.00;[Red]&quot;$&quot;#,##0.00"/>
    <numFmt numFmtId="169" formatCode="_(* #,##0_);_(* \(#,##0\);_(* &quot;-&quot;??_);_(@_)"/>
  </numFmts>
  <fonts count="20" x14ac:knownFonts="1">
    <font>
      <sz val="11"/>
      <color theme="1"/>
      <name val="Calibri"/>
      <family val="2"/>
      <scheme val="minor"/>
    </font>
    <font>
      <sz val="11"/>
      <color theme="1"/>
      <name val="Calibri"/>
      <family val="2"/>
      <scheme val="minor"/>
    </font>
    <font>
      <sz val="18"/>
      <color theme="3"/>
      <name val="Calibri Light"/>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57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b/>
      <sz val="11"/>
      <color theme="1"/>
      <name val="Calibri"/>
      <family val="2"/>
      <scheme val="minor"/>
    </font>
    <font>
      <sz val="11"/>
      <color theme="0"/>
      <name val="Calibri"/>
      <family val="2"/>
      <scheme val="minor"/>
    </font>
    <font>
      <sz val="11"/>
      <color rgb="FF2D3142"/>
      <name val="Calibri"/>
      <family val="2"/>
      <scheme val="minor"/>
    </font>
    <font>
      <b/>
      <sz val="11"/>
      <color rgb="FFEAE8FF"/>
      <name val="Calibri"/>
      <family val="2"/>
      <scheme val="minor"/>
    </font>
  </fonts>
  <fills count="38">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theme="4"/>
        <bgColor theme="4"/>
      </patternFill>
    </fill>
    <fill>
      <patternFill patternType="solid">
        <fgColor theme="4" tint="0.79998168889431442"/>
        <bgColor theme="4" tint="0.79998168889431442"/>
      </patternFill>
    </fill>
    <fill>
      <patternFill patternType="solid">
        <fgColor rgb="FFEAE8FF"/>
        <bgColor indexed="64"/>
      </patternFill>
    </fill>
    <fill>
      <patternFill patternType="solid">
        <fgColor theme="1"/>
        <bgColor indexed="64"/>
      </patternFill>
    </fill>
    <fill>
      <patternFill patternType="solid">
        <fgColor rgb="FFADACB5"/>
        <bgColor indexed="64"/>
      </patternFill>
    </fill>
  </fills>
  <borders count="15">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right/>
      <top style="thin">
        <color theme="4" tint="0.39997558519241921"/>
      </top>
      <bottom style="thin">
        <color theme="4" tint="0.39997558519241921"/>
      </bottom>
      <diagonal/>
    </border>
    <border>
      <left/>
      <right style="thin">
        <color theme="4" tint="0.39997558519241921"/>
      </right>
      <top style="thin">
        <color theme="4" tint="0.39997558519241921"/>
      </top>
      <bottom style="thin">
        <color theme="4" tint="0.39997558519241921"/>
      </bottom>
      <diagonal/>
    </border>
    <border>
      <left/>
      <right/>
      <top style="thin">
        <color theme="4" tint="0.39997558519241921"/>
      </top>
      <bottom/>
      <diagonal/>
    </border>
    <border>
      <left/>
      <right style="thin">
        <color theme="4" tint="0.39997558519241921"/>
      </right>
      <top style="thin">
        <color theme="4" tint="0.39997558519241921"/>
      </top>
      <bottom/>
      <diagonal/>
    </border>
    <border>
      <left style="thin">
        <color rgb="FFD8D5DB"/>
      </left>
      <right style="thin">
        <color rgb="FFD8D5DB"/>
      </right>
      <top style="thin">
        <color rgb="FFD8D5DB"/>
      </top>
      <bottom style="thin">
        <color rgb="FFD8D5DB"/>
      </bottom>
      <diagonal/>
    </border>
  </borders>
  <cellStyleXfs count="43">
    <xf numFmtId="0" fontId="0" fillId="0" borderId="0"/>
    <xf numFmtId="0" fontId="2" fillId="0" borderId="0" applyNumberFormat="0" applyFill="0" applyBorder="0" applyAlignment="0" applyProtection="0"/>
    <xf numFmtId="0" fontId="3" fillId="0" borderId="1" applyNumberFormat="0" applyFill="0" applyAlignment="0" applyProtection="0"/>
    <xf numFmtId="0" fontId="4" fillId="0" borderId="2" applyNumberFormat="0" applyFill="0" applyAlignment="0" applyProtection="0"/>
    <xf numFmtId="0" fontId="5" fillId="0" borderId="3" applyNumberFormat="0" applyFill="0" applyAlignment="0" applyProtection="0"/>
    <xf numFmtId="0" fontId="5" fillId="0" borderId="0" applyNumberFormat="0" applyFill="0" applyBorder="0" applyAlignment="0" applyProtection="0"/>
    <xf numFmtId="0" fontId="6" fillId="2" borderId="0" applyNumberFormat="0" applyBorder="0" applyAlignment="0" applyProtection="0"/>
    <xf numFmtId="0" fontId="7" fillId="3" borderId="0" applyNumberFormat="0" applyBorder="0" applyAlignment="0" applyProtection="0"/>
    <xf numFmtId="0" fontId="8" fillId="4" borderId="0" applyNumberFormat="0" applyBorder="0" applyAlignment="0" applyProtection="0"/>
    <xf numFmtId="0" fontId="9" fillId="5" borderId="4" applyNumberFormat="0" applyAlignment="0" applyProtection="0"/>
    <xf numFmtId="0" fontId="10" fillId="6" borderId="5" applyNumberFormat="0" applyAlignment="0" applyProtection="0"/>
    <xf numFmtId="0" fontId="11" fillId="6" borderId="4" applyNumberFormat="0" applyAlignment="0" applyProtection="0"/>
    <xf numFmtId="0" fontId="12" fillId="0" borderId="6" applyNumberFormat="0" applyFill="0" applyAlignment="0" applyProtection="0"/>
    <xf numFmtId="0" fontId="13" fillId="7" borderId="7" applyNumberFormat="0" applyAlignment="0" applyProtection="0"/>
    <xf numFmtId="0" fontId="14" fillId="0" borderId="0" applyNumberFormat="0" applyFill="0" applyBorder="0" applyAlignment="0" applyProtection="0"/>
    <xf numFmtId="0" fontId="1" fillId="8" borderId="8" applyNumberFormat="0" applyFont="0" applyAlignment="0" applyProtection="0"/>
    <xf numFmtId="0" fontId="15" fillId="0" borderId="0" applyNumberFormat="0" applyFill="0" applyBorder="0" applyAlignment="0" applyProtection="0"/>
    <xf numFmtId="0" fontId="16" fillId="0" borderId="9" applyNumberFormat="0" applyFill="0" applyAlignment="0" applyProtection="0"/>
    <xf numFmtId="0" fontId="17"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7" fillId="13" borderId="0" applyNumberFormat="0" applyBorder="0" applyAlignment="0" applyProtection="0"/>
    <xf numFmtId="0" fontId="1" fillId="14" borderId="0" applyNumberFormat="0" applyBorder="0" applyAlignment="0" applyProtection="0"/>
    <xf numFmtId="0" fontId="1" fillId="15" borderId="0" applyNumberFormat="0" applyBorder="0" applyAlignment="0" applyProtection="0"/>
    <xf numFmtId="0" fontId="1" fillId="16" borderId="0" applyNumberFormat="0" applyBorder="0" applyAlignment="0" applyProtection="0"/>
    <xf numFmtId="0" fontId="17" fillId="17" borderId="0" applyNumberFormat="0" applyBorder="0" applyAlignment="0" applyProtection="0"/>
    <xf numFmtId="0" fontId="1" fillId="18" borderId="0" applyNumberFormat="0" applyBorder="0" applyAlignment="0" applyProtection="0"/>
    <xf numFmtId="0" fontId="1" fillId="19" borderId="0" applyNumberFormat="0" applyBorder="0" applyAlignment="0" applyProtection="0"/>
    <xf numFmtId="0" fontId="1" fillId="20" borderId="0" applyNumberFormat="0" applyBorder="0" applyAlignment="0" applyProtection="0"/>
    <xf numFmtId="0" fontId="17" fillId="21" borderId="0" applyNumberFormat="0" applyBorder="0" applyAlignment="0" applyProtection="0"/>
    <xf numFmtId="0" fontId="1" fillId="22" borderId="0" applyNumberFormat="0" applyBorder="0" applyAlignment="0" applyProtection="0"/>
    <xf numFmtId="0" fontId="1" fillId="23" borderId="0" applyNumberFormat="0" applyBorder="0" applyAlignment="0" applyProtection="0"/>
    <xf numFmtId="0" fontId="1" fillId="24" borderId="0" applyNumberFormat="0" applyBorder="0" applyAlignment="0" applyProtection="0"/>
    <xf numFmtId="0" fontId="17" fillId="25" borderId="0" applyNumberFormat="0" applyBorder="0" applyAlignment="0" applyProtection="0"/>
    <xf numFmtId="0" fontId="1" fillId="26" borderId="0" applyNumberFormat="0" applyBorder="0" applyAlignment="0" applyProtection="0"/>
    <xf numFmtId="0" fontId="1" fillId="27" borderId="0" applyNumberFormat="0" applyBorder="0" applyAlignment="0" applyProtection="0"/>
    <xf numFmtId="0" fontId="1" fillId="28" borderId="0" applyNumberFormat="0" applyBorder="0" applyAlignment="0" applyProtection="0"/>
    <xf numFmtId="0" fontId="17" fillId="29" borderId="0" applyNumberFormat="0" applyBorder="0" applyAlignment="0" applyProtection="0"/>
    <xf numFmtId="0" fontId="1" fillId="30" borderId="0" applyNumberFormat="0" applyBorder="0" applyAlignment="0" applyProtection="0"/>
    <xf numFmtId="0" fontId="1" fillId="31" borderId="0" applyNumberFormat="0" applyBorder="0" applyAlignment="0" applyProtection="0"/>
    <xf numFmtId="0" fontId="1" fillId="32" borderId="0" applyNumberFormat="0" applyBorder="0" applyAlignment="0" applyProtection="0"/>
    <xf numFmtId="9" fontId="1" fillId="0" borderId="0" applyFont="0" applyFill="0" applyBorder="0" applyAlignment="0" applyProtection="0"/>
  </cellStyleXfs>
  <cellXfs count="56">
    <xf numFmtId="0" fontId="0" fillId="0" borderId="0" xfId="0"/>
    <xf numFmtId="14" fontId="0" fillId="0" borderId="0" xfId="0" applyNumberFormat="1"/>
    <xf numFmtId="20" fontId="0" fillId="0" borderId="0" xfId="0" applyNumberFormat="1"/>
    <xf numFmtId="0" fontId="16" fillId="0" borderId="0" xfId="0" applyFont="1"/>
    <xf numFmtId="164" fontId="0" fillId="0" borderId="0" xfId="0" applyNumberFormat="1"/>
    <xf numFmtId="2" fontId="0" fillId="0" borderId="0" xfId="0" applyNumberFormat="1"/>
    <xf numFmtId="165" fontId="0" fillId="0" borderId="0" xfId="0" applyNumberFormat="1"/>
    <xf numFmtId="1" fontId="0" fillId="0" borderId="0" xfId="0" applyNumberFormat="1"/>
    <xf numFmtId="166" fontId="0" fillId="0" borderId="0" xfId="0" applyNumberFormat="1"/>
    <xf numFmtId="0" fontId="0" fillId="0" borderId="10" xfId="0" applyFont="1" applyBorder="1"/>
    <xf numFmtId="0" fontId="0" fillId="0" borderId="11" xfId="0" applyFont="1" applyBorder="1"/>
    <xf numFmtId="166" fontId="13" fillId="33" borderId="12" xfId="0" applyNumberFormat="1" applyFont="1" applyFill="1" applyBorder="1"/>
    <xf numFmtId="1" fontId="13" fillId="33" borderId="12" xfId="0" applyNumberFormat="1" applyFont="1" applyFill="1" applyBorder="1"/>
    <xf numFmtId="14" fontId="13" fillId="33" borderId="12" xfId="0" applyNumberFormat="1" applyFont="1" applyFill="1" applyBorder="1"/>
    <xf numFmtId="164" fontId="13" fillId="33" borderId="12" xfId="0" applyNumberFormat="1" applyFont="1" applyFill="1" applyBorder="1"/>
    <xf numFmtId="0" fontId="13" fillId="33" borderId="12" xfId="0" applyFont="1" applyFill="1" applyBorder="1"/>
    <xf numFmtId="2" fontId="13" fillId="33" borderId="12" xfId="0" applyNumberFormat="1" applyFont="1" applyFill="1" applyBorder="1"/>
    <xf numFmtId="165" fontId="13" fillId="33" borderId="12" xfId="0" applyNumberFormat="1" applyFont="1" applyFill="1" applyBorder="1"/>
    <xf numFmtId="0" fontId="13" fillId="33" borderId="13" xfId="0" applyFont="1" applyFill="1" applyBorder="1"/>
    <xf numFmtId="166" fontId="0" fillId="34" borderId="12" xfId="0" applyNumberFormat="1" applyFont="1" applyFill="1" applyBorder="1"/>
    <xf numFmtId="1" fontId="0" fillId="34" borderId="12" xfId="0" applyNumberFormat="1" applyFont="1" applyFill="1" applyBorder="1"/>
    <xf numFmtId="14" fontId="0" fillId="34" borderId="12" xfId="0" applyNumberFormat="1" applyFont="1" applyFill="1" applyBorder="1"/>
    <xf numFmtId="18" fontId="0" fillId="34" borderId="12" xfId="0" applyNumberFormat="1" applyFont="1" applyFill="1" applyBorder="1"/>
    <xf numFmtId="0" fontId="0" fillId="34" borderId="12" xfId="0" applyFont="1" applyFill="1" applyBorder="1"/>
    <xf numFmtId="2" fontId="0" fillId="34" borderId="12" xfId="0" applyNumberFormat="1" applyFont="1" applyFill="1" applyBorder="1"/>
    <xf numFmtId="165" fontId="0" fillId="34" borderId="12" xfId="0" applyNumberFormat="1" applyFont="1" applyFill="1" applyBorder="1"/>
    <xf numFmtId="0" fontId="0" fillId="34" borderId="13" xfId="0" applyFont="1" applyFill="1" applyBorder="1"/>
    <xf numFmtId="166" fontId="0" fillId="0" borderId="12" xfId="0" applyNumberFormat="1" applyFont="1" applyBorder="1"/>
    <xf numFmtId="1" fontId="0" fillId="0" borderId="12" xfId="0" applyNumberFormat="1" applyFont="1" applyBorder="1"/>
    <xf numFmtId="14" fontId="0" fillId="0" borderId="12" xfId="0" applyNumberFormat="1" applyFont="1" applyBorder="1"/>
    <xf numFmtId="18" fontId="0" fillId="0" borderId="12" xfId="0" applyNumberFormat="1" applyFont="1" applyBorder="1"/>
    <xf numFmtId="0" fontId="0" fillId="0" borderId="12" xfId="0" applyFont="1" applyBorder="1"/>
    <xf numFmtId="2" fontId="0" fillId="0" borderId="12" xfId="0" applyNumberFormat="1" applyFont="1" applyBorder="1"/>
    <xf numFmtId="165" fontId="0" fillId="0" borderId="12" xfId="0" applyNumberFormat="1" applyFont="1" applyBorder="1"/>
    <xf numFmtId="0" fontId="0" fillId="0" borderId="13" xfId="0" applyFont="1" applyBorder="1"/>
    <xf numFmtId="166" fontId="0" fillId="0" borderId="10" xfId="0" applyNumberFormat="1" applyFont="1" applyBorder="1"/>
    <xf numFmtId="1" fontId="0" fillId="0" borderId="10" xfId="0" applyNumberFormat="1" applyFont="1" applyBorder="1"/>
    <xf numFmtId="14" fontId="0" fillId="0" borderId="10" xfId="0" applyNumberFormat="1" applyFont="1" applyBorder="1"/>
    <xf numFmtId="18" fontId="0" fillId="0" borderId="10" xfId="0" applyNumberFormat="1" applyFont="1" applyBorder="1"/>
    <xf numFmtId="2" fontId="0" fillId="0" borderId="10" xfId="0" applyNumberFormat="1" applyFont="1" applyBorder="1"/>
    <xf numFmtId="165" fontId="0" fillId="0" borderId="10" xfId="0" applyNumberFormat="1" applyFont="1" applyBorder="1"/>
    <xf numFmtId="167" fontId="0" fillId="0" borderId="0" xfId="0" applyNumberFormat="1"/>
    <xf numFmtId="0" fontId="13" fillId="33" borderId="0" xfId="0" applyFont="1" applyFill="1" applyBorder="1"/>
    <xf numFmtId="0" fontId="0" fillId="0" borderId="0" xfId="0" applyNumberFormat="1"/>
    <xf numFmtId="0" fontId="0" fillId="35" borderId="0" xfId="0" applyFill="1"/>
    <xf numFmtId="0" fontId="0" fillId="36" borderId="0" xfId="0" applyFill="1"/>
    <xf numFmtId="0" fontId="0" fillId="0" borderId="0" xfId="0" pivotButton="1"/>
    <xf numFmtId="0" fontId="19" fillId="0" borderId="14" xfId="0" applyFont="1" applyBorder="1"/>
    <xf numFmtId="166" fontId="18" fillId="34" borderId="12" xfId="0" applyNumberFormat="1" applyFont="1" applyFill="1" applyBorder="1"/>
    <xf numFmtId="0" fontId="18" fillId="35" borderId="0" xfId="0" applyFont="1" applyFill="1"/>
    <xf numFmtId="0" fontId="16" fillId="37" borderId="14" xfId="0" applyFont="1" applyFill="1" applyBorder="1" applyAlignment="1">
      <alignment horizontal="center"/>
    </xf>
    <xf numFmtId="0" fontId="0" fillId="37" borderId="0" xfId="0" applyFill="1"/>
    <xf numFmtId="168" fontId="0" fillId="0" borderId="0" xfId="0" applyNumberFormat="1"/>
    <xf numFmtId="9" fontId="0" fillId="0" borderId="0" xfId="42" applyFont="1"/>
    <xf numFmtId="169" fontId="0" fillId="0" borderId="0" xfId="0" applyNumberFormat="1"/>
    <xf numFmtId="0" fontId="0" fillId="0" borderId="0" xfId="0" applyAlignment="1"/>
  </cellXfs>
  <cellStyles count="43">
    <cellStyle name="20% - Accent1" xfId="19" builtinId="30" customBuiltin="1"/>
    <cellStyle name="20% - Accent2" xfId="23" builtinId="34" customBuiltin="1"/>
    <cellStyle name="20% - Accent3" xfId="27" builtinId="38" customBuiltin="1"/>
    <cellStyle name="20% - Accent4" xfId="31" builtinId="42" customBuiltin="1"/>
    <cellStyle name="20% - Accent5" xfId="35" builtinId="46" customBuiltin="1"/>
    <cellStyle name="20% - Accent6" xfId="39" builtinId="50" customBuiltin="1"/>
    <cellStyle name="40% - Accent1" xfId="20" builtinId="31" customBuiltin="1"/>
    <cellStyle name="40% - Accent2" xfId="24" builtinId="35" customBuiltin="1"/>
    <cellStyle name="40% - Accent3" xfId="28" builtinId="39" customBuiltin="1"/>
    <cellStyle name="40% - Accent4" xfId="32" builtinId="43" customBuiltin="1"/>
    <cellStyle name="40% - Accent5" xfId="36" builtinId="47" customBuiltin="1"/>
    <cellStyle name="40% - Accent6" xfId="40" builtinId="51" customBuiltin="1"/>
    <cellStyle name="60% - Accent1" xfId="21" builtinId="32" customBuiltin="1"/>
    <cellStyle name="60% - Accent2" xfId="25" builtinId="36" customBuiltin="1"/>
    <cellStyle name="60% - Accent3" xfId="29" builtinId="40" customBuiltin="1"/>
    <cellStyle name="60% - Accent4" xfId="33" builtinId="44" customBuiltin="1"/>
    <cellStyle name="60% - Accent5" xfId="37" builtinId="48" customBuiltin="1"/>
    <cellStyle name="60% - Accent6" xfId="41" builtinId="52" customBuiltin="1"/>
    <cellStyle name="Accent1" xfId="18" builtinId="29" customBuiltin="1"/>
    <cellStyle name="Accent2" xfId="22" builtinId="33" customBuiltin="1"/>
    <cellStyle name="Accent3" xfId="26" builtinId="37" customBuiltin="1"/>
    <cellStyle name="Accent4" xfId="30" builtinId="41" customBuiltin="1"/>
    <cellStyle name="Accent5" xfId="34" builtinId="45" customBuiltin="1"/>
    <cellStyle name="Accent6" xfId="38" builtinId="49" customBuiltin="1"/>
    <cellStyle name="Bad" xfId="7" builtinId="27" customBuiltin="1"/>
    <cellStyle name="Calculation" xfId="11" builtinId="22" customBuiltin="1"/>
    <cellStyle name="Check Cell" xfId="13" builtinId="23" customBuiltin="1"/>
    <cellStyle name="Explanatory Text" xfId="16" builtinId="53" customBuiltin="1"/>
    <cellStyle name="Good" xfId="6" builtinId="26" customBuiltin="1"/>
    <cellStyle name="Heading 1" xfId="2" builtinId="16" customBuiltin="1"/>
    <cellStyle name="Heading 2" xfId="3" builtinId="17" customBuiltin="1"/>
    <cellStyle name="Heading 3" xfId="4" builtinId="18" customBuiltin="1"/>
    <cellStyle name="Heading 4" xfId="5" builtinId="19" customBuiltin="1"/>
    <cellStyle name="Input" xfId="9" builtinId="20" customBuiltin="1"/>
    <cellStyle name="Linked Cell" xfId="12" builtinId="24" customBuiltin="1"/>
    <cellStyle name="Neutral" xfId="8" builtinId="28" customBuiltin="1"/>
    <cellStyle name="Normal" xfId="0" builtinId="0"/>
    <cellStyle name="Note" xfId="15" builtinId="10" customBuiltin="1"/>
    <cellStyle name="Output" xfId="10" builtinId="21" customBuiltin="1"/>
    <cellStyle name="Percent" xfId="42" builtinId="5"/>
    <cellStyle name="Title" xfId="1" builtinId="15" customBuiltin="1"/>
    <cellStyle name="Total" xfId="17" builtinId="25" customBuiltin="1"/>
    <cellStyle name="Warning Text" xfId="14" builtinId="11" customBuiltin="1"/>
  </cellStyles>
  <dxfs count="34">
    <dxf>
      <font>
        <b val="0"/>
        <i val="0"/>
        <strike val="0"/>
        <condense val="0"/>
        <extend val="0"/>
        <outline val="0"/>
        <shadow val="0"/>
        <u val="none"/>
        <vertAlign val="baseline"/>
        <sz val="11"/>
        <color theme="1"/>
        <name val="Calibri"/>
        <family val="2"/>
        <scheme val="minor"/>
      </font>
      <border diagonalUp="0" diagonalDown="0">
        <left/>
        <right style="thin">
          <color theme="4" tint="0.39997558519241921"/>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165" formatCode="0.0"/>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2" formatCode="0.00"/>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166" formatCode="&quot;$&quot;#,##0.00"/>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23" formatCode="h:mm\ AM/PM"/>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19" formatCode="m/d/yyyy"/>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166" formatCode="&quot;$&quot;#,##0.00"/>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166" formatCode="&quot;$&quot;#,##0.00"/>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1" formatCode="0"/>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166" formatCode="&quot;$&quot;#,##0.00"/>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border outline="0">
        <left style="thin">
          <color theme="4" tint="0.39997558519241921"/>
        </left>
      </border>
    </dxf>
    <dxf>
      <font>
        <b/>
        <i val="0"/>
        <strike val="0"/>
        <condense val="0"/>
        <extend val="0"/>
        <outline val="0"/>
        <shadow val="0"/>
        <u val="none"/>
        <vertAlign val="baseline"/>
        <sz val="11"/>
        <color theme="0"/>
        <name val="Calibri"/>
        <family val="2"/>
        <scheme val="minor"/>
      </font>
      <fill>
        <patternFill patternType="solid">
          <fgColor theme="4"/>
          <bgColor theme="4"/>
        </patternFill>
      </fill>
    </dxf>
    <dxf>
      <fill>
        <patternFill>
          <bgColor theme="3" tint="-0.499984740745262"/>
        </patternFill>
      </fill>
    </dxf>
    <dxf>
      <fill>
        <patternFill>
          <fgColor rgb="FFD8D5DB"/>
          <bgColor theme="1" tint="0.14996795556505021"/>
        </patternFill>
      </fill>
    </dxf>
    <dxf>
      <numFmt numFmtId="168" formatCode="&quot;$&quot;#,##0.00;[Red]&quot;$&quot;#,##0.00"/>
    </dxf>
    <dxf>
      <numFmt numFmtId="167" formatCode="&quot;$&quot;#,##0;[Red]&quot;$&quot;#,##0"/>
    </dxf>
    <dxf>
      <numFmt numFmtId="168" formatCode="&quot;$&quot;#,##0.00;[Red]&quot;$&quot;#,##0.00"/>
    </dxf>
    <dxf>
      <numFmt numFmtId="167" formatCode="&quot;$&quot;#,##0;[Red]&quot;$&quot;#,##0"/>
    </dxf>
    <dxf>
      <numFmt numFmtId="167" formatCode="&quot;$&quot;#,##0;[Red]&quot;$&quot;#,##0"/>
    </dxf>
    <dxf>
      <numFmt numFmtId="167" formatCode="&quot;$&quot;#,##0;[Red]&quot;$&quot;#,##0"/>
    </dxf>
    <dxf>
      <numFmt numFmtId="169" formatCode="_(* #,##0_);_(* \(#,##0\);_(* &quot;-&quot;??_);_(@_)"/>
    </dxf>
    <dxf>
      <numFmt numFmtId="167" formatCode="&quot;$&quot;#,##0;[Red]&quot;$&quot;#,##0"/>
    </dxf>
    <dxf>
      <numFmt numFmtId="1" formatCode="0"/>
    </dxf>
    <dxf>
      <numFmt numFmtId="168" formatCode="&quot;$&quot;#,##0.00;[Red]&quot;$&quot;#,##0.00"/>
    </dxf>
    <dxf>
      <font>
        <b/>
        <color theme="1"/>
      </font>
      <border>
        <bottom style="thin">
          <color theme="4"/>
        </bottom>
        <vertical/>
        <horizontal/>
      </border>
    </dxf>
    <dxf>
      <font>
        <b val="0"/>
        <i/>
        <strike val="0"/>
        <u/>
        <color rgb="FFD8D5DB"/>
      </font>
      <fill>
        <patternFill>
          <bgColor rgb="FFADACB5"/>
        </patternFill>
      </fill>
      <border diagonalUp="0" diagonalDown="0">
        <left/>
        <right/>
        <top/>
        <bottom/>
        <vertical/>
        <horizontal/>
      </border>
    </dxf>
  </dxfs>
  <tableStyles count="1" defaultTableStyle="TableStyleMedium2" defaultPivotStyle="PivotStyleLight16">
    <tableStyle name="SlicerStyleLight1 2" pivot="0" table="0" count="10" xr9:uid="{278EC04D-DD47-4E23-B99E-5BBBC1F9F4C1}">
      <tableStyleElement type="wholeTable" dxfId="33"/>
      <tableStyleElement type="headerRow" dxfId="32"/>
    </tableStyle>
  </tableStyles>
  <colors>
    <mruColors>
      <color rgb="FF686868"/>
      <color rgb="FF2D3142"/>
      <color rgb="FFD8D5DB"/>
      <color rgb="FFADACB5"/>
      <color rgb="FFEAE8FF"/>
    </mruColors>
  </colors>
  <extLst>
    <ext xmlns:x14="http://schemas.microsoft.com/office/spreadsheetml/2009/9/main" uri="{46F421CA-312F-682f-3DD2-61675219B42D}">
      <x14:dxfs count="8">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828282"/>
          </font>
          <fill>
            <patternFill patternType="solid">
              <fgColor theme="4" tint="0.79992065187536243"/>
              <bgColor theme="8" tint="0.39994506668294322"/>
            </patternFill>
          </fill>
          <border>
            <left style="thin">
              <color rgb="FFCCCCCC"/>
            </left>
            <right style="thin">
              <color rgb="FFCCCCCC"/>
            </right>
            <top style="thin">
              <color rgb="FFCCCCCC"/>
            </top>
            <bottom style="thin">
              <color rgb="FFCCCCCC"/>
            </bottom>
            <vertical/>
            <horizontal/>
          </border>
        </dxf>
        <dxf>
          <font>
            <b/>
            <i/>
            <strike val="0"/>
            <color rgb="FFD8D5DB"/>
          </font>
          <fill>
            <patternFill patternType="solid">
              <fgColor theme="4" tint="0.59999389629810485"/>
              <bgColor rgb="FF686868"/>
            </patternFill>
          </fill>
          <border diagonalUp="0" diagonalDown="0">
            <left/>
            <right/>
            <top/>
            <bottom/>
            <vertical/>
            <horizontal/>
          </border>
        </dxf>
        <dxf>
          <font>
            <color rgb="FF828282"/>
          </font>
          <fill>
            <patternFill patternType="solid">
              <fgColor rgb="FFFFFFFF"/>
              <bgColor rgb="FFFFFFFF"/>
            </patternFill>
          </fill>
          <border>
            <left style="thin">
              <color rgb="FFE0E0E0"/>
            </left>
            <right style="thin">
              <color rgb="FFE0E0E0"/>
            </right>
            <top style="thin">
              <color rgb="FFE0E0E0"/>
            </top>
            <bottom style="thin">
              <color rgb="FFE0E0E0"/>
            </bottom>
            <vertical/>
            <horizontal/>
          </border>
        </dxf>
        <dxf>
          <font>
            <color rgb="FF000000"/>
          </font>
          <fill>
            <patternFill patternType="solid">
              <fgColor rgb="FFFFFFFF"/>
              <bgColor theme="0" tint="-0.14996795556505021"/>
            </patternFill>
          </fill>
          <border>
            <left style="thin">
              <color rgb="FFCCCCCC"/>
            </left>
            <right style="thin">
              <color rgb="FFCCCCCC"/>
            </right>
            <top style="thin">
              <color rgb="FFCCCCCC"/>
            </top>
            <bottom style="thin">
              <color rgb="FFCCCCCC"/>
            </bottom>
            <vertical/>
            <horizontal/>
          </border>
        </dxf>
      </x14:dxfs>
    </ext>
    <ext xmlns:x14="http://schemas.microsoft.com/office/spreadsheetml/2009/9/main" uri="{EB79DEF2-80B8-43e5-95BD-54CBDDF9020C}">
      <x14:slicerStyles defaultSlicerStyle="SlicerStyleLight1">
        <x14:slicerStyle name="SlicerStyleLight1 2">
          <x14:slicerStyleElements>
            <x14:slicerStyleElement type="unselectedItemWithData" dxfId="7"/>
            <x14:slicerStyleElement type="unselectedItemWithNoData" dxfId="6"/>
            <x14:slicerStyleElement type="selectedItemWithData" dxfId="5"/>
            <x14:slicerStyleElement type="selectedItemWithNoData" dxfId="4"/>
            <x14:slicerStyleElement type="hoveredUnselectedItemWithData" dxfId="3"/>
            <x14:slicerStyleElement type="hoveredSelectedItemWithData" dxfId="2"/>
            <x14:slicerStyleElement type="hoveredUnselectedItemWithNoData" dxfId="1"/>
            <x14:slicerStyleElement type="hoveredSelectedItemWithNoData" dxfId="0"/>
          </x14:slicerStyleElements>
        </x14:slicerStyle>
      </x14:slicerStyles>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tyles" Target="styles.xml"/><Relationship Id="rId18" Type="http://schemas.microsoft.com/office/2017/10/relationships/person" Target="persons/perso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theme" Target="theme/theme1.xml"/><Relationship Id="rId17"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microsoft.com/office/2007/relationships/slicerCache" Target="slicerCaches/slicerCache2.xml"/><Relationship Id="rId5" Type="http://schemas.openxmlformats.org/officeDocument/2006/relationships/worksheet" Target="worksheets/sheet5.xml"/><Relationship Id="rId15" Type="http://schemas.openxmlformats.org/officeDocument/2006/relationships/sheetMetadata" Target="metadata.xml"/><Relationship Id="rId10" Type="http://schemas.microsoft.com/office/2007/relationships/slicerCache" Target="slicerCaches/slicerCache1.xml"/><Relationship Id="rId4" Type="http://schemas.openxmlformats.org/officeDocument/2006/relationships/worksheet" Target="worksheets/sheet4.xml"/><Relationship Id="rId9" Type="http://schemas.openxmlformats.org/officeDocument/2006/relationships/pivotCacheDefinition" Target="pivotCache/pivotCacheDefinition1.xml"/><Relationship Id="rId14" Type="http://schemas.openxmlformats.org/officeDocument/2006/relationships/sharedStrings" Target="sharedStrings.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4.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5.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6.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7.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3.0555555555555555E-2"/>
          <c:y val="0.14958060697493467"/>
          <c:w val="0.7944444444444444"/>
          <c:h val="0.79949360649476808"/>
        </c:manualLayout>
      </c:layout>
      <c:barChart>
        <c:barDir val="bar"/>
        <c:grouping val="clustered"/>
        <c:varyColors val="0"/>
        <c:ser>
          <c:idx val="0"/>
          <c:order val="0"/>
          <c:tx>
            <c:strRef>
              <c:f>Analysis!$I$12</c:f>
              <c:strCache>
                <c:ptCount val="1"/>
                <c:pt idx="0">
                  <c:v>Sum of Quantity</c:v>
                </c:pt>
              </c:strCache>
            </c:strRef>
          </c:tx>
          <c:spPr>
            <a:solidFill>
              <a:srgbClr val="D8D5DB"/>
            </a:solidFill>
            <a:ln>
              <a:noFill/>
            </a:ln>
            <a:effectLst/>
          </c:spPr>
          <c:invertIfNegative val="0"/>
          <c:dLbls>
            <c:dLbl>
              <c:idx val="0"/>
              <c:tx>
                <c:rich>
                  <a:bodyPr/>
                  <a:lstStyle/>
                  <a:p>
                    <a:fld id="{7369F8B3-A08A-43B3-BCF1-987B1977FF48}" type="CELLRANGE">
                      <a:rPr lang="en-US"/>
                      <a:pPr/>
                      <a:t>[CELLRANGE]</a:t>
                    </a:fld>
                    <a:r>
                      <a:rPr lang="en-US" baseline="0"/>
                      <a:t>, </a:t>
                    </a:r>
                    <a:fld id="{8939E9EF-5F86-4AA1-8DBD-34D5C702559A}" type="VALUE">
                      <a:rPr lang="en-US" baseline="0"/>
                      <a:pPr/>
                      <a:t>[VALUE]</a:t>
                    </a:fld>
                    <a:endParaRPr lang="en-US" baseline="0"/>
                  </a:p>
                </c:rich>
              </c:tx>
              <c:dLblPos val="inBase"/>
              <c:showLegendKey val="0"/>
              <c:showVal val="1"/>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0-031E-4E19-B2B9-82C639760066}"/>
                </c:ext>
              </c:extLst>
            </c:dLbl>
            <c:dLbl>
              <c:idx val="1"/>
              <c:tx>
                <c:rich>
                  <a:bodyPr rot="0" spcFirstLastPara="1" vertOverflow="ellipsis" vert="horz" wrap="square" lIns="38100" tIns="19050" rIns="38100" bIns="19050" anchor="ctr" anchorCtr="0">
                    <a:spAutoFit/>
                  </a:bodyPr>
                  <a:lstStyle/>
                  <a:p>
                    <a:pPr algn="l">
                      <a:defRPr sz="1000" b="1" i="0" u="none" strike="noStrike" kern="1200" baseline="0">
                        <a:solidFill>
                          <a:schemeClr val="tx1"/>
                        </a:solidFill>
                        <a:latin typeface="+mn-lt"/>
                        <a:ea typeface="+mn-ea"/>
                        <a:cs typeface="+mn-cs"/>
                      </a:defRPr>
                    </a:pPr>
                    <a:fld id="{CA86C74F-DAF4-49AA-8491-1D64769B4DC0}" type="CELLRANGE">
                      <a:rPr lang="en-US" b="1" baseline="0">
                        <a:solidFill>
                          <a:schemeClr val="tx1"/>
                        </a:solidFill>
                      </a:rPr>
                      <a:pPr algn="l">
                        <a:defRPr sz="1000" b="1">
                          <a:solidFill>
                            <a:schemeClr val="tx1"/>
                          </a:solidFill>
                        </a:defRPr>
                      </a:pPr>
                      <a:t>[CELLRANGE]</a:t>
                    </a:fld>
                    <a:r>
                      <a:rPr lang="en-US" b="1" baseline="0">
                        <a:solidFill>
                          <a:schemeClr val="tx1"/>
                        </a:solidFill>
                      </a:rPr>
                      <a:t>, </a:t>
                    </a:r>
                    <a:fld id="{DAC2E8F3-F3C4-49F6-A604-735818E69EC8}" type="VALUE">
                      <a:rPr lang="en-US" b="1" baseline="0">
                        <a:solidFill>
                          <a:schemeClr val="tx1"/>
                        </a:solidFill>
                      </a:rPr>
                      <a:pPr algn="l">
                        <a:defRPr sz="1000" b="1">
                          <a:solidFill>
                            <a:schemeClr val="tx1"/>
                          </a:solidFill>
                        </a:defRPr>
                      </a:pPr>
                      <a:t>[VALUE]</a:t>
                    </a:fld>
                    <a:endParaRPr lang="en-US" b="1" baseline="0">
                      <a:solidFill>
                        <a:schemeClr val="tx1"/>
                      </a:solidFill>
                    </a:endParaRPr>
                  </a:p>
                </c:rich>
              </c:tx>
              <c:spPr>
                <a:noFill/>
                <a:ln>
                  <a:noFill/>
                </a:ln>
                <a:effectLst/>
              </c:spPr>
              <c:txPr>
                <a:bodyPr rot="0" spcFirstLastPara="1" vertOverflow="ellipsis" vert="horz" wrap="square" lIns="38100" tIns="19050" rIns="38100" bIns="19050" anchor="ctr" anchorCtr="0">
                  <a:spAutoFit/>
                </a:bodyPr>
                <a:lstStyle/>
                <a:p>
                  <a:pPr algn="l">
                    <a:defRPr sz="1000" b="1" i="0" u="none" strike="noStrike" kern="1200" baseline="0">
                      <a:solidFill>
                        <a:schemeClr val="tx1"/>
                      </a:solidFill>
                      <a:latin typeface="+mn-lt"/>
                      <a:ea typeface="+mn-ea"/>
                      <a:cs typeface="+mn-cs"/>
                    </a:defRPr>
                  </a:pPr>
                  <a:endParaRPr lang="en-US"/>
                </a:p>
              </c:txPr>
              <c:dLblPos val="inBase"/>
              <c:showLegendKey val="0"/>
              <c:showVal val="1"/>
              <c:showCatName val="0"/>
              <c:showSerName val="0"/>
              <c:showPercent val="0"/>
              <c:showBubbleSize val="0"/>
              <c:extLst>
                <c:ext xmlns:c15="http://schemas.microsoft.com/office/drawing/2012/chart" uri="{CE6537A1-D6FC-4f65-9D91-7224C49458BB}">
                  <c15:layout>
                    <c:manualLayout>
                      <c:w val="0.31729615377132453"/>
                      <c:h val="0.13791200432308398"/>
                    </c:manualLayout>
                  </c15:layout>
                  <c15:dlblFieldTable/>
                  <c15:showDataLabelsRange val="1"/>
                </c:ext>
                <c:ext xmlns:c16="http://schemas.microsoft.com/office/drawing/2014/chart" uri="{C3380CC4-5D6E-409C-BE32-E72D297353CC}">
                  <c16:uniqueId val="{00000001-031E-4E19-B2B9-82C639760066}"/>
                </c:ext>
              </c:extLst>
            </c:dLbl>
            <c:dLbl>
              <c:idx val="2"/>
              <c:tx>
                <c:rich>
                  <a:bodyPr/>
                  <a:lstStyle/>
                  <a:p>
                    <a:fld id="{8C5AF736-3770-472B-996A-44F3712F10CC}" type="CELLRANGE">
                      <a:rPr lang="en-US"/>
                      <a:pPr/>
                      <a:t>[CELLRANGE]</a:t>
                    </a:fld>
                    <a:r>
                      <a:rPr lang="en-US" baseline="0"/>
                      <a:t>, </a:t>
                    </a:r>
                    <a:fld id="{8C927A16-1A4D-4F87-A5AC-B4EEC5D7ADC2}" type="VALUE">
                      <a:rPr lang="en-US" baseline="0"/>
                      <a:pPr/>
                      <a:t>[VALUE]</a:t>
                    </a:fld>
                    <a:endParaRPr lang="en-US" baseline="0"/>
                  </a:p>
                </c:rich>
              </c:tx>
              <c:dLblPos val="inBase"/>
              <c:showLegendKey val="0"/>
              <c:showVal val="1"/>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2-031E-4E19-B2B9-82C639760066}"/>
                </c:ext>
              </c:extLst>
            </c:dLbl>
            <c:dLbl>
              <c:idx val="3"/>
              <c:tx>
                <c:rich>
                  <a:bodyPr rot="0" spcFirstLastPara="1" vertOverflow="ellipsis" vert="horz" wrap="square" lIns="38100" tIns="19050" rIns="38100" bIns="19050" anchor="ctr" anchorCtr="0">
                    <a:spAutoFit/>
                  </a:bodyPr>
                  <a:lstStyle/>
                  <a:p>
                    <a:pPr algn="l">
                      <a:defRPr sz="1000" b="1" i="0" u="none" strike="noStrike" kern="1200" baseline="0">
                        <a:solidFill>
                          <a:schemeClr val="tx1"/>
                        </a:solidFill>
                        <a:latin typeface="+mn-lt"/>
                        <a:ea typeface="+mn-ea"/>
                        <a:cs typeface="+mn-cs"/>
                      </a:defRPr>
                    </a:pPr>
                    <a:fld id="{D49B6063-17F3-41E3-9003-84A086EED6CD}" type="CELLRANGE">
                      <a:rPr lang="en-US" b="1" baseline="0">
                        <a:solidFill>
                          <a:schemeClr val="tx1"/>
                        </a:solidFill>
                      </a:rPr>
                      <a:pPr algn="l">
                        <a:defRPr sz="1000" b="1">
                          <a:solidFill>
                            <a:schemeClr val="tx1"/>
                          </a:solidFill>
                        </a:defRPr>
                      </a:pPr>
                      <a:t>[CELLRANGE]</a:t>
                    </a:fld>
                    <a:r>
                      <a:rPr lang="en-US" b="1" baseline="0">
                        <a:solidFill>
                          <a:schemeClr val="tx1"/>
                        </a:solidFill>
                      </a:rPr>
                      <a:t>, </a:t>
                    </a:r>
                    <a:fld id="{4E3CDD9A-B549-4B8F-B222-36C17C054D60}" type="VALUE">
                      <a:rPr lang="en-US" b="1" baseline="0">
                        <a:solidFill>
                          <a:schemeClr val="tx1"/>
                        </a:solidFill>
                      </a:rPr>
                      <a:pPr algn="l">
                        <a:defRPr sz="1000" b="1">
                          <a:solidFill>
                            <a:schemeClr val="tx1"/>
                          </a:solidFill>
                        </a:defRPr>
                      </a:pPr>
                      <a:t>[VALUE]</a:t>
                    </a:fld>
                    <a:endParaRPr lang="en-US" b="1" baseline="0">
                      <a:solidFill>
                        <a:schemeClr val="tx1"/>
                      </a:solidFill>
                    </a:endParaRPr>
                  </a:p>
                </c:rich>
              </c:tx>
              <c:spPr>
                <a:noFill/>
                <a:ln>
                  <a:noFill/>
                </a:ln>
                <a:effectLst/>
              </c:spPr>
              <c:txPr>
                <a:bodyPr rot="0" spcFirstLastPara="1" vertOverflow="ellipsis" vert="horz" wrap="square" lIns="38100" tIns="19050" rIns="38100" bIns="19050" anchor="ctr" anchorCtr="0">
                  <a:spAutoFit/>
                </a:bodyPr>
                <a:lstStyle/>
                <a:p>
                  <a:pPr algn="l">
                    <a:defRPr sz="1000" b="1" i="0" u="none" strike="noStrike" kern="1200" baseline="0">
                      <a:solidFill>
                        <a:schemeClr val="tx1"/>
                      </a:solidFill>
                      <a:latin typeface="+mn-lt"/>
                      <a:ea typeface="+mn-ea"/>
                      <a:cs typeface="+mn-cs"/>
                    </a:defRPr>
                  </a:pPr>
                  <a:endParaRPr lang="en-US"/>
                </a:p>
              </c:txPr>
              <c:dLblPos val="inBase"/>
              <c:showLegendKey val="0"/>
              <c:showVal val="1"/>
              <c:showCatName val="0"/>
              <c:showSerName val="0"/>
              <c:showPercent val="0"/>
              <c:showBubbleSize val="0"/>
              <c:extLst>
                <c:ext xmlns:c15="http://schemas.microsoft.com/office/drawing/2012/chart" uri="{CE6537A1-D6FC-4f65-9D91-7224C49458BB}">
                  <c15:layout>
                    <c:manualLayout>
                      <c:w val="0.27526798277186748"/>
                      <c:h val="0.13791200432308398"/>
                    </c:manualLayout>
                  </c15:layout>
                  <c15:dlblFieldTable/>
                  <c15:showDataLabelsRange val="1"/>
                </c:ext>
                <c:ext xmlns:c16="http://schemas.microsoft.com/office/drawing/2014/chart" uri="{C3380CC4-5D6E-409C-BE32-E72D297353CC}">
                  <c16:uniqueId val="{00000003-031E-4E19-B2B9-82C639760066}"/>
                </c:ext>
              </c:extLst>
            </c:dLbl>
            <c:dLbl>
              <c:idx val="4"/>
              <c:tx>
                <c:rich>
                  <a:bodyPr/>
                  <a:lstStyle/>
                  <a:p>
                    <a:fld id="{243F7C72-8E09-4564-B933-E2C377654BF5}" type="CELLRANGE">
                      <a:rPr lang="en-US"/>
                      <a:pPr/>
                      <a:t>[CELLRANGE]</a:t>
                    </a:fld>
                    <a:r>
                      <a:rPr lang="en-US" baseline="0"/>
                      <a:t>, </a:t>
                    </a:r>
                    <a:fld id="{3CF9769A-A923-4C2C-9502-4126CE247DF1}" type="VALUE">
                      <a:rPr lang="en-US" baseline="0"/>
                      <a:pPr/>
                      <a:t>[VALUE]</a:t>
                    </a:fld>
                    <a:endParaRPr lang="en-US" baseline="0"/>
                  </a:p>
                </c:rich>
              </c:tx>
              <c:dLblPos val="inBase"/>
              <c:showLegendKey val="0"/>
              <c:showVal val="1"/>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4-031E-4E19-B2B9-82C639760066}"/>
                </c:ext>
              </c:extLst>
            </c:dLbl>
            <c:dLbl>
              <c:idx val="5"/>
              <c:tx>
                <c:rich>
                  <a:bodyPr/>
                  <a:lstStyle/>
                  <a:p>
                    <a:fld id="{99CFC9F6-D685-464C-BBC7-B439D8007A21}" type="CELLRANGE">
                      <a:rPr lang="en-US"/>
                      <a:pPr/>
                      <a:t>[CELLRANGE]</a:t>
                    </a:fld>
                    <a:r>
                      <a:rPr lang="en-US" baseline="0"/>
                      <a:t>, </a:t>
                    </a:r>
                    <a:fld id="{5C9B50FA-6669-4E58-96C1-02576B3CA18D}" type="VALUE">
                      <a:rPr lang="en-US" baseline="0"/>
                      <a:pPr/>
                      <a:t>[VALUE]</a:t>
                    </a:fld>
                    <a:endParaRPr lang="en-US" baseline="0"/>
                  </a:p>
                </c:rich>
              </c:tx>
              <c:dLblPos val="inBase"/>
              <c:showLegendKey val="0"/>
              <c:showVal val="1"/>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5-031E-4E19-B2B9-82C639760066}"/>
                </c:ext>
              </c:extLst>
            </c:dLbl>
            <c:dLbl>
              <c:idx val="6"/>
              <c:tx>
                <c:rich>
                  <a:bodyPr rot="0" spcFirstLastPara="1" vertOverflow="ellipsis" vert="horz" wrap="square" lIns="38100" tIns="19050" rIns="38100" bIns="19050" anchor="ctr" anchorCtr="0">
                    <a:noAutofit/>
                  </a:bodyPr>
                  <a:lstStyle/>
                  <a:p>
                    <a:pPr algn="l">
                      <a:defRPr sz="1000" b="1" i="0" u="none" strike="noStrike" kern="1200" baseline="0">
                        <a:solidFill>
                          <a:schemeClr val="tx1"/>
                        </a:solidFill>
                        <a:latin typeface="+mn-lt"/>
                        <a:ea typeface="+mn-ea"/>
                        <a:cs typeface="+mn-cs"/>
                      </a:defRPr>
                    </a:pPr>
                    <a:fld id="{04AF3CBD-7903-46D9-8AE8-1F3EA18C38A1}" type="CELLRANGE">
                      <a:rPr lang="en-US" baseline="0"/>
                      <a:pPr algn="l">
                        <a:defRPr sz="1000" b="1">
                          <a:solidFill>
                            <a:schemeClr val="tx1"/>
                          </a:solidFill>
                        </a:defRPr>
                      </a:pPr>
                      <a:t>[CELLRANGE]</a:t>
                    </a:fld>
                    <a:r>
                      <a:rPr lang="en-US" baseline="0"/>
                      <a:t>, </a:t>
                    </a:r>
                    <a:fld id="{CDC9EB54-B8C9-498C-8B05-A33A7C5E80B0}" type="VALUE">
                      <a:rPr lang="en-US" baseline="0"/>
                      <a:pPr algn="l">
                        <a:defRPr sz="1000" b="1">
                          <a:solidFill>
                            <a:schemeClr val="tx1"/>
                          </a:solidFill>
                        </a:defRPr>
                      </a:pPr>
                      <a:t>[VALUE]</a:t>
                    </a:fld>
                    <a:endParaRPr lang="en-US" baseline="0"/>
                  </a:p>
                </c:rich>
              </c:tx>
              <c:spPr>
                <a:noFill/>
                <a:ln>
                  <a:noFill/>
                </a:ln>
                <a:effectLst/>
              </c:spPr>
              <c:txPr>
                <a:bodyPr rot="0" spcFirstLastPara="1" vertOverflow="ellipsis" vert="horz" wrap="square" lIns="38100" tIns="19050" rIns="38100" bIns="19050" anchor="ctr" anchorCtr="0">
                  <a:noAutofit/>
                </a:bodyPr>
                <a:lstStyle/>
                <a:p>
                  <a:pPr algn="l">
                    <a:defRPr sz="1000" b="1" i="0" u="none" strike="noStrike" kern="1200" baseline="0">
                      <a:solidFill>
                        <a:schemeClr val="tx1"/>
                      </a:solidFill>
                      <a:latin typeface="+mn-lt"/>
                      <a:ea typeface="+mn-ea"/>
                      <a:cs typeface="+mn-cs"/>
                    </a:defRPr>
                  </a:pPr>
                  <a:endParaRPr lang="en-US"/>
                </a:p>
              </c:txPr>
              <c:dLblPos val="inBase"/>
              <c:showLegendKey val="0"/>
              <c:showVal val="1"/>
              <c:showCatName val="0"/>
              <c:showSerName val="0"/>
              <c:showPercent val="0"/>
              <c:showBubbleSize val="0"/>
              <c:extLst>
                <c:ext xmlns:c15="http://schemas.microsoft.com/office/drawing/2012/chart" uri="{CE6537A1-D6FC-4f65-9D91-7224C49458BB}">
                  <c15:layout>
                    <c:manualLayout>
                      <c:w val="0.22441604686810529"/>
                      <c:h val="9.0606308903389318E-2"/>
                    </c:manualLayout>
                  </c15:layout>
                  <c15:dlblFieldTable/>
                  <c15:showDataLabelsRange val="1"/>
                </c:ext>
                <c:ext xmlns:c16="http://schemas.microsoft.com/office/drawing/2014/chart" uri="{C3380CC4-5D6E-409C-BE32-E72D297353CC}">
                  <c16:uniqueId val="{00000006-031E-4E19-B2B9-82C639760066}"/>
                </c:ext>
              </c:extLst>
            </c:dLbl>
            <c:spPr>
              <a:noFill/>
              <a:ln>
                <a:noFill/>
              </a:ln>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tx1"/>
                    </a:solidFill>
                    <a:latin typeface="+mn-lt"/>
                    <a:ea typeface="+mn-ea"/>
                    <a:cs typeface="+mn-cs"/>
                  </a:defRPr>
                </a:pPr>
                <a:endParaRPr lang="en-US"/>
              </a:p>
            </c:txPr>
            <c:dLblPos val="inBase"/>
            <c:showLegendKey val="0"/>
            <c:showVal val="1"/>
            <c:showCatName val="0"/>
            <c:showSerName val="0"/>
            <c:showPercent val="0"/>
            <c:showBubbleSize val="0"/>
            <c:showLeaderLines val="0"/>
            <c:extLst>
              <c:ext xmlns:c15="http://schemas.microsoft.com/office/drawing/2012/chart" uri="{CE6537A1-D6FC-4f65-9D91-7224C49458BB}">
                <c15:showDataLabelsRange val="1"/>
                <c15:showLeaderLines val="1"/>
                <c15:leaderLines>
                  <c:spPr>
                    <a:ln w="9525" cap="flat" cmpd="sng" algn="ctr">
                      <a:solidFill>
                        <a:schemeClr val="tx1">
                          <a:lumMod val="35000"/>
                          <a:lumOff val="65000"/>
                        </a:schemeClr>
                      </a:solidFill>
                      <a:round/>
                    </a:ln>
                    <a:effectLst/>
                  </c:spPr>
                </c15:leaderLines>
              </c:ext>
            </c:extLst>
          </c:dLbls>
          <c:cat>
            <c:strRef>
              <c:f>Analysis!$H$13:$H$19</c:f>
              <c:strCache>
                <c:ptCount val="7"/>
                <c:pt idx="0">
                  <c:v>Sun</c:v>
                </c:pt>
                <c:pt idx="1">
                  <c:v>Mon</c:v>
                </c:pt>
                <c:pt idx="2">
                  <c:v>Tue</c:v>
                </c:pt>
                <c:pt idx="3">
                  <c:v>Wed</c:v>
                </c:pt>
                <c:pt idx="4">
                  <c:v>Thu</c:v>
                </c:pt>
                <c:pt idx="5">
                  <c:v>Fri</c:v>
                </c:pt>
                <c:pt idx="6">
                  <c:v>Sat</c:v>
                </c:pt>
              </c:strCache>
            </c:strRef>
          </c:cat>
          <c:val>
            <c:numRef>
              <c:f>Analysis!$I$13:$I$19</c:f>
              <c:numCache>
                <c:formatCode>General</c:formatCode>
                <c:ptCount val="7"/>
                <c:pt idx="0">
                  <c:v>778</c:v>
                </c:pt>
                <c:pt idx="1">
                  <c:v>638</c:v>
                </c:pt>
                <c:pt idx="2">
                  <c:v>862</c:v>
                </c:pt>
                <c:pt idx="3">
                  <c:v>800</c:v>
                </c:pt>
                <c:pt idx="4">
                  <c:v>755</c:v>
                </c:pt>
                <c:pt idx="5">
                  <c:v>758</c:v>
                </c:pt>
                <c:pt idx="6">
                  <c:v>919</c:v>
                </c:pt>
              </c:numCache>
            </c:numRef>
          </c:val>
          <c:extLst>
            <c:ext xmlns:c15="http://schemas.microsoft.com/office/drawing/2012/chart" uri="{02D57815-91ED-43cb-92C2-25804820EDAC}">
              <c15:datalabelsRange>
                <c15:f>Analysis!$H$13:$H$19</c15:f>
                <c15:dlblRangeCache>
                  <c:ptCount val="7"/>
                  <c:pt idx="0">
                    <c:v>Sun</c:v>
                  </c:pt>
                  <c:pt idx="1">
                    <c:v>Mon</c:v>
                  </c:pt>
                  <c:pt idx="2">
                    <c:v>Tue</c:v>
                  </c:pt>
                  <c:pt idx="3">
                    <c:v>Wed</c:v>
                  </c:pt>
                  <c:pt idx="4">
                    <c:v>Thu</c:v>
                  </c:pt>
                  <c:pt idx="5">
                    <c:v>Fri</c:v>
                  </c:pt>
                  <c:pt idx="6">
                    <c:v>Sat</c:v>
                  </c:pt>
                </c15:dlblRangeCache>
              </c15:datalabelsRange>
            </c:ext>
            <c:ext xmlns:c16="http://schemas.microsoft.com/office/drawing/2014/chart" uri="{C3380CC4-5D6E-409C-BE32-E72D297353CC}">
              <c16:uniqueId val="{00000007-031E-4E19-B2B9-82C639760066}"/>
            </c:ext>
          </c:extLst>
        </c:ser>
        <c:ser>
          <c:idx val="1"/>
          <c:order val="1"/>
          <c:tx>
            <c:strRef>
              <c:f>Analysis!$J$12</c:f>
              <c:strCache>
                <c:ptCount val="1"/>
                <c:pt idx="0">
                  <c:v>max</c:v>
                </c:pt>
              </c:strCache>
            </c:strRef>
          </c:tx>
          <c:spPr>
            <a:solidFill>
              <a:srgbClr val="ADACB5"/>
            </a:solidFill>
            <a:ln>
              <a:noFill/>
            </a:ln>
            <a:effectLst/>
          </c:spPr>
          <c:invertIfNegative val="0"/>
          <c:cat>
            <c:strRef>
              <c:f>Analysis!$H$13:$H$19</c:f>
              <c:strCache>
                <c:ptCount val="7"/>
                <c:pt idx="0">
                  <c:v>Sun</c:v>
                </c:pt>
                <c:pt idx="1">
                  <c:v>Mon</c:v>
                </c:pt>
                <c:pt idx="2">
                  <c:v>Tue</c:v>
                </c:pt>
                <c:pt idx="3">
                  <c:v>Wed</c:v>
                </c:pt>
                <c:pt idx="4">
                  <c:v>Thu</c:v>
                </c:pt>
                <c:pt idx="5">
                  <c:v>Fri</c:v>
                </c:pt>
                <c:pt idx="6">
                  <c:v>Sat</c:v>
                </c:pt>
              </c:strCache>
            </c:strRef>
          </c:cat>
          <c:val>
            <c:numRef>
              <c:f>Analysis!$J$13:$J$19</c:f>
              <c:numCache>
                <c:formatCode>General</c:formatCode>
                <c:ptCount val="7"/>
                <c:pt idx="0">
                  <c:v>0</c:v>
                </c:pt>
                <c:pt idx="1">
                  <c:v>0</c:v>
                </c:pt>
                <c:pt idx="2">
                  <c:v>0</c:v>
                </c:pt>
                <c:pt idx="3">
                  <c:v>0</c:v>
                </c:pt>
                <c:pt idx="4">
                  <c:v>0</c:v>
                </c:pt>
                <c:pt idx="5">
                  <c:v>0</c:v>
                </c:pt>
                <c:pt idx="6">
                  <c:v>919</c:v>
                </c:pt>
              </c:numCache>
            </c:numRef>
          </c:val>
          <c:extLst>
            <c:ext xmlns:c16="http://schemas.microsoft.com/office/drawing/2014/chart" uri="{C3380CC4-5D6E-409C-BE32-E72D297353CC}">
              <c16:uniqueId val="{00000008-031E-4E19-B2B9-82C639760066}"/>
            </c:ext>
          </c:extLst>
        </c:ser>
        <c:dLbls>
          <c:showLegendKey val="0"/>
          <c:showVal val="0"/>
          <c:showCatName val="0"/>
          <c:showSerName val="0"/>
          <c:showPercent val="0"/>
          <c:showBubbleSize val="0"/>
        </c:dLbls>
        <c:gapWidth val="29"/>
        <c:overlap val="100"/>
        <c:axId val="803292784"/>
        <c:axId val="803295184"/>
      </c:barChart>
      <c:catAx>
        <c:axId val="803292784"/>
        <c:scaling>
          <c:orientation val="minMax"/>
        </c:scaling>
        <c:delete val="1"/>
        <c:axPos val="l"/>
        <c:numFmt formatCode="General" sourceLinked="1"/>
        <c:majorTickMark val="none"/>
        <c:minorTickMark val="none"/>
        <c:tickLblPos val="nextTo"/>
        <c:crossAx val="803295184"/>
        <c:crosses val="autoZero"/>
        <c:auto val="1"/>
        <c:lblAlgn val="ctr"/>
        <c:lblOffset val="100"/>
        <c:noMultiLvlLbl val="0"/>
      </c:catAx>
      <c:valAx>
        <c:axId val="803295184"/>
        <c:scaling>
          <c:orientation val="minMax"/>
        </c:scaling>
        <c:delete val="1"/>
        <c:axPos val="b"/>
        <c:numFmt formatCode="General" sourceLinked="1"/>
        <c:majorTickMark val="none"/>
        <c:minorTickMark val="none"/>
        <c:tickLblPos val="nextTo"/>
        <c:crossAx val="803292784"/>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clustered"/>
        <c:varyColors val="0"/>
        <c:ser>
          <c:idx val="0"/>
          <c:order val="0"/>
          <c:tx>
            <c:strRef>
              <c:f>Analysis!$M$10</c:f>
              <c:strCache>
                <c:ptCount val="1"/>
                <c:pt idx="0">
                  <c:v>Time of Day</c:v>
                </c:pt>
              </c:strCache>
            </c:strRef>
          </c:tx>
          <c:spPr>
            <a:solidFill>
              <a:schemeClr val="accent1"/>
            </a:solidFill>
            <a:ln>
              <a:noFill/>
            </a:ln>
            <a:effectLst/>
          </c:spPr>
          <c:invertIfNegative val="0"/>
          <c:cat>
            <c:strRef>
              <c:f>Analysis!$M$11:$M$14</c:f>
              <c:strCache>
                <c:ptCount val="4"/>
                <c:pt idx="0">
                  <c:v>Afternoon</c:v>
                </c:pt>
                <c:pt idx="1">
                  <c:v>Evening</c:v>
                </c:pt>
                <c:pt idx="2">
                  <c:v>Morning</c:v>
                </c:pt>
                <c:pt idx="3">
                  <c:v>Night</c:v>
                </c:pt>
              </c:strCache>
            </c:strRef>
          </c:cat>
          <c:val>
            <c:numRef>
              <c:f>Analysis!$M$11:$M$14</c:f>
              <c:numCache>
                <c:formatCode>General</c:formatCode>
                <c:ptCount val="4"/>
                <c:pt idx="0">
                  <c:v>0</c:v>
                </c:pt>
                <c:pt idx="1">
                  <c:v>0</c:v>
                </c:pt>
                <c:pt idx="2">
                  <c:v>0</c:v>
                </c:pt>
                <c:pt idx="3">
                  <c:v>0</c:v>
                </c:pt>
              </c:numCache>
            </c:numRef>
          </c:val>
          <c:extLst>
            <c:ext xmlns:c16="http://schemas.microsoft.com/office/drawing/2014/chart" uri="{C3380CC4-5D6E-409C-BE32-E72D297353CC}">
              <c16:uniqueId val="{00000000-4874-4D1C-AB19-370C59F38C73}"/>
            </c:ext>
          </c:extLst>
        </c:ser>
        <c:ser>
          <c:idx val="1"/>
          <c:order val="1"/>
          <c:tx>
            <c:strRef>
              <c:f>Analysis!$N$10</c:f>
              <c:strCache>
                <c:ptCount val="1"/>
                <c:pt idx="0">
                  <c:v>Sum of Quantity</c:v>
                </c:pt>
              </c:strCache>
            </c:strRef>
          </c:tx>
          <c:spPr>
            <a:solidFill>
              <a:srgbClr val="D8D5DB"/>
            </a:solidFill>
            <a:ln>
              <a:noFill/>
            </a:ln>
            <a:effectLst/>
          </c:spPr>
          <c:invertIfNegative val="0"/>
          <c:dLbls>
            <c:dLbl>
              <c:idx val="2"/>
              <c:delete val="1"/>
              <c:extLst>
                <c:ext xmlns:c15="http://schemas.microsoft.com/office/drawing/2012/chart" uri="{CE6537A1-D6FC-4f65-9D91-7224C49458BB}"/>
                <c:ext xmlns:c16="http://schemas.microsoft.com/office/drawing/2014/chart" uri="{C3380CC4-5D6E-409C-BE32-E72D297353CC}">
                  <c16:uniqueId val="{00000001-4874-4D1C-AB19-370C59F38C73}"/>
                </c:ext>
              </c:extLst>
            </c:dLbl>
            <c:spPr>
              <a:noFill/>
              <a:ln>
                <a:noFill/>
              </a:ln>
              <a:effectLst/>
            </c:spPr>
            <c:txPr>
              <a:bodyPr rot="0" spcFirstLastPara="1" vertOverflow="ellipsis" vert="horz" wrap="square" lIns="38100" tIns="19050" rIns="38100" bIns="19050" anchor="ctr" anchorCtr="1">
                <a:spAutoFit/>
              </a:bodyPr>
              <a:lstStyle/>
              <a:p>
                <a:pPr>
                  <a:defRPr sz="1000" b="1" i="0" u="none" strike="noStrike" kern="1200" baseline="0">
                    <a:solidFill>
                      <a:srgbClr val="D8D5DB"/>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Analysis!$M$11:$M$14</c:f>
              <c:strCache>
                <c:ptCount val="4"/>
                <c:pt idx="0">
                  <c:v>Afternoon</c:v>
                </c:pt>
                <c:pt idx="1">
                  <c:v>Evening</c:v>
                </c:pt>
                <c:pt idx="2">
                  <c:v>Morning</c:v>
                </c:pt>
                <c:pt idx="3">
                  <c:v>Night</c:v>
                </c:pt>
              </c:strCache>
            </c:strRef>
          </c:cat>
          <c:val>
            <c:numRef>
              <c:f>Analysis!$N$11:$N$14</c:f>
              <c:numCache>
                <c:formatCode>General</c:formatCode>
                <c:ptCount val="4"/>
                <c:pt idx="0">
                  <c:v>959</c:v>
                </c:pt>
                <c:pt idx="1">
                  <c:v>1153</c:v>
                </c:pt>
                <c:pt idx="2">
                  <c:v>2944</c:v>
                </c:pt>
                <c:pt idx="3">
                  <c:v>454</c:v>
                </c:pt>
              </c:numCache>
            </c:numRef>
          </c:val>
          <c:extLst>
            <c:ext xmlns:c16="http://schemas.microsoft.com/office/drawing/2014/chart" uri="{C3380CC4-5D6E-409C-BE32-E72D297353CC}">
              <c16:uniqueId val="{00000002-4874-4D1C-AB19-370C59F38C73}"/>
            </c:ext>
          </c:extLst>
        </c:ser>
        <c:ser>
          <c:idx val="2"/>
          <c:order val="2"/>
          <c:tx>
            <c:strRef>
              <c:f>Analysis!$O$10</c:f>
              <c:strCache>
                <c:ptCount val="1"/>
                <c:pt idx="0">
                  <c:v>max quantity</c:v>
                </c:pt>
              </c:strCache>
            </c:strRef>
          </c:tx>
          <c:spPr>
            <a:solidFill>
              <a:srgbClr val="ADACB5"/>
            </a:solidFill>
            <a:ln>
              <a:noFill/>
            </a:ln>
            <a:effectLst/>
          </c:spPr>
          <c:invertIfNegative val="0"/>
          <c:dLbls>
            <c:dLbl>
              <c:idx val="0"/>
              <c:delete val="1"/>
              <c:extLst>
                <c:ext xmlns:c15="http://schemas.microsoft.com/office/drawing/2012/chart" uri="{CE6537A1-D6FC-4f65-9D91-7224C49458BB}"/>
                <c:ext xmlns:c16="http://schemas.microsoft.com/office/drawing/2014/chart" uri="{C3380CC4-5D6E-409C-BE32-E72D297353CC}">
                  <c16:uniqueId val="{00000003-4874-4D1C-AB19-370C59F38C73}"/>
                </c:ext>
              </c:extLst>
            </c:dLbl>
            <c:dLbl>
              <c:idx val="1"/>
              <c:delete val="1"/>
              <c:extLst>
                <c:ext xmlns:c15="http://schemas.microsoft.com/office/drawing/2012/chart" uri="{CE6537A1-D6FC-4f65-9D91-7224C49458BB}"/>
                <c:ext xmlns:c16="http://schemas.microsoft.com/office/drawing/2014/chart" uri="{C3380CC4-5D6E-409C-BE32-E72D297353CC}">
                  <c16:uniqueId val="{00000004-4874-4D1C-AB19-370C59F38C73}"/>
                </c:ext>
              </c:extLst>
            </c:dLbl>
            <c:dLbl>
              <c:idx val="3"/>
              <c:delete val="1"/>
              <c:extLst>
                <c:ext xmlns:c15="http://schemas.microsoft.com/office/drawing/2012/chart" uri="{CE6537A1-D6FC-4f65-9D91-7224C49458BB}"/>
                <c:ext xmlns:c16="http://schemas.microsoft.com/office/drawing/2014/chart" uri="{C3380CC4-5D6E-409C-BE32-E72D297353CC}">
                  <c16:uniqueId val="{00000005-4874-4D1C-AB19-370C59F38C73}"/>
                </c:ext>
              </c:extLst>
            </c:dLbl>
            <c:spPr>
              <a:noFill/>
              <a:ln>
                <a:noFill/>
              </a:ln>
              <a:effectLst/>
            </c:spPr>
            <c:txPr>
              <a:bodyPr rot="0" spcFirstLastPara="1" vertOverflow="ellipsis" vert="horz" wrap="square" lIns="38100" tIns="19050" rIns="38100" bIns="19050" anchor="ctr" anchorCtr="1">
                <a:spAutoFit/>
              </a:bodyPr>
              <a:lstStyle/>
              <a:p>
                <a:pPr>
                  <a:defRPr sz="1000" b="1" i="0" u="none" strike="noStrike" kern="1200" baseline="0">
                    <a:solidFill>
                      <a:srgbClr val="D8D5DB"/>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Analysis!$M$11:$M$14</c:f>
              <c:strCache>
                <c:ptCount val="4"/>
                <c:pt idx="0">
                  <c:v>Afternoon</c:v>
                </c:pt>
                <c:pt idx="1">
                  <c:v>Evening</c:v>
                </c:pt>
                <c:pt idx="2">
                  <c:v>Morning</c:v>
                </c:pt>
                <c:pt idx="3">
                  <c:v>Night</c:v>
                </c:pt>
              </c:strCache>
            </c:strRef>
          </c:cat>
          <c:val>
            <c:numRef>
              <c:f>Analysis!$O$11:$O$14</c:f>
              <c:numCache>
                <c:formatCode>General</c:formatCode>
                <c:ptCount val="4"/>
                <c:pt idx="0">
                  <c:v>0</c:v>
                </c:pt>
                <c:pt idx="1">
                  <c:v>0</c:v>
                </c:pt>
                <c:pt idx="2">
                  <c:v>2944</c:v>
                </c:pt>
                <c:pt idx="3">
                  <c:v>0</c:v>
                </c:pt>
              </c:numCache>
            </c:numRef>
          </c:val>
          <c:extLst>
            <c:ext xmlns:c16="http://schemas.microsoft.com/office/drawing/2014/chart" uri="{C3380CC4-5D6E-409C-BE32-E72D297353CC}">
              <c16:uniqueId val="{00000006-4874-4D1C-AB19-370C59F38C73}"/>
            </c:ext>
          </c:extLst>
        </c:ser>
        <c:dLbls>
          <c:showLegendKey val="0"/>
          <c:showVal val="0"/>
          <c:showCatName val="0"/>
          <c:showSerName val="0"/>
          <c:showPercent val="0"/>
          <c:showBubbleSize val="0"/>
        </c:dLbls>
        <c:gapWidth val="52"/>
        <c:overlap val="100"/>
        <c:axId val="794639392"/>
        <c:axId val="794623072"/>
      </c:barChart>
      <c:catAx>
        <c:axId val="794639392"/>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000" b="1" i="0" u="none" strike="noStrike" kern="1200" baseline="0">
                <a:solidFill>
                  <a:srgbClr val="D8D5DB"/>
                </a:solidFill>
                <a:latin typeface="+mn-lt"/>
                <a:ea typeface="+mn-ea"/>
                <a:cs typeface="+mn-cs"/>
              </a:defRPr>
            </a:pPr>
            <a:endParaRPr lang="en-US"/>
          </a:p>
        </c:txPr>
        <c:crossAx val="794623072"/>
        <c:crosses val="autoZero"/>
        <c:auto val="1"/>
        <c:lblAlgn val="ctr"/>
        <c:lblOffset val="100"/>
        <c:noMultiLvlLbl val="0"/>
      </c:catAx>
      <c:valAx>
        <c:axId val="794623072"/>
        <c:scaling>
          <c:orientation val="minMax"/>
        </c:scaling>
        <c:delete val="1"/>
        <c:axPos val="l"/>
        <c:numFmt formatCode="General" sourceLinked="1"/>
        <c:majorTickMark val="none"/>
        <c:minorTickMark val="none"/>
        <c:tickLblPos val="nextTo"/>
        <c:crossAx val="794639392"/>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barChart>
        <c:barDir val="bar"/>
        <c:grouping val="clustered"/>
        <c:varyColors val="0"/>
        <c:ser>
          <c:idx val="0"/>
          <c:order val="0"/>
          <c:tx>
            <c:strRef>
              <c:f>Analysis!$W$10</c:f>
              <c:strCache>
                <c:ptCount val="1"/>
                <c:pt idx="0">
                  <c:v>Sum of Revenue</c:v>
                </c:pt>
              </c:strCache>
            </c:strRef>
          </c:tx>
          <c:spPr>
            <a:solidFill>
              <a:srgbClr val="D8D5DB"/>
            </a:solidFill>
            <a:ln>
              <a:noFill/>
            </a:ln>
            <a:effectLst/>
          </c:spPr>
          <c:invertIfNegative val="0"/>
          <c:dLbls>
            <c:dLbl>
              <c:idx val="0"/>
              <c:layout>
                <c:manualLayout>
                  <c:x val="-9.4497308829363733E-2"/>
                  <c:y val="5.1784869084179612E-7"/>
                </c:manualLayout>
              </c:layout>
              <c:dLblPos val="outEnd"/>
              <c:showLegendKey val="0"/>
              <c:showVal val="1"/>
              <c:showCatName val="0"/>
              <c:showSerName val="0"/>
              <c:showPercent val="0"/>
              <c:showBubbleSize val="0"/>
              <c:extLst>
                <c:ext xmlns:c15="http://schemas.microsoft.com/office/drawing/2012/chart" uri="{CE6537A1-D6FC-4f65-9D91-7224C49458BB}">
                  <c15:layout>
                    <c:manualLayout>
                      <c:w val="0.25733442548517538"/>
                      <c:h val="0.1642196589862801"/>
                    </c:manualLayout>
                  </c15:layout>
                </c:ext>
                <c:ext xmlns:c16="http://schemas.microsoft.com/office/drawing/2014/chart" uri="{C3380CC4-5D6E-409C-BE32-E72D297353CC}">
                  <c16:uniqueId val="{00000006-D005-4C11-A96E-43B1847DE403}"/>
                </c:ext>
              </c:extLst>
            </c:dLbl>
            <c:spPr>
              <a:noFill/>
              <a:ln>
                <a:noFill/>
              </a:ln>
              <a:effectLst/>
            </c:spPr>
            <c:txPr>
              <a:bodyPr rot="0" spcFirstLastPara="1" vertOverflow="ellipsis" vert="horz" wrap="square" lIns="0" tIns="19050" rIns="38100" bIns="19050" anchor="ctr" anchorCtr="1">
                <a:spAutoFit/>
              </a:bodyPr>
              <a:lstStyle/>
              <a:p>
                <a:pPr>
                  <a:defRPr sz="1000" b="1" i="0" u="none" strike="noStrike" kern="1200" baseline="0">
                    <a:solidFill>
                      <a:srgbClr val="EAE8FF"/>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pPr xmlns:c15="http://schemas.microsoft.com/office/drawing/2012/chart">
                  <a:prstGeom prst="rect">
                    <a:avLst/>
                  </a:prstGeom>
                </c15:spPr>
                <c15:showLeaderLines val="1"/>
                <c15:leaderLines>
                  <c:spPr>
                    <a:ln w="9525" cap="flat" cmpd="sng" algn="ctr">
                      <a:solidFill>
                        <a:schemeClr val="tx1">
                          <a:lumMod val="35000"/>
                          <a:lumOff val="65000"/>
                        </a:schemeClr>
                      </a:solidFill>
                      <a:round/>
                    </a:ln>
                    <a:effectLst/>
                  </c:spPr>
                </c15:leaderLines>
              </c:ext>
            </c:extLst>
          </c:dLbls>
          <c:cat>
            <c:strRef>
              <c:f>Analysis!$V$11:$V$14</c:f>
              <c:strCache>
                <c:ptCount val="4"/>
                <c:pt idx="0">
                  <c:v>Morning</c:v>
                </c:pt>
                <c:pt idx="1">
                  <c:v>Evening</c:v>
                </c:pt>
                <c:pt idx="2">
                  <c:v>Afternoon</c:v>
                </c:pt>
                <c:pt idx="3">
                  <c:v>Night</c:v>
                </c:pt>
              </c:strCache>
            </c:strRef>
          </c:cat>
          <c:val>
            <c:numRef>
              <c:f>Analysis!$W$11:$W$14</c:f>
              <c:numCache>
                <c:formatCode>"$"#,##0.00;[Red]"$"#,##0.00</c:formatCode>
                <c:ptCount val="4"/>
                <c:pt idx="0">
                  <c:v>171678.3180000002</c:v>
                </c:pt>
                <c:pt idx="1">
                  <c:v>61828.273500000003</c:v>
                </c:pt>
                <c:pt idx="2">
                  <c:v>60706.957500000019</c:v>
                </c:pt>
                <c:pt idx="3">
                  <c:v>28753.200000000004</c:v>
                </c:pt>
              </c:numCache>
            </c:numRef>
          </c:val>
          <c:extLst>
            <c:ext xmlns:c16="http://schemas.microsoft.com/office/drawing/2014/chart" uri="{C3380CC4-5D6E-409C-BE32-E72D297353CC}">
              <c16:uniqueId val="{00000000-D005-4C11-A96E-43B1847DE403}"/>
            </c:ext>
          </c:extLst>
        </c:ser>
        <c:ser>
          <c:idx val="1"/>
          <c:order val="1"/>
          <c:tx>
            <c:strRef>
              <c:f>Analysis!$X$10</c:f>
              <c:strCache>
                <c:ptCount val="1"/>
                <c:pt idx="0">
                  <c:v>max</c:v>
                </c:pt>
              </c:strCache>
            </c:strRef>
          </c:tx>
          <c:spPr>
            <a:solidFill>
              <a:srgbClr val="ADACB5"/>
            </a:solidFill>
            <a:ln>
              <a:noFill/>
            </a:ln>
            <a:effectLst/>
          </c:spPr>
          <c:invertIfNegative val="0"/>
          <c:dLbls>
            <c:delete val="1"/>
          </c:dLbls>
          <c:val>
            <c:numRef>
              <c:f>Analysis!$X$11:$X$14</c:f>
              <c:numCache>
                <c:formatCode>"$"#,##0.00;[Red]"$"#,##0.00</c:formatCode>
                <c:ptCount val="4"/>
                <c:pt idx="0">
                  <c:v>171678.3180000002</c:v>
                </c:pt>
                <c:pt idx="1">
                  <c:v>0</c:v>
                </c:pt>
                <c:pt idx="2">
                  <c:v>0</c:v>
                </c:pt>
                <c:pt idx="3">
                  <c:v>0</c:v>
                </c:pt>
              </c:numCache>
            </c:numRef>
          </c:val>
          <c:extLst>
            <c:ext xmlns:c16="http://schemas.microsoft.com/office/drawing/2014/chart" uri="{C3380CC4-5D6E-409C-BE32-E72D297353CC}">
              <c16:uniqueId val="{00000001-D005-4C11-A96E-43B1847DE403}"/>
            </c:ext>
          </c:extLst>
        </c:ser>
        <c:dLbls>
          <c:dLblPos val="outEnd"/>
          <c:showLegendKey val="0"/>
          <c:showVal val="1"/>
          <c:showCatName val="0"/>
          <c:showSerName val="0"/>
          <c:showPercent val="0"/>
          <c:showBubbleSize val="0"/>
        </c:dLbls>
        <c:gapWidth val="49"/>
        <c:overlap val="100"/>
        <c:axId val="947630272"/>
        <c:axId val="947621152"/>
      </c:barChart>
      <c:catAx>
        <c:axId val="947630272"/>
        <c:scaling>
          <c:orientation val="maxMin"/>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050" b="1" i="0" u="none" strike="noStrike" kern="1200" baseline="0">
                <a:solidFill>
                  <a:srgbClr val="D8D5DB"/>
                </a:solidFill>
                <a:latin typeface="+mn-lt"/>
                <a:ea typeface="+mn-ea"/>
                <a:cs typeface="+mn-cs"/>
              </a:defRPr>
            </a:pPr>
            <a:endParaRPr lang="en-US"/>
          </a:p>
        </c:txPr>
        <c:crossAx val="947621152"/>
        <c:crosses val="autoZero"/>
        <c:auto val="1"/>
        <c:lblAlgn val="ctr"/>
        <c:lblOffset val="100"/>
        <c:noMultiLvlLbl val="0"/>
      </c:catAx>
      <c:valAx>
        <c:axId val="947621152"/>
        <c:scaling>
          <c:orientation val="minMax"/>
        </c:scaling>
        <c:delete val="1"/>
        <c:axPos val="t"/>
        <c:numFmt formatCode="&quot;$&quot;#,##0.00;[Red]&quot;$&quot;#,##0.00" sourceLinked="1"/>
        <c:majorTickMark val="none"/>
        <c:minorTickMark val="none"/>
        <c:tickLblPos val="nextTo"/>
        <c:crossAx val="947630272"/>
        <c:crosses val="autoZero"/>
        <c:crossBetween val="between"/>
      </c:valAx>
      <c:spPr>
        <a:noFill/>
        <a:ln>
          <a:noFill/>
        </a:ln>
        <a:effectLst/>
      </c:spPr>
    </c:plotArea>
    <c:plotVisOnly val="1"/>
    <c:dispBlanksAs val="gap"/>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1514326001112447"/>
          <c:y val="0.3344543937446427"/>
          <c:w val="0.3027344706911636"/>
          <c:h val="0.5045574511519394"/>
        </c:manualLayout>
      </c:layout>
      <c:pieChart>
        <c:varyColors val="1"/>
        <c:ser>
          <c:idx val="0"/>
          <c:order val="0"/>
          <c:tx>
            <c:strRef>
              <c:f>Analysis!$AC$9</c:f>
              <c:strCache>
                <c:ptCount val="1"/>
                <c:pt idx="0">
                  <c:v>Sum of Revenue</c:v>
                </c:pt>
              </c:strCache>
            </c:strRef>
          </c:tx>
          <c:spPr>
            <a:ln w="28575">
              <a:noFill/>
            </a:ln>
          </c:spPr>
          <c:dPt>
            <c:idx val="0"/>
            <c:bubble3D val="0"/>
            <c:spPr>
              <a:solidFill>
                <a:srgbClr val="D8D5DB"/>
              </a:solidFill>
              <a:ln w="28575">
                <a:noFill/>
              </a:ln>
              <a:effectLst/>
            </c:spPr>
            <c:extLst>
              <c:ext xmlns:c16="http://schemas.microsoft.com/office/drawing/2014/chart" uri="{C3380CC4-5D6E-409C-BE32-E72D297353CC}">
                <c16:uniqueId val="{00000001-0000-474D-BD92-FD1785D284AC}"/>
              </c:ext>
            </c:extLst>
          </c:dPt>
          <c:dPt>
            <c:idx val="1"/>
            <c:bubble3D val="0"/>
            <c:spPr>
              <a:solidFill>
                <a:srgbClr val="2D3142"/>
              </a:solidFill>
              <a:ln w="28575">
                <a:noFill/>
              </a:ln>
              <a:effectLst/>
            </c:spPr>
            <c:extLst>
              <c:ext xmlns:c16="http://schemas.microsoft.com/office/drawing/2014/chart" uri="{C3380CC4-5D6E-409C-BE32-E72D297353CC}">
                <c16:uniqueId val="{00000003-0000-474D-BD92-FD1785D284AC}"/>
              </c:ext>
            </c:extLst>
          </c:dPt>
          <c:dPt>
            <c:idx val="2"/>
            <c:bubble3D val="0"/>
            <c:spPr>
              <a:solidFill>
                <a:schemeClr val="accent3"/>
              </a:solidFill>
              <a:ln w="28575">
                <a:noFill/>
              </a:ln>
              <a:effectLst/>
            </c:spPr>
            <c:extLst>
              <c:ext xmlns:c16="http://schemas.microsoft.com/office/drawing/2014/chart" uri="{C3380CC4-5D6E-409C-BE32-E72D297353CC}">
                <c16:uniqueId val="{00000005-0000-474D-BD92-FD1785D284AC}"/>
              </c:ext>
            </c:extLst>
          </c:dPt>
          <c:dLbls>
            <c:spPr>
              <a:noFill/>
              <a:ln>
                <a:noFill/>
              </a:ln>
              <a:effectLst/>
            </c:spPr>
            <c:txPr>
              <a:bodyPr rot="0" spcFirstLastPara="1" vertOverflow="ellipsis" vert="horz" wrap="square" lIns="38100" tIns="19050" rIns="38100" bIns="19050" anchor="ctr" anchorCtr="1">
                <a:spAutoFit/>
              </a:bodyPr>
              <a:lstStyle/>
              <a:p>
                <a:pPr>
                  <a:defRPr sz="1000" b="1" i="0" u="none" strike="noStrike" kern="1200" baseline="0">
                    <a:solidFill>
                      <a:srgbClr val="D8D5DB"/>
                    </a:solidFill>
                    <a:latin typeface="+mn-lt"/>
                    <a:ea typeface="+mn-ea"/>
                    <a:cs typeface="+mn-cs"/>
                  </a:defRPr>
                </a:pPr>
                <a:endParaRPr lang="en-US"/>
              </a:p>
            </c:txPr>
            <c:dLblPos val="outEnd"/>
            <c:showLegendKey val="0"/>
            <c:showVal val="1"/>
            <c:showCatName val="1"/>
            <c:showSerName val="0"/>
            <c:showPercent val="0"/>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Analysis!$AB$10:$AB$12</c:f>
              <c:strCache>
                <c:ptCount val="3"/>
                <c:pt idx="0">
                  <c:v>Jan</c:v>
                </c:pt>
                <c:pt idx="1">
                  <c:v>Feb</c:v>
                </c:pt>
                <c:pt idx="2">
                  <c:v>Mar</c:v>
                </c:pt>
              </c:strCache>
            </c:strRef>
          </c:cat>
          <c:val>
            <c:numRef>
              <c:f>Analysis!$AC$10:$AC$12</c:f>
              <c:numCache>
                <c:formatCode>"$"#,##0;[Red]"$"#,##0</c:formatCode>
                <c:ptCount val="3"/>
                <c:pt idx="0">
                  <c:v>116291.86800000005</c:v>
                </c:pt>
                <c:pt idx="1">
                  <c:v>97219.373999999967</c:v>
                </c:pt>
                <c:pt idx="2">
                  <c:v>109455.50700000004</c:v>
                </c:pt>
              </c:numCache>
            </c:numRef>
          </c:val>
          <c:extLst>
            <c:ext xmlns:c16="http://schemas.microsoft.com/office/drawing/2014/chart" uri="{C3380CC4-5D6E-409C-BE32-E72D297353CC}">
              <c16:uniqueId val="{00000006-0000-474D-BD92-FD1785D284AC}"/>
            </c:ext>
          </c:extLst>
        </c:ser>
        <c:dLbls>
          <c:showLegendKey val="0"/>
          <c:showVal val="1"/>
          <c:showCatName val="0"/>
          <c:showSerName val="0"/>
          <c:showPercent val="0"/>
          <c:showBubbleSize val="0"/>
          <c:showLeaderLines val="1"/>
        </c:dLbls>
        <c:firstSliceAng val="0"/>
      </c:pieChart>
      <c:spPr>
        <a:noFill/>
        <a:ln>
          <a:noFill/>
        </a:ln>
        <a:effectLst/>
      </c:spPr>
    </c:plotArea>
    <c:legend>
      <c:legendPos val="b"/>
      <c:layout>
        <c:manualLayout>
          <c:xMode val="edge"/>
          <c:yMode val="edge"/>
          <c:x val="0.53394469099478903"/>
          <c:y val="0.7974006842995357"/>
          <c:w val="0.41367173067251028"/>
          <c:h val="0.13148462463659213"/>
        </c:manualLayout>
      </c:layout>
      <c:overlay val="0"/>
      <c:spPr>
        <a:noFill/>
        <a:ln>
          <a:noFill/>
        </a:ln>
        <a:effectLst/>
      </c:spPr>
      <c:txPr>
        <a:bodyPr rot="0" spcFirstLastPara="1" vertOverflow="ellipsis" vert="horz" wrap="square" anchor="ctr" anchorCtr="1"/>
        <a:lstStyle/>
        <a:p>
          <a:pPr>
            <a:defRPr sz="1000" b="0" i="0" u="none" strike="noStrike" kern="1200" baseline="0">
              <a:solidFill>
                <a:srgbClr val="D8D5DB"/>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30812464725834116"/>
          <c:y val="5.0925925925925923E-2"/>
          <c:w val="0.66682316067485303"/>
          <c:h val="0.89814814814814814"/>
        </c:manualLayout>
      </c:layout>
      <c:barChart>
        <c:barDir val="bar"/>
        <c:grouping val="clustered"/>
        <c:varyColors val="0"/>
        <c:ser>
          <c:idx val="0"/>
          <c:order val="0"/>
          <c:tx>
            <c:strRef>
              <c:f>Analysis!$AN$12</c:f>
              <c:strCache>
                <c:ptCount val="1"/>
                <c:pt idx="0">
                  <c:v>Sum of Revenue</c:v>
                </c:pt>
              </c:strCache>
            </c:strRef>
          </c:tx>
          <c:spPr>
            <a:solidFill>
              <a:srgbClr val="D8D5DB"/>
            </a:solidFill>
            <a:ln>
              <a:noFill/>
            </a:ln>
            <a:effectLst/>
          </c:spPr>
          <c:invertIfNegative val="0"/>
          <c:dLbls>
            <c:dLbl>
              <c:idx val="0"/>
              <c:delete val="1"/>
              <c:extLst>
                <c:ext xmlns:c15="http://schemas.microsoft.com/office/drawing/2012/chart" uri="{CE6537A1-D6FC-4f65-9D91-7224C49458BB}"/>
                <c:ext xmlns:c16="http://schemas.microsoft.com/office/drawing/2014/chart" uri="{C3380CC4-5D6E-409C-BE32-E72D297353CC}">
                  <c16:uniqueId val="{00000002-161E-4003-884F-7BC9D657574C}"/>
                </c:ext>
              </c:extLst>
            </c:dLbl>
            <c:dLbl>
              <c:idx val="1"/>
              <c:tx>
                <c:rich>
                  <a:bodyPr/>
                  <a:lstStyle/>
                  <a:p>
                    <a:fld id="{FBFF80F5-B9DD-48BD-B4CE-FE6C3F49BAEC}" type="CELLRANGE">
                      <a:rPr lang="en-US"/>
                      <a:pPr/>
                      <a:t>[CELLRANGE]</a:t>
                    </a:fld>
                    <a:endParaRPr lang="en-US"/>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9-161E-4003-884F-7BC9D657574C}"/>
                </c:ext>
              </c:extLst>
            </c:dLbl>
            <c:dLbl>
              <c:idx val="2"/>
              <c:tx>
                <c:rich>
                  <a:bodyPr/>
                  <a:lstStyle/>
                  <a:p>
                    <a:fld id="{579F6B15-6946-4626-8C15-ADB6F5404C8A}" type="CELLRANGE">
                      <a:rPr lang="en-US"/>
                      <a:pPr/>
                      <a:t>[CELLRANGE]</a:t>
                    </a:fld>
                    <a:endParaRPr lang="en-US"/>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A-161E-4003-884F-7BC9D657574C}"/>
                </c:ext>
              </c:extLst>
            </c:dLbl>
            <c:dLbl>
              <c:idx val="3"/>
              <c:tx>
                <c:rich>
                  <a:bodyPr/>
                  <a:lstStyle/>
                  <a:p>
                    <a:fld id="{178F6EFE-3787-4276-A482-7F58D2FCB6E6}" type="CELLRANGE">
                      <a:rPr lang="en-US"/>
                      <a:pPr/>
                      <a:t>[CELLRANGE]</a:t>
                    </a:fld>
                    <a:endParaRPr lang="en-US"/>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B-161E-4003-884F-7BC9D657574C}"/>
                </c:ext>
              </c:extLst>
            </c:dLbl>
            <c:dLbl>
              <c:idx val="4"/>
              <c:tx>
                <c:rich>
                  <a:bodyPr/>
                  <a:lstStyle/>
                  <a:p>
                    <a:fld id="{961A48F1-8DEC-41BF-A84D-B82CEA6422DA}" type="CELLRANGE">
                      <a:rPr lang="en-US"/>
                      <a:pPr/>
                      <a:t>[CELLRANGE]</a:t>
                    </a:fld>
                    <a:endParaRPr lang="en-US"/>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C-161E-4003-884F-7BC9D657574C}"/>
                </c:ext>
              </c:extLst>
            </c:dLbl>
            <c:dLbl>
              <c:idx val="5"/>
              <c:tx>
                <c:rich>
                  <a:bodyPr/>
                  <a:lstStyle/>
                  <a:p>
                    <a:fld id="{E31A41EA-A0E7-4697-A320-E2B942355E13}" type="CELLRANGE">
                      <a:rPr lang="en-US"/>
                      <a:pPr/>
                      <a:t>[CELLRANGE]</a:t>
                    </a:fld>
                    <a:endParaRPr lang="en-US"/>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D-161E-4003-884F-7BC9D657574C}"/>
                </c:ext>
              </c:extLst>
            </c:dLbl>
            <c:spPr>
              <a:noFill/>
              <a:ln>
                <a:noFill/>
              </a:ln>
              <a:effectLst/>
            </c:spPr>
            <c:txPr>
              <a:bodyPr rot="0" spcFirstLastPara="1" vertOverflow="ellipsis" vert="horz" wrap="square" lIns="38100" tIns="19050" rIns="38100" bIns="19050" anchor="ctr" anchorCtr="1">
                <a:spAutoFit/>
              </a:bodyPr>
              <a:lstStyle/>
              <a:p>
                <a:pPr>
                  <a:defRPr sz="1000" b="1" i="0" u="none" strike="noStrike" kern="1200" baseline="0">
                    <a:solidFill>
                      <a:srgbClr val="2D3142"/>
                    </a:solidFill>
                    <a:latin typeface="+mn-lt"/>
                    <a:ea typeface="+mn-ea"/>
                    <a:cs typeface="+mn-cs"/>
                  </a:defRPr>
                </a:pPr>
                <a:endParaRPr lang="en-US"/>
              </a:p>
            </c:txPr>
            <c:dLblPos val="ctr"/>
            <c:showLegendKey val="0"/>
            <c:showVal val="0"/>
            <c:showCatName val="0"/>
            <c:showSerName val="0"/>
            <c:showPercent val="0"/>
            <c:showBubbleSize val="0"/>
            <c:showLeaderLines val="0"/>
            <c:extLst>
              <c:ext xmlns:c15="http://schemas.microsoft.com/office/drawing/2012/chart" uri="{CE6537A1-D6FC-4f65-9D91-7224C49458BB}">
                <c15:showDataLabelsRange val="1"/>
                <c15:showLeaderLines val="0"/>
              </c:ext>
            </c:extLst>
          </c:dLbls>
          <c:cat>
            <c:strRef>
              <c:f>Analysis!$AM$13:$AM$18</c:f>
              <c:strCache>
                <c:ptCount val="6"/>
                <c:pt idx="0">
                  <c:v>Food and beverages</c:v>
                </c:pt>
                <c:pt idx="1">
                  <c:v>Sports and travel</c:v>
                </c:pt>
                <c:pt idx="2">
                  <c:v>Electronic accessories</c:v>
                </c:pt>
                <c:pt idx="3">
                  <c:v>Fashion accessories</c:v>
                </c:pt>
                <c:pt idx="4">
                  <c:v>Home and lifestyle</c:v>
                </c:pt>
                <c:pt idx="5">
                  <c:v>Health and beauty</c:v>
                </c:pt>
              </c:strCache>
            </c:strRef>
          </c:cat>
          <c:val>
            <c:numRef>
              <c:f>Analysis!$AN$13:$AN$18</c:f>
              <c:numCache>
                <c:formatCode>"$"#,##0;[Red]"$"#,##0</c:formatCode>
                <c:ptCount val="6"/>
                <c:pt idx="0">
                  <c:v>56144.844000000005</c:v>
                </c:pt>
                <c:pt idx="1">
                  <c:v>55122.826499999996</c:v>
                </c:pt>
                <c:pt idx="2">
                  <c:v>54337.531500000005</c:v>
                </c:pt>
                <c:pt idx="3">
                  <c:v>54305.894999999997</c:v>
                </c:pt>
                <c:pt idx="4">
                  <c:v>53861.913000000008</c:v>
                </c:pt>
                <c:pt idx="5">
                  <c:v>49193.739000000016</c:v>
                </c:pt>
              </c:numCache>
            </c:numRef>
          </c:val>
          <c:extLst>
            <c:ext xmlns:c15="http://schemas.microsoft.com/office/drawing/2012/chart" uri="{02D57815-91ED-43cb-92C2-25804820EDAC}">
              <c15:datalabelsRange>
                <c15:f>Analysis!$AN$13:$AN$18</c15:f>
                <c15:dlblRangeCache>
                  <c:ptCount val="6"/>
                  <c:pt idx="0">
                    <c:v>$56,145</c:v>
                  </c:pt>
                  <c:pt idx="1">
                    <c:v>$55,123</c:v>
                  </c:pt>
                  <c:pt idx="2">
                    <c:v>$54,338</c:v>
                  </c:pt>
                  <c:pt idx="3">
                    <c:v>$54,306</c:v>
                  </c:pt>
                  <c:pt idx="4">
                    <c:v>$53,862</c:v>
                  </c:pt>
                  <c:pt idx="5">
                    <c:v>$49,194</c:v>
                  </c:pt>
                </c15:dlblRangeCache>
              </c15:datalabelsRange>
            </c:ext>
            <c:ext xmlns:c16="http://schemas.microsoft.com/office/drawing/2014/chart" uri="{C3380CC4-5D6E-409C-BE32-E72D297353CC}">
              <c16:uniqueId val="{00000000-161E-4003-884F-7BC9D657574C}"/>
            </c:ext>
          </c:extLst>
        </c:ser>
        <c:ser>
          <c:idx val="1"/>
          <c:order val="1"/>
          <c:tx>
            <c:strRef>
              <c:f>Analysis!$AO$12</c:f>
              <c:strCache>
                <c:ptCount val="1"/>
                <c:pt idx="0">
                  <c:v>max</c:v>
                </c:pt>
              </c:strCache>
            </c:strRef>
          </c:tx>
          <c:spPr>
            <a:solidFill>
              <a:srgbClr val="ADACB5"/>
            </a:solidFill>
            <a:ln>
              <a:noFill/>
            </a:ln>
            <a:effectLst/>
          </c:spPr>
          <c:invertIfNegative val="0"/>
          <c:dLbls>
            <c:dLbl>
              <c:idx val="0"/>
              <c:spPr>
                <a:noFill/>
                <a:ln>
                  <a:noFill/>
                </a:ln>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8-161E-4003-884F-7BC9D657574C}"/>
                </c:ext>
              </c:extLst>
            </c:dLbl>
            <c:dLbl>
              <c:idx val="1"/>
              <c:delete val="1"/>
              <c:extLst>
                <c:ext xmlns:c15="http://schemas.microsoft.com/office/drawing/2012/chart" uri="{CE6537A1-D6FC-4f65-9D91-7224C49458BB}"/>
                <c:ext xmlns:c16="http://schemas.microsoft.com/office/drawing/2014/chart" uri="{C3380CC4-5D6E-409C-BE32-E72D297353CC}">
                  <c16:uniqueId val="{00000003-161E-4003-884F-7BC9D657574C}"/>
                </c:ext>
              </c:extLst>
            </c:dLbl>
            <c:dLbl>
              <c:idx val="2"/>
              <c:delete val="1"/>
              <c:extLst>
                <c:ext xmlns:c15="http://schemas.microsoft.com/office/drawing/2012/chart" uri="{CE6537A1-D6FC-4f65-9D91-7224C49458BB}"/>
                <c:ext xmlns:c16="http://schemas.microsoft.com/office/drawing/2014/chart" uri="{C3380CC4-5D6E-409C-BE32-E72D297353CC}">
                  <c16:uniqueId val="{00000004-161E-4003-884F-7BC9D657574C}"/>
                </c:ext>
              </c:extLst>
            </c:dLbl>
            <c:dLbl>
              <c:idx val="3"/>
              <c:delete val="1"/>
              <c:extLst>
                <c:ext xmlns:c15="http://schemas.microsoft.com/office/drawing/2012/chart" uri="{CE6537A1-D6FC-4f65-9D91-7224C49458BB}"/>
                <c:ext xmlns:c16="http://schemas.microsoft.com/office/drawing/2014/chart" uri="{C3380CC4-5D6E-409C-BE32-E72D297353CC}">
                  <c16:uniqueId val="{00000005-161E-4003-884F-7BC9D657574C}"/>
                </c:ext>
              </c:extLst>
            </c:dLbl>
            <c:dLbl>
              <c:idx val="4"/>
              <c:delete val="1"/>
              <c:extLst>
                <c:ext xmlns:c15="http://schemas.microsoft.com/office/drawing/2012/chart" uri="{CE6537A1-D6FC-4f65-9D91-7224C49458BB}"/>
                <c:ext xmlns:c16="http://schemas.microsoft.com/office/drawing/2014/chart" uri="{C3380CC4-5D6E-409C-BE32-E72D297353CC}">
                  <c16:uniqueId val="{00000006-161E-4003-884F-7BC9D657574C}"/>
                </c:ext>
              </c:extLst>
            </c:dLbl>
            <c:dLbl>
              <c:idx val="5"/>
              <c:delete val="1"/>
              <c:extLst>
                <c:ext xmlns:c15="http://schemas.microsoft.com/office/drawing/2012/chart" uri="{CE6537A1-D6FC-4f65-9D91-7224C49458BB}"/>
                <c:ext xmlns:c16="http://schemas.microsoft.com/office/drawing/2014/chart" uri="{C3380CC4-5D6E-409C-BE32-E72D297353CC}">
                  <c16:uniqueId val="{00000007-161E-4003-884F-7BC9D657574C}"/>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val>
            <c:numRef>
              <c:f>Analysis!$AO$13:$AO$18</c:f>
              <c:numCache>
                <c:formatCode>"$"#,##0;[Red]"$"#,##0</c:formatCode>
                <c:ptCount val="6"/>
                <c:pt idx="0">
                  <c:v>56144.844000000005</c:v>
                </c:pt>
                <c:pt idx="1">
                  <c:v>0</c:v>
                </c:pt>
                <c:pt idx="2">
                  <c:v>0</c:v>
                </c:pt>
                <c:pt idx="3">
                  <c:v>0</c:v>
                </c:pt>
                <c:pt idx="4">
                  <c:v>0</c:v>
                </c:pt>
                <c:pt idx="5">
                  <c:v>0</c:v>
                </c:pt>
              </c:numCache>
            </c:numRef>
          </c:val>
          <c:extLst>
            <c:ext xmlns:c16="http://schemas.microsoft.com/office/drawing/2014/chart" uri="{C3380CC4-5D6E-409C-BE32-E72D297353CC}">
              <c16:uniqueId val="{00000001-161E-4003-884F-7BC9D657574C}"/>
            </c:ext>
          </c:extLst>
        </c:ser>
        <c:dLbls>
          <c:showLegendKey val="0"/>
          <c:showVal val="1"/>
          <c:showCatName val="0"/>
          <c:showSerName val="0"/>
          <c:showPercent val="0"/>
          <c:showBubbleSize val="0"/>
        </c:dLbls>
        <c:gapWidth val="32"/>
        <c:overlap val="100"/>
        <c:axId val="803287504"/>
        <c:axId val="803277904"/>
      </c:barChart>
      <c:catAx>
        <c:axId val="803287504"/>
        <c:scaling>
          <c:orientation val="maxMin"/>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050" b="1" i="0" u="none" strike="noStrike" kern="1200" baseline="0">
                <a:solidFill>
                  <a:srgbClr val="EAE8FF"/>
                </a:solidFill>
                <a:latin typeface="+mn-lt"/>
                <a:ea typeface="+mn-ea"/>
                <a:cs typeface="+mn-cs"/>
              </a:defRPr>
            </a:pPr>
            <a:endParaRPr lang="en-US"/>
          </a:p>
        </c:txPr>
        <c:crossAx val="803277904"/>
        <c:crosses val="autoZero"/>
        <c:auto val="1"/>
        <c:lblAlgn val="ctr"/>
        <c:lblOffset val="100"/>
        <c:noMultiLvlLbl val="0"/>
      </c:catAx>
      <c:valAx>
        <c:axId val="803277904"/>
        <c:scaling>
          <c:orientation val="minMax"/>
        </c:scaling>
        <c:delete val="1"/>
        <c:axPos val="t"/>
        <c:numFmt formatCode="&quot;$&quot;#,##0;[Red]&quot;$&quot;#,##0" sourceLinked="1"/>
        <c:majorTickMark val="none"/>
        <c:minorTickMark val="none"/>
        <c:tickLblPos val="nextTo"/>
        <c:crossAx val="803287504"/>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3.8225713947980196E-2"/>
          <c:y val="0.51476410876050438"/>
          <c:w val="0.80539636535573722"/>
          <c:h val="0.42563162601459514"/>
        </c:manualLayout>
      </c:layout>
      <c:barChart>
        <c:barDir val="bar"/>
        <c:grouping val="clustered"/>
        <c:varyColors val="0"/>
        <c:ser>
          <c:idx val="0"/>
          <c:order val="0"/>
          <c:tx>
            <c:strRef>
              <c:f>Analysis!$AH$9</c:f>
              <c:strCache>
                <c:ptCount val="1"/>
                <c:pt idx="0">
                  <c:v>Member</c:v>
                </c:pt>
              </c:strCache>
            </c:strRef>
          </c:tx>
          <c:spPr>
            <a:solidFill>
              <a:srgbClr val="ADACB5"/>
            </a:solidFill>
            <a:ln>
              <a:noFill/>
            </a:ln>
            <a:effectLst/>
          </c:spPr>
          <c:invertIfNegative val="0"/>
          <c:dLbls>
            <c:dLbl>
              <c:idx val="0"/>
              <c:layout>
                <c:manualLayout>
                  <c:x val="-0.24513696133757712"/>
                  <c:y val="-2.0753372999244815E-3"/>
                </c:manualLayout>
              </c:layout>
              <c:dLblPos val="outEnd"/>
              <c:showLegendKey val="0"/>
              <c:showVal val="1"/>
              <c:showCatName val="0"/>
              <c:showSerName val="1"/>
              <c:showPercent val="0"/>
              <c:showBubbleSize val="0"/>
              <c:separator> </c:separator>
              <c:extLst>
                <c:ext xmlns:c15="http://schemas.microsoft.com/office/drawing/2012/chart" uri="{CE6537A1-D6FC-4f65-9D91-7224C49458BB}">
                  <c15:layout>
                    <c:manualLayout>
                      <c:w val="0.2093195538057743"/>
                      <c:h val="0.15714677640603564"/>
                    </c:manualLayout>
                  </c15:layout>
                </c:ext>
                <c:ext xmlns:c16="http://schemas.microsoft.com/office/drawing/2014/chart" uri="{C3380CC4-5D6E-409C-BE32-E72D297353CC}">
                  <c16:uniqueId val="{00000000-402F-4670-B613-9C4D1908E399}"/>
                </c:ext>
              </c:extLst>
            </c:dLbl>
            <c:spPr>
              <a:noFill/>
              <a:ln>
                <a:noFill/>
              </a:ln>
              <a:effectLst/>
            </c:spPr>
            <c:txPr>
              <a:bodyPr rot="0" spcFirstLastPara="1" vertOverflow="ellipsis" vert="horz" wrap="square" lIns="38100" tIns="19050" rIns="38100" bIns="19050" anchor="ctr" anchorCtr="1">
                <a:spAutoFit/>
              </a:bodyPr>
              <a:lstStyle/>
              <a:p>
                <a:pPr>
                  <a:defRPr sz="1050" b="1"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eparator> </c:separator>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Analysis!$AI$8</c:f>
              <c:strCache>
                <c:ptCount val="1"/>
                <c:pt idx="0">
                  <c:v>Sum of Revenue</c:v>
                </c:pt>
              </c:strCache>
            </c:strRef>
          </c:cat>
          <c:val>
            <c:numRef>
              <c:f>Analysis!$AI$9</c:f>
              <c:numCache>
                <c:formatCode>"$"#,##0;[Red]"$"#,##0</c:formatCode>
                <c:ptCount val="1"/>
                <c:pt idx="0">
                  <c:v>164223.44400000002</c:v>
                </c:pt>
              </c:numCache>
            </c:numRef>
          </c:val>
          <c:extLst>
            <c:ext xmlns:c16="http://schemas.microsoft.com/office/drawing/2014/chart" uri="{C3380CC4-5D6E-409C-BE32-E72D297353CC}">
              <c16:uniqueId val="{00000001-402F-4670-B613-9C4D1908E399}"/>
            </c:ext>
          </c:extLst>
        </c:ser>
        <c:ser>
          <c:idx val="1"/>
          <c:order val="1"/>
          <c:tx>
            <c:strRef>
              <c:f>Analysis!$AH$10</c:f>
              <c:strCache>
                <c:ptCount val="1"/>
                <c:pt idx="0">
                  <c:v>Normal</c:v>
                </c:pt>
              </c:strCache>
            </c:strRef>
          </c:tx>
          <c:spPr>
            <a:solidFill>
              <a:srgbClr val="D8D5DB"/>
            </a:solidFill>
            <a:ln>
              <a:noFill/>
            </a:ln>
            <a:effectLst/>
          </c:spPr>
          <c:invertIfNegative val="0"/>
          <c:dLbls>
            <c:dLbl>
              <c:idx val="0"/>
              <c:layout>
                <c:manualLayout>
                  <c:x val="-0.22361126008589705"/>
                  <c:y val="2.6460236319450262E-3"/>
                </c:manualLayout>
              </c:layout>
              <c:spPr>
                <a:noFill/>
                <a:ln>
                  <a:noFill/>
                </a:ln>
                <a:effectLst/>
              </c:spPr>
              <c:txPr>
                <a:bodyPr rot="0" spcFirstLastPara="1" vertOverflow="ellipsis" vert="horz" wrap="square" lIns="38100" tIns="19050" rIns="38100" bIns="19050" anchor="ctr" anchorCtr="1">
                  <a:noAutofit/>
                </a:bodyPr>
                <a:lstStyle/>
                <a:p>
                  <a:pPr>
                    <a:defRPr sz="1050" b="1" i="0" u="none" strike="noStrike" kern="1200" baseline="0">
                      <a:solidFill>
                        <a:srgbClr val="2D3142"/>
                      </a:solidFill>
                      <a:latin typeface="+mn-lt"/>
                      <a:ea typeface="+mn-ea"/>
                      <a:cs typeface="+mn-cs"/>
                    </a:defRPr>
                  </a:pPr>
                  <a:endParaRPr lang="en-US"/>
                </a:p>
              </c:txPr>
              <c:showLegendKey val="0"/>
              <c:showVal val="1"/>
              <c:showCatName val="0"/>
              <c:showSerName val="1"/>
              <c:showPercent val="0"/>
              <c:showBubbleSize val="0"/>
              <c:separator> </c:separator>
              <c:extLst>
                <c:ext xmlns:c15="http://schemas.microsoft.com/office/drawing/2012/chart" uri="{CE6537A1-D6FC-4f65-9D91-7224C49458BB}">
                  <c15:layout>
                    <c:manualLayout>
                      <c:w val="0.17931955380577425"/>
                      <c:h val="0.166527764276379"/>
                    </c:manualLayout>
                  </c15:layout>
                </c:ext>
                <c:ext xmlns:c16="http://schemas.microsoft.com/office/drawing/2014/chart" uri="{C3380CC4-5D6E-409C-BE32-E72D297353CC}">
                  <c16:uniqueId val="{00000002-402F-4670-B613-9C4D1908E399}"/>
                </c:ext>
              </c:extLst>
            </c:dLbl>
            <c:spPr>
              <a:noFill/>
              <a:ln>
                <a:noFill/>
              </a:ln>
              <a:effectLst/>
            </c:spPr>
            <c:txPr>
              <a:bodyPr rot="0" spcFirstLastPara="1" vertOverflow="ellipsis" vert="horz" wrap="square" lIns="38100" tIns="19050" rIns="38100" bIns="19050" anchor="ctr" anchorCtr="1">
                <a:spAutoFit/>
              </a:bodyPr>
              <a:lstStyle/>
              <a:p>
                <a:pPr>
                  <a:defRPr sz="1050" b="0" i="0" u="none" strike="noStrike" kern="1200" baseline="0">
                    <a:solidFill>
                      <a:srgbClr val="2D3142"/>
                    </a:solidFill>
                    <a:latin typeface="+mn-lt"/>
                    <a:ea typeface="+mn-ea"/>
                    <a:cs typeface="+mn-cs"/>
                  </a:defRPr>
                </a:pPr>
                <a:endParaRPr lang="en-US"/>
              </a:p>
            </c:txPr>
            <c:showLegendKey val="0"/>
            <c:showVal val="1"/>
            <c:showCatName val="0"/>
            <c:showSerName val="0"/>
            <c:showPercent val="0"/>
            <c:showBubbleSize val="0"/>
            <c:separator> </c:separator>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Analysis!$AI$8</c:f>
              <c:strCache>
                <c:ptCount val="1"/>
                <c:pt idx="0">
                  <c:v>Sum of Revenue</c:v>
                </c:pt>
              </c:strCache>
            </c:strRef>
          </c:cat>
          <c:val>
            <c:numRef>
              <c:f>Analysis!$AI$10</c:f>
              <c:numCache>
                <c:formatCode>"$"#,##0;[Red]"$"#,##0</c:formatCode>
                <c:ptCount val="1"/>
                <c:pt idx="0">
                  <c:v>158743.30500000005</c:v>
                </c:pt>
              </c:numCache>
            </c:numRef>
          </c:val>
          <c:extLst>
            <c:ext xmlns:c16="http://schemas.microsoft.com/office/drawing/2014/chart" uri="{C3380CC4-5D6E-409C-BE32-E72D297353CC}">
              <c16:uniqueId val="{00000003-402F-4670-B613-9C4D1908E399}"/>
            </c:ext>
          </c:extLst>
        </c:ser>
        <c:dLbls>
          <c:showLegendKey val="0"/>
          <c:showVal val="1"/>
          <c:showCatName val="0"/>
          <c:showSerName val="0"/>
          <c:showPercent val="0"/>
          <c:showBubbleSize val="0"/>
        </c:dLbls>
        <c:gapWidth val="173"/>
        <c:axId val="768828256"/>
        <c:axId val="768826336"/>
      </c:barChart>
      <c:catAx>
        <c:axId val="768828256"/>
        <c:scaling>
          <c:orientation val="minMax"/>
        </c:scaling>
        <c:delete val="1"/>
        <c:axPos val="l"/>
        <c:numFmt formatCode="General" sourceLinked="1"/>
        <c:majorTickMark val="none"/>
        <c:minorTickMark val="none"/>
        <c:tickLblPos val="nextTo"/>
        <c:crossAx val="768826336"/>
        <c:crosses val="autoZero"/>
        <c:auto val="1"/>
        <c:lblAlgn val="ctr"/>
        <c:lblOffset val="100"/>
        <c:noMultiLvlLbl val="0"/>
      </c:catAx>
      <c:valAx>
        <c:axId val="768826336"/>
        <c:scaling>
          <c:orientation val="minMax"/>
        </c:scaling>
        <c:delete val="1"/>
        <c:axPos val="b"/>
        <c:numFmt formatCode="&quot;$&quot;#,##0;[Red]&quot;$&quot;#,##0" sourceLinked="1"/>
        <c:majorTickMark val="none"/>
        <c:minorTickMark val="none"/>
        <c:tickLblPos val="nextTo"/>
        <c:crossAx val="768828256"/>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
          <c:y val="0"/>
          <c:w val="1"/>
          <c:h val="1"/>
        </c:manualLayout>
      </c:layout>
      <c:barChart>
        <c:barDir val="bar"/>
        <c:grouping val="clustered"/>
        <c:varyColors val="0"/>
        <c:ser>
          <c:idx val="0"/>
          <c:order val="0"/>
          <c:tx>
            <c:strRef>
              <c:f>Analysis!$AH$22</c:f>
              <c:strCache>
                <c:ptCount val="1"/>
                <c:pt idx="0">
                  <c:v>Female</c:v>
                </c:pt>
              </c:strCache>
            </c:strRef>
          </c:tx>
          <c:spPr>
            <a:solidFill>
              <a:srgbClr val="D8D5DB"/>
            </a:solidFill>
            <a:ln>
              <a:noFill/>
            </a:ln>
            <a:effectLst/>
          </c:spPr>
          <c:invertIfNegative val="0"/>
          <c:dPt>
            <c:idx val="0"/>
            <c:invertIfNegative val="0"/>
            <c:bubble3D val="0"/>
            <c:spPr>
              <a:solidFill>
                <a:srgbClr val="ADACB5"/>
              </a:solidFill>
              <a:ln>
                <a:noFill/>
              </a:ln>
              <a:effectLst/>
            </c:spPr>
            <c:extLst>
              <c:ext xmlns:c16="http://schemas.microsoft.com/office/drawing/2014/chart" uri="{C3380CC4-5D6E-409C-BE32-E72D297353CC}">
                <c16:uniqueId val="{00000001-4FC9-4DEB-9979-AB608C2E4163}"/>
              </c:ext>
            </c:extLst>
          </c:dPt>
          <c:cat>
            <c:strRef>
              <c:f>Analysis!$AI$21</c:f>
              <c:strCache>
                <c:ptCount val="1"/>
                <c:pt idx="0">
                  <c:v>Sum of Revenue</c:v>
                </c:pt>
              </c:strCache>
            </c:strRef>
          </c:cat>
          <c:val>
            <c:numRef>
              <c:f>Analysis!$AI$22</c:f>
              <c:numCache>
                <c:formatCode>"$"#,##0;[Red]"$"#,##0</c:formatCode>
                <c:ptCount val="1"/>
                <c:pt idx="0">
                  <c:v>167882.92500000002</c:v>
                </c:pt>
              </c:numCache>
            </c:numRef>
          </c:val>
          <c:extLst>
            <c:ext xmlns:c16="http://schemas.microsoft.com/office/drawing/2014/chart" uri="{C3380CC4-5D6E-409C-BE32-E72D297353CC}">
              <c16:uniqueId val="{00000002-4FC9-4DEB-9979-AB608C2E4163}"/>
            </c:ext>
          </c:extLst>
        </c:ser>
        <c:ser>
          <c:idx val="1"/>
          <c:order val="1"/>
          <c:tx>
            <c:strRef>
              <c:f>Analysis!$AH$23</c:f>
              <c:strCache>
                <c:ptCount val="1"/>
                <c:pt idx="0">
                  <c:v>Male</c:v>
                </c:pt>
              </c:strCache>
            </c:strRef>
          </c:tx>
          <c:spPr>
            <a:solidFill>
              <a:srgbClr val="D8D5DB"/>
            </a:solidFill>
            <a:ln>
              <a:noFill/>
            </a:ln>
            <a:effectLst/>
          </c:spPr>
          <c:invertIfNegative val="0"/>
          <c:cat>
            <c:strRef>
              <c:f>Analysis!$AI$21</c:f>
              <c:strCache>
                <c:ptCount val="1"/>
                <c:pt idx="0">
                  <c:v>Sum of Revenue</c:v>
                </c:pt>
              </c:strCache>
            </c:strRef>
          </c:cat>
          <c:val>
            <c:numRef>
              <c:f>Analysis!$AI$23</c:f>
              <c:numCache>
                <c:formatCode>"$"#,##0;[Red]"$"#,##0</c:formatCode>
                <c:ptCount val="1"/>
                <c:pt idx="0">
                  <c:v>155083.82400000014</c:v>
                </c:pt>
              </c:numCache>
            </c:numRef>
          </c:val>
          <c:extLst>
            <c:ext xmlns:c16="http://schemas.microsoft.com/office/drawing/2014/chart" uri="{C3380CC4-5D6E-409C-BE32-E72D297353CC}">
              <c16:uniqueId val="{00000004-4FC9-4DEB-9979-AB608C2E4163}"/>
            </c:ext>
          </c:extLst>
        </c:ser>
        <c:dLbls>
          <c:showLegendKey val="0"/>
          <c:showVal val="0"/>
          <c:showCatName val="0"/>
          <c:showSerName val="0"/>
          <c:showPercent val="0"/>
          <c:showBubbleSize val="0"/>
        </c:dLbls>
        <c:gapWidth val="182"/>
        <c:overlap val="1"/>
        <c:axId val="947624512"/>
        <c:axId val="947621152"/>
      </c:barChart>
      <c:catAx>
        <c:axId val="947624512"/>
        <c:scaling>
          <c:orientation val="minMax"/>
        </c:scaling>
        <c:delete val="1"/>
        <c:axPos val="l"/>
        <c:numFmt formatCode="General" sourceLinked="1"/>
        <c:majorTickMark val="none"/>
        <c:minorTickMark val="none"/>
        <c:tickLblPos val="nextTo"/>
        <c:crossAx val="947621152"/>
        <c:crosses val="autoZero"/>
        <c:auto val="1"/>
        <c:lblAlgn val="ctr"/>
        <c:lblOffset val="100"/>
        <c:noMultiLvlLbl val="0"/>
      </c:catAx>
      <c:valAx>
        <c:axId val="947621152"/>
        <c:scaling>
          <c:orientation val="minMax"/>
        </c:scaling>
        <c:delete val="1"/>
        <c:axPos val="b"/>
        <c:numFmt formatCode="&quot;$&quot;#,##0;[Red]&quot;$&quot;#,##0" sourceLinked="1"/>
        <c:majorTickMark val="none"/>
        <c:minorTickMark val="none"/>
        <c:tickLblPos val="nextTo"/>
        <c:crossAx val="947624512"/>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8" Type="http://schemas.openxmlformats.org/officeDocument/2006/relationships/chart" Target="../charts/chart4.xml"/><Relationship Id="rId13" Type="http://schemas.openxmlformats.org/officeDocument/2006/relationships/image" Target="../media/image7.png"/><Relationship Id="rId18" Type="http://schemas.openxmlformats.org/officeDocument/2006/relationships/image" Target="../media/image11.png"/><Relationship Id="rId3" Type="http://schemas.openxmlformats.org/officeDocument/2006/relationships/image" Target="../media/image3.png"/><Relationship Id="rId7" Type="http://schemas.openxmlformats.org/officeDocument/2006/relationships/chart" Target="../charts/chart3.xml"/><Relationship Id="rId12" Type="http://schemas.openxmlformats.org/officeDocument/2006/relationships/image" Target="../media/image6.png"/><Relationship Id="rId17" Type="http://schemas.openxmlformats.org/officeDocument/2006/relationships/image" Target="../media/image10.png"/><Relationship Id="rId2" Type="http://schemas.openxmlformats.org/officeDocument/2006/relationships/image" Target="../media/image2.png"/><Relationship Id="rId16" Type="http://schemas.openxmlformats.org/officeDocument/2006/relationships/image" Target="../media/image9.png"/><Relationship Id="rId1" Type="http://schemas.openxmlformats.org/officeDocument/2006/relationships/image" Target="../media/image1.png"/><Relationship Id="rId6" Type="http://schemas.openxmlformats.org/officeDocument/2006/relationships/image" Target="../media/image4.emf"/><Relationship Id="rId11" Type="http://schemas.openxmlformats.org/officeDocument/2006/relationships/chart" Target="../charts/chart6.xml"/><Relationship Id="rId5" Type="http://schemas.openxmlformats.org/officeDocument/2006/relationships/chart" Target="../charts/chart2.xml"/><Relationship Id="rId15" Type="http://schemas.openxmlformats.org/officeDocument/2006/relationships/image" Target="../media/image8.png"/><Relationship Id="rId10" Type="http://schemas.openxmlformats.org/officeDocument/2006/relationships/chart" Target="../charts/chart5.xml"/><Relationship Id="rId4" Type="http://schemas.openxmlformats.org/officeDocument/2006/relationships/chart" Target="../charts/chart1.xml"/><Relationship Id="rId9" Type="http://schemas.openxmlformats.org/officeDocument/2006/relationships/image" Target="../media/image5.png"/><Relationship Id="rId14" Type="http://schemas.openxmlformats.org/officeDocument/2006/relationships/chart" Target="../charts/chart7.xml"/></Relationships>
</file>

<file path=xl/drawings/_rels/vmlDrawing1.vml.rels><?xml version="1.0" encoding="UTF-8" standalone="yes"?>
<Relationships xmlns="http://schemas.openxmlformats.org/package/2006/relationships"><Relationship Id="rId1" Type="http://schemas.openxmlformats.org/officeDocument/2006/relationships/image" Target="../media/image12.emf"/></Relationships>
</file>

<file path=xl/drawings/drawing1.xml><?xml version="1.0" encoding="utf-8"?>
<xdr:wsDr xmlns:xdr="http://schemas.openxmlformats.org/drawingml/2006/spreadsheetDrawing" xmlns:a="http://schemas.openxmlformats.org/drawingml/2006/main">
  <xdr:twoCellAnchor>
    <xdr:from>
      <xdr:col>0</xdr:col>
      <xdr:colOff>0</xdr:colOff>
      <xdr:row>0</xdr:row>
      <xdr:rowOff>0</xdr:rowOff>
    </xdr:from>
    <xdr:to>
      <xdr:col>24</xdr:col>
      <xdr:colOff>314325</xdr:colOff>
      <xdr:row>1</xdr:row>
      <xdr:rowOff>85725</xdr:rowOff>
    </xdr:to>
    <xdr:sp macro="" textlink="">
      <xdr:nvSpPr>
        <xdr:cNvPr id="2" name="Rectangle 1">
          <a:extLst>
            <a:ext uri="{FF2B5EF4-FFF2-40B4-BE49-F238E27FC236}">
              <a16:creationId xmlns:a16="http://schemas.microsoft.com/office/drawing/2014/main" id="{6B238D89-1167-B22F-DDE8-2CF00F806494}"/>
            </a:ext>
          </a:extLst>
        </xdr:cNvPr>
        <xdr:cNvSpPr/>
      </xdr:nvSpPr>
      <xdr:spPr>
        <a:xfrm>
          <a:off x="0" y="0"/>
          <a:ext cx="14944725" cy="276225"/>
        </a:xfrm>
        <a:prstGeom prst="rect">
          <a:avLst/>
        </a:prstGeom>
        <a:solidFill>
          <a:srgbClr val="2D3142"/>
        </a:solidFill>
        <a:ln>
          <a:noFill/>
        </a:ln>
        <a:effectLst>
          <a:outerShdw blurRad="50800" dist="38100" dir="5400000" algn="t"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0</xdr:col>
      <xdr:colOff>25918</xdr:colOff>
      <xdr:row>40</xdr:row>
      <xdr:rowOff>144427</xdr:rowOff>
    </xdr:from>
    <xdr:to>
      <xdr:col>24</xdr:col>
      <xdr:colOff>340243</xdr:colOff>
      <xdr:row>42</xdr:row>
      <xdr:rowOff>41449</xdr:rowOff>
    </xdr:to>
    <xdr:sp macro="" textlink="">
      <xdr:nvSpPr>
        <xdr:cNvPr id="4" name="Rectangle 3">
          <a:extLst>
            <a:ext uri="{FF2B5EF4-FFF2-40B4-BE49-F238E27FC236}">
              <a16:creationId xmlns:a16="http://schemas.microsoft.com/office/drawing/2014/main" id="{7228755C-2D47-2EDA-96BB-2F2A34B849EF}"/>
            </a:ext>
          </a:extLst>
        </xdr:cNvPr>
        <xdr:cNvSpPr/>
      </xdr:nvSpPr>
      <xdr:spPr>
        <a:xfrm>
          <a:off x="25918" y="7764427"/>
          <a:ext cx="14992851" cy="278022"/>
        </a:xfrm>
        <a:prstGeom prst="rect">
          <a:avLst/>
        </a:prstGeom>
        <a:solidFill>
          <a:srgbClr val="2D3142"/>
        </a:solidFill>
        <a:ln>
          <a:noFill/>
        </a:ln>
        <a:effectLst>
          <a:outerShdw blurRad="50800" dist="38100" dir="16200000"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marL="0" indent="0" algn="l"/>
          <a:endParaRPr lang="en-US" sz="1100">
            <a:solidFill>
              <a:schemeClr val="lt1"/>
            </a:solidFill>
            <a:latin typeface="+mn-lt"/>
            <a:ea typeface="+mn-ea"/>
            <a:cs typeface="+mn-cs"/>
          </a:endParaRPr>
        </a:p>
      </xdr:txBody>
    </xdr:sp>
    <xdr:clientData/>
  </xdr:twoCellAnchor>
  <xdr:twoCellAnchor>
    <xdr:from>
      <xdr:col>0</xdr:col>
      <xdr:colOff>1</xdr:colOff>
      <xdr:row>1</xdr:row>
      <xdr:rowOff>66674</xdr:rowOff>
    </xdr:from>
    <xdr:to>
      <xdr:col>0</xdr:col>
      <xdr:colOff>170447</xdr:colOff>
      <xdr:row>42</xdr:row>
      <xdr:rowOff>10026</xdr:rowOff>
    </xdr:to>
    <xdr:sp macro="" textlink="">
      <xdr:nvSpPr>
        <xdr:cNvPr id="5" name="Rectangle 4">
          <a:extLst>
            <a:ext uri="{FF2B5EF4-FFF2-40B4-BE49-F238E27FC236}">
              <a16:creationId xmlns:a16="http://schemas.microsoft.com/office/drawing/2014/main" id="{09880485-6409-7C58-7B69-E2BAFA7B8A0F}"/>
            </a:ext>
          </a:extLst>
        </xdr:cNvPr>
        <xdr:cNvSpPr/>
      </xdr:nvSpPr>
      <xdr:spPr>
        <a:xfrm>
          <a:off x="1" y="257174"/>
          <a:ext cx="170446" cy="7753852"/>
        </a:xfrm>
        <a:prstGeom prst="rect">
          <a:avLst/>
        </a:prstGeom>
        <a:solidFill>
          <a:srgbClr val="2D3142"/>
        </a:solidFill>
        <a:ln>
          <a:noFill/>
        </a:ln>
        <a:effectLst>
          <a:outerShdw blurRad="50800" dist="38100" dir="5400000" algn="t"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24</xdr:col>
      <xdr:colOff>214450</xdr:colOff>
      <xdr:row>0</xdr:row>
      <xdr:rowOff>0</xdr:rowOff>
    </xdr:from>
    <xdr:to>
      <xdr:col>24</xdr:col>
      <xdr:colOff>501996</xdr:colOff>
      <xdr:row>42</xdr:row>
      <xdr:rowOff>32107</xdr:rowOff>
    </xdr:to>
    <xdr:sp macro="" textlink="">
      <xdr:nvSpPr>
        <xdr:cNvPr id="6" name="Rectangle 5">
          <a:extLst>
            <a:ext uri="{FF2B5EF4-FFF2-40B4-BE49-F238E27FC236}">
              <a16:creationId xmlns:a16="http://schemas.microsoft.com/office/drawing/2014/main" id="{8B6835B7-1B79-01F7-7AD2-87E40AB3F005}"/>
            </a:ext>
          </a:extLst>
        </xdr:cNvPr>
        <xdr:cNvSpPr/>
      </xdr:nvSpPr>
      <xdr:spPr>
        <a:xfrm>
          <a:off x="14855124" y="0"/>
          <a:ext cx="287546" cy="8123006"/>
        </a:xfrm>
        <a:prstGeom prst="rect">
          <a:avLst/>
        </a:prstGeom>
        <a:solidFill>
          <a:srgbClr val="2D3142"/>
        </a:solidFill>
        <a:ln>
          <a:noFill/>
        </a:ln>
        <a:effectLst>
          <a:outerShdw blurRad="50800" dist="38100" dir="10800000" algn="r"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0</xdr:col>
      <xdr:colOff>333374</xdr:colOff>
      <xdr:row>3</xdr:row>
      <xdr:rowOff>63143</xdr:rowOff>
    </xdr:from>
    <xdr:to>
      <xdr:col>24</xdr:col>
      <xdr:colOff>0</xdr:colOff>
      <xdr:row>9</xdr:row>
      <xdr:rowOff>15518</xdr:rowOff>
    </xdr:to>
    <xdr:sp macro="" textlink="">
      <xdr:nvSpPr>
        <xdr:cNvPr id="7" name="Rectangle: Rounded Corners 6">
          <a:extLst>
            <a:ext uri="{FF2B5EF4-FFF2-40B4-BE49-F238E27FC236}">
              <a16:creationId xmlns:a16="http://schemas.microsoft.com/office/drawing/2014/main" id="{3C6FBDA5-C5DD-E335-B8F4-06CD8FDB3992}"/>
            </a:ext>
          </a:extLst>
        </xdr:cNvPr>
        <xdr:cNvSpPr/>
      </xdr:nvSpPr>
      <xdr:spPr>
        <a:xfrm>
          <a:off x="333374" y="641064"/>
          <a:ext cx="14307300" cy="1108218"/>
        </a:xfrm>
        <a:prstGeom prst="roundRect">
          <a:avLst>
            <a:gd name="adj" fmla="val 5060"/>
          </a:avLst>
        </a:prstGeom>
        <a:solidFill>
          <a:srgbClr val="ADACB5"/>
        </a:solidFill>
        <a:ln>
          <a:noFill/>
        </a:ln>
        <a:effectLst>
          <a:outerShdw blurRad="63500" sx="102000" sy="102000" algn="ctr" rotWithShape="0">
            <a:prstClr val="black">
              <a:alpha val="9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xdr:col>
      <xdr:colOff>354886</xdr:colOff>
      <xdr:row>5</xdr:row>
      <xdr:rowOff>103597</xdr:rowOff>
    </xdr:from>
    <xdr:to>
      <xdr:col>4</xdr:col>
      <xdr:colOff>392986</xdr:colOff>
      <xdr:row>9</xdr:row>
      <xdr:rowOff>17872</xdr:rowOff>
    </xdr:to>
    <xdr:sp macro="" textlink="Analysis!A3">
      <xdr:nvSpPr>
        <xdr:cNvPr id="8" name="TextBox 7">
          <a:extLst>
            <a:ext uri="{FF2B5EF4-FFF2-40B4-BE49-F238E27FC236}">
              <a16:creationId xmlns:a16="http://schemas.microsoft.com/office/drawing/2014/main" id="{6E1A08AA-CD2C-5C9A-3540-E0E90DDF0C41}"/>
            </a:ext>
          </a:extLst>
        </xdr:cNvPr>
        <xdr:cNvSpPr txBox="1"/>
      </xdr:nvSpPr>
      <xdr:spPr>
        <a:xfrm>
          <a:off x="964914" y="1066799"/>
          <a:ext cx="1868184" cy="68483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27CE37C5-B770-45DB-BE40-E0E9F8F2E3E7}" type="TxLink">
            <a:rPr lang="en-US" sz="2400" b="0" i="0" u="none" strike="noStrike">
              <a:solidFill>
                <a:srgbClr val="D8D5DB"/>
              </a:solidFill>
              <a:latin typeface="Segoe UI Black" panose="020B0A02040204020203" pitchFamily="34" charset="0"/>
              <a:ea typeface="Segoe UI Black" panose="020B0A02040204020203" pitchFamily="34" charset="0"/>
              <a:cs typeface="Calibri"/>
            </a:rPr>
            <a:pPr algn="ctr"/>
            <a:t>$322,967</a:t>
          </a:fld>
          <a:endParaRPr lang="en-US" sz="4800" b="1">
            <a:solidFill>
              <a:srgbClr val="D8D5DB"/>
            </a:solidFill>
            <a:latin typeface="Segoe UI Black" panose="020B0A02040204020203" pitchFamily="34" charset="0"/>
            <a:ea typeface="Segoe UI Black" panose="020B0A02040204020203" pitchFamily="34" charset="0"/>
          </a:endParaRPr>
        </a:p>
      </xdr:txBody>
    </xdr:sp>
    <xdr:clientData/>
  </xdr:twoCellAnchor>
  <xdr:twoCellAnchor>
    <xdr:from>
      <xdr:col>1</xdr:col>
      <xdr:colOff>284573</xdr:colOff>
      <xdr:row>3</xdr:row>
      <xdr:rowOff>48801</xdr:rowOff>
    </xdr:from>
    <xdr:to>
      <xdr:col>4</xdr:col>
      <xdr:colOff>589373</xdr:colOff>
      <xdr:row>6</xdr:row>
      <xdr:rowOff>153576</xdr:rowOff>
    </xdr:to>
    <xdr:sp macro="" textlink="Analysis!A4">
      <xdr:nvSpPr>
        <xdr:cNvPr id="9" name="TextBox 8">
          <a:extLst>
            <a:ext uri="{FF2B5EF4-FFF2-40B4-BE49-F238E27FC236}">
              <a16:creationId xmlns:a16="http://schemas.microsoft.com/office/drawing/2014/main" id="{980D2770-3FD0-ABAA-58E2-5CFB6A022F69}"/>
            </a:ext>
          </a:extLst>
        </xdr:cNvPr>
        <xdr:cNvSpPr txBox="1"/>
      </xdr:nvSpPr>
      <xdr:spPr>
        <a:xfrm>
          <a:off x="894601" y="626722"/>
          <a:ext cx="2134884" cy="68269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800" b="1">
              <a:solidFill>
                <a:srgbClr val="D8D5DB"/>
              </a:solidFill>
              <a:latin typeface="Segoe UI Black" panose="020B0A02040204020203" pitchFamily="34" charset="0"/>
              <a:ea typeface="Segoe UI Black" panose="020B0A02040204020203" pitchFamily="34" charset="0"/>
            </a:rPr>
            <a:t>TOTAL</a:t>
          </a:r>
          <a:r>
            <a:rPr lang="en-US" sz="1800" b="1" baseline="0">
              <a:solidFill>
                <a:srgbClr val="D8D5DB"/>
              </a:solidFill>
              <a:latin typeface="Segoe UI Black" panose="020B0A02040204020203" pitchFamily="34" charset="0"/>
              <a:ea typeface="Segoe UI Black" panose="020B0A02040204020203" pitchFamily="34" charset="0"/>
            </a:rPr>
            <a:t> REVENUE</a:t>
          </a:r>
          <a:endParaRPr lang="en-US" sz="2400" b="1">
            <a:solidFill>
              <a:srgbClr val="D8D5DB"/>
            </a:solidFill>
            <a:latin typeface="Segoe UI Black" panose="020B0A02040204020203" pitchFamily="34" charset="0"/>
            <a:ea typeface="Segoe UI Black" panose="020B0A02040204020203" pitchFamily="34" charset="0"/>
          </a:endParaRPr>
        </a:p>
      </xdr:txBody>
    </xdr:sp>
    <xdr:clientData/>
  </xdr:twoCellAnchor>
  <xdr:twoCellAnchor>
    <xdr:from>
      <xdr:col>0</xdr:col>
      <xdr:colOff>428625</xdr:colOff>
      <xdr:row>3</xdr:row>
      <xdr:rowOff>180975</xdr:rowOff>
    </xdr:from>
    <xdr:to>
      <xdr:col>1</xdr:col>
      <xdr:colOff>390525</xdr:colOff>
      <xdr:row>6</xdr:row>
      <xdr:rowOff>180975</xdr:rowOff>
    </xdr:to>
    <xdr:sp macro="" textlink="">
      <xdr:nvSpPr>
        <xdr:cNvPr id="10" name="Oval 9">
          <a:extLst>
            <a:ext uri="{FF2B5EF4-FFF2-40B4-BE49-F238E27FC236}">
              <a16:creationId xmlns:a16="http://schemas.microsoft.com/office/drawing/2014/main" id="{0F17CC18-EADF-74EA-272E-75C8365A31FD}"/>
            </a:ext>
          </a:extLst>
        </xdr:cNvPr>
        <xdr:cNvSpPr/>
      </xdr:nvSpPr>
      <xdr:spPr>
        <a:xfrm>
          <a:off x="428625" y="752475"/>
          <a:ext cx="571500" cy="571500"/>
        </a:xfrm>
        <a:prstGeom prst="ellipse">
          <a:avLst/>
        </a:prstGeom>
        <a:solidFill>
          <a:schemeClr val="bg1"/>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oneCell">
    <xdr:from>
      <xdr:col>0</xdr:col>
      <xdr:colOff>504824</xdr:colOff>
      <xdr:row>4</xdr:row>
      <xdr:rowOff>66674</xdr:rowOff>
    </xdr:from>
    <xdr:to>
      <xdr:col>1</xdr:col>
      <xdr:colOff>294663</xdr:colOff>
      <xdr:row>6</xdr:row>
      <xdr:rowOff>85113</xdr:rowOff>
    </xdr:to>
    <xdr:pic>
      <xdr:nvPicPr>
        <xdr:cNvPr id="12" name="Picture 11">
          <a:extLst>
            <a:ext uri="{FF2B5EF4-FFF2-40B4-BE49-F238E27FC236}">
              <a16:creationId xmlns:a16="http://schemas.microsoft.com/office/drawing/2014/main" id="{B416227A-5CE2-3AFC-7014-3D215CA64314}"/>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504824" y="828674"/>
          <a:ext cx="399439" cy="399439"/>
        </a:xfrm>
        <a:prstGeom prst="rect">
          <a:avLst/>
        </a:prstGeom>
      </xdr:spPr>
    </xdr:pic>
    <xdr:clientData/>
  </xdr:twoCellAnchor>
  <xdr:twoCellAnchor>
    <xdr:from>
      <xdr:col>5</xdr:col>
      <xdr:colOff>95250</xdr:colOff>
      <xdr:row>3</xdr:row>
      <xdr:rowOff>104775</xdr:rowOff>
    </xdr:from>
    <xdr:to>
      <xdr:col>5</xdr:col>
      <xdr:colOff>95250</xdr:colOff>
      <xdr:row>9</xdr:row>
      <xdr:rowOff>28575</xdr:rowOff>
    </xdr:to>
    <xdr:cxnSp macro="">
      <xdr:nvCxnSpPr>
        <xdr:cNvPr id="14" name="Straight Connector 13">
          <a:extLst>
            <a:ext uri="{FF2B5EF4-FFF2-40B4-BE49-F238E27FC236}">
              <a16:creationId xmlns:a16="http://schemas.microsoft.com/office/drawing/2014/main" id="{33E1AD90-7992-0611-8F2D-4F1235B0D886}"/>
            </a:ext>
          </a:extLst>
        </xdr:cNvPr>
        <xdr:cNvCxnSpPr/>
      </xdr:nvCxnSpPr>
      <xdr:spPr>
        <a:xfrm>
          <a:off x="3143250" y="676275"/>
          <a:ext cx="0" cy="1066800"/>
        </a:xfrm>
        <a:prstGeom prst="line">
          <a:avLst/>
        </a:prstGeom>
        <a:ln w="38100">
          <a:solidFill>
            <a:srgbClr val="D8D5DB"/>
          </a:solidFill>
        </a:ln>
      </xdr:spPr>
      <xdr:style>
        <a:lnRef idx="1">
          <a:schemeClr val="dk1"/>
        </a:lnRef>
        <a:fillRef idx="0">
          <a:schemeClr val="dk1"/>
        </a:fillRef>
        <a:effectRef idx="0">
          <a:schemeClr val="dk1"/>
        </a:effectRef>
        <a:fontRef idx="minor">
          <a:schemeClr val="tx1"/>
        </a:fontRef>
      </xdr:style>
    </xdr:cxnSp>
    <xdr:clientData/>
  </xdr:twoCellAnchor>
  <xdr:twoCellAnchor>
    <xdr:from>
      <xdr:col>5</xdr:col>
      <xdr:colOff>594728</xdr:colOff>
      <xdr:row>3</xdr:row>
      <xdr:rowOff>57149</xdr:rowOff>
    </xdr:from>
    <xdr:to>
      <xdr:col>9</xdr:col>
      <xdr:colOff>289499</xdr:colOff>
      <xdr:row>6</xdr:row>
      <xdr:rowOff>161924</xdr:rowOff>
    </xdr:to>
    <xdr:sp macro="" textlink="Analysis!A4">
      <xdr:nvSpPr>
        <xdr:cNvPr id="15" name="TextBox 14">
          <a:extLst>
            <a:ext uri="{FF2B5EF4-FFF2-40B4-BE49-F238E27FC236}">
              <a16:creationId xmlns:a16="http://schemas.microsoft.com/office/drawing/2014/main" id="{C7C2F96B-228B-A1C4-1EB3-224FAB830BE0}"/>
            </a:ext>
          </a:extLst>
        </xdr:cNvPr>
        <xdr:cNvSpPr txBox="1"/>
      </xdr:nvSpPr>
      <xdr:spPr>
        <a:xfrm>
          <a:off x="3644868" y="635070"/>
          <a:ext cx="2134884" cy="68269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800" b="1">
              <a:solidFill>
                <a:srgbClr val="D8D5DB"/>
              </a:solidFill>
              <a:latin typeface="Segoe UI Black" panose="020B0A02040204020203" pitchFamily="34" charset="0"/>
              <a:ea typeface="Segoe UI Black" panose="020B0A02040204020203" pitchFamily="34" charset="0"/>
            </a:rPr>
            <a:t>TOTAL</a:t>
          </a:r>
          <a:r>
            <a:rPr lang="en-US" sz="1800" b="1" baseline="0">
              <a:solidFill>
                <a:srgbClr val="D8D5DB"/>
              </a:solidFill>
              <a:latin typeface="Segoe UI Black" panose="020B0A02040204020203" pitchFamily="34" charset="0"/>
              <a:ea typeface="Segoe UI Black" panose="020B0A02040204020203" pitchFamily="34" charset="0"/>
            </a:rPr>
            <a:t> ORDER</a:t>
          </a:r>
          <a:endParaRPr lang="en-US" sz="2400" b="1">
            <a:solidFill>
              <a:srgbClr val="D8D5DB"/>
            </a:solidFill>
            <a:latin typeface="Segoe UI Black" panose="020B0A02040204020203" pitchFamily="34" charset="0"/>
            <a:ea typeface="Segoe UI Black" panose="020B0A02040204020203" pitchFamily="34" charset="0"/>
          </a:endParaRPr>
        </a:p>
      </xdr:txBody>
    </xdr:sp>
    <xdr:clientData/>
  </xdr:twoCellAnchor>
  <xdr:twoCellAnchor>
    <xdr:from>
      <xdr:col>5</xdr:col>
      <xdr:colOff>594835</xdr:colOff>
      <xdr:row>5</xdr:row>
      <xdr:rowOff>66674</xdr:rowOff>
    </xdr:from>
    <xdr:to>
      <xdr:col>9</xdr:col>
      <xdr:colOff>22906</xdr:colOff>
      <xdr:row>8</xdr:row>
      <xdr:rowOff>171449</xdr:rowOff>
    </xdr:to>
    <xdr:sp macro="" textlink="Analysis!B3">
      <xdr:nvSpPr>
        <xdr:cNvPr id="16" name="TextBox 15">
          <a:extLst>
            <a:ext uri="{FF2B5EF4-FFF2-40B4-BE49-F238E27FC236}">
              <a16:creationId xmlns:a16="http://schemas.microsoft.com/office/drawing/2014/main" id="{BD81DA64-9D72-5780-407D-F08DE220B4D7}"/>
            </a:ext>
          </a:extLst>
        </xdr:cNvPr>
        <xdr:cNvSpPr txBox="1"/>
      </xdr:nvSpPr>
      <xdr:spPr>
        <a:xfrm>
          <a:off x="3644975" y="1029876"/>
          <a:ext cx="1868184" cy="68269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fld id="{C5EBC05B-A254-4CAC-B664-DC67C6719AA8}" type="TxLink">
            <a:rPr lang="en-US" sz="2400" b="0" i="0" u="none" strike="noStrike">
              <a:solidFill>
                <a:srgbClr val="D8D5DB"/>
              </a:solidFill>
              <a:latin typeface="Segoe UI Black" panose="020B0A02040204020203" pitchFamily="34" charset="0"/>
              <a:ea typeface="Segoe UI Black" panose="020B0A02040204020203" pitchFamily="34" charset="0"/>
              <a:cs typeface="Calibri"/>
            </a:rPr>
            <a:pPr marL="0" indent="0" algn="ctr"/>
            <a:t> 5,510 </a:t>
          </a:fld>
          <a:endParaRPr lang="en-US" sz="2400" b="0" i="0" u="none" strike="noStrike">
            <a:solidFill>
              <a:srgbClr val="D8D5DB"/>
            </a:solidFill>
            <a:latin typeface="Segoe UI Black" panose="020B0A02040204020203" pitchFamily="34" charset="0"/>
            <a:ea typeface="Segoe UI Black" panose="020B0A02040204020203" pitchFamily="34" charset="0"/>
            <a:cs typeface="Calibri"/>
          </a:endParaRPr>
        </a:p>
      </xdr:txBody>
    </xdr:sp>
    <xdr:clientData/>
  </xdr:twoCellAnchor>
  <xdr:twoCellAnchor>
    <xdr:from>
      <xdr:col>5</xdr:col>
      <xdr:colOff>247650</xdr:colOff>
      <xdr:row>3</xdr:row>
      <xdr:rowOff>180975</xdr:rowOff>
    </xdr:from>
    <xdr:to>
      <xdr:col>6</xdr:col>
      <xdr:colOff>209550</xdr:colOff>
      <xdr:row>6</xdr:row>
      <xdr:rowOff>180975</xdr:rowOff>
    </xdr:to>
    <xdr:sp macro="" textlink="">
      <xdr:nvSpPr>
        <xdr:cNvPr id="17" name="Oval 16">
          <a:extLst>
            <a:ext uri="{FF2B5EF4-FFF2-40B4-BE49-F238E27FC236}">
              <a16:creationId xmlns:a16="http://schemas.microsoft.com/office/drawing/2014/main" id="{3317781D-A1C3-BA67-FEAA-2AD8CB3CAF69}"/>
            </a:ext>
          </a:extLst>
        </xdr:cNvPr>
        <xdr:cNvSpPr/>
      </xdr:nvSpPr>
      <xdr:spPr>
        <a:xfrm>
          <a:off x="3295650" y="752475"/>
          <a:ext cx="571500" cy="571500"/>
        </a:xfrm>
        <a:prstGeom prst="ellipse">
          <a:avLst/>
        </a:prstGeom>
        <a:solidFill>
          <a:schemeClr val="bg1"/>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9</xdr:col>
      <xdr:colOff>133786</xdr:colOff>
      <xdr:row>3</xdr:row>
      <xdr:rowOff>85725</xdr:rowOff>
    </xdr:from>
    <xdr:to>
      <xdr:col>9</xdr:col>
      <xdr:colOff>133786</xdr:colOff>
      <xdr:row>9</xdr:row>
      <xdr:rowOff>57150</xdr:rowOff>
    </xdr:to>
    <xdr:cxnSp macro="">
      <xdr:nvCxnSpPr>
        <xdr:cNvPr id="18" name="Straight Connector 17">
          <a:extLst>
            <a:ext uri="{FF2B5EF4-FFF2-40B4-BE49-F238E27FC236}">
              <a16:creationId xmlns:a16="http://schemas.microsoft.com/office/drawing/2014/main" id="{28EBD24C-F01E-10F1-F2A3-DCD9C62FA5AE}"/>
            </a:ext>
          </a:extLst>
        </xdr:cNvPr>
        <xdr:cNvCxnSpPr/>
      </xdr:nvCxnSpPr>
      <xdr:spPr>
        <a:xfrm>
          <a:off x="5624039" y="663646"/>
          <a:ext cx="0" cy="1127268"/>
        </a:xfrm>
        <a:prstGeom prst="line">
          <a:avLst/>
        </a:prstGeom>
        <a:ln w="38100">
          <a:solidFill>
            <a:srgbClr val="D8D5DB"/>
          </a:solidFill>
        </a:ln>
      </xdr:spPr>
      <xdr:style>
        <a:lnRef idx="1">
          <a:schemeClr val="dk1"/>
        </a:lnRef>
        <a:fillRef idx="0">
          <a:schemeClr val="dk1"/>
        </a:fillRef>
        <a:effectRef idx="0">
          <a:schemeClr val="dk1"/>
        </a:effectRef>
        <a:fontRef idx="minor">
          <a:schemeClr val="tx1"/>
        </a:fontRef>
      </xdr:style>
    </xdr:cxnSp>
    <xdr:clientData/>
  </xdr:twoCellAnchor>
  <xdr:twoCellAnchor editAs="oneCell">
    <xdr:from>
      <xdr:col>5</xdr:col>
      <xdr:colOff>342900</xdr:colOff>
      <xdr:row>4</xdr:row>
      <xdr:rowOff>38100</xdr:rowOff>
    </xdr:from>
    <xdr:to>
      <xdr:col>6</xdr:col>
      <xdr:colOff>162606</xdr:colOff>
      <xdr:row>6</xdr:row>
      <xdr:rowOff>86406</xdr:rowOff>
    </xdr:to>
    <xdr:pic>
      <xdr:nvPicPr>
        <xdr:cNvPr id="21" name="Picture 20">
          <a:extLst>
            <a:ext uri="{FF2B5EF4-FFF2-40B4-BE49-F238E27FC236}">
              <a16:creationId xmlns:a16="http://schemas.microsoft.com/office/drawing/2014/main" id="{BC5BF66F-9543-38C3-785A-B8DB736202A3}"/>
            </a:ext>
          </a:extLst>
        </xdr:cNvPr>
        <xdr:cNvPicPr>
          <a:picLocks noChangeAspect="1"/>
        </xdr:cNvPicPr>
      </xdr:nvPicPr>
      <xdr:blipFill>
        <a:blip xmlns:r="http://schemas.openxmlformats.org/officeDocument/2006/relationships" r:embed="rId2" cstate="print">
          <a:grayscl/>
          <a:extLst>
            <a:ext uri="{28A0092B-C50C-407E-A947-70E740481C1C}">
              <a14:useLocalDpi xmlns:a14="http://schemas.microsoft.com/office/drawing/2010/main" val="0"/>
            </a:ext>
          </a:extLst>
        </a:blip>
        <a:stretch>
          <a:fillRect/>
        </a:stretch>
      </xdr:blipFill>
      <xdr:spPr>
        <a:xfrm>
          <a:off x="3390900" y="800100"/>
          <a:ext cx="429306" cy="429306"/>
        </a:xfrm>
        <a:prstGeom prst="rect">
          <a:avLst/>
        </a:prstGeom>
      </xdr:spPr>
    </xdr:pic>
    <xdr:clientData/>
  </xdr:twoCellAnchor>
  <xdr:twoCellAnchor>
    <xdr:from>
      <xdr:col>18</xdr:col>
      <xdr:colOff>48273</xdr:colOff>
      <xdr:row>3</xdr:row>
      <xdr:rowOff>64214</xdr:rowOff>
    </xdr:from>
    <xdr:to>
      <xdr:col>20</xdr:col>
      <xdr:colOff>96327</xdr:colOff>
      <xdr:row>7</xdr:row>
      <xdr:rowOff>53511</xdr:rowOff>
    </xdr:to>
    <xdr:sp macro="" textlink="Analysis!A4">
      <xdr:nvSpPr>
        <xdr:cNvPr id="22" name="TextBox 21">
          <a:extLst>
            <a:ext uri="{FF2B5EF4-FFF2-40B4-BE49-F238E27FC236}">
              <a16:creationId xmlns:a16="http://schemas.microsoft.com/office/drawing/2014/main" id="{A567706E-B5B6-0BD5-DDC8-9A6A29A07698}"/>
            </a:ext>
          </a:extLst>
        </xdr:cNvPr>
        <xdr:cNvSpPr txBox="1"/>
      </xdr:nvSpPr>
      <xdr:spPr>
        <a:xfrm>
          <a:off x="11028779" y="642135"/>
          <a:ext cx="1268110" cy="75985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US" sz="1600" b="1">
              <a:solidFill>
                <a:srgbClr val="D8D5DB"/>
              </a:solidFill>
              <a:latin typeface="Segoe UI Black" panose="020B0A02040204020203" pitchFamily="34" charset="0"/>
              <a:ea typeface="Segoe UI Black" panose="020B0A02040204020203" pitchFamily="34" charset="0"/>
            </a:rPr>
            <a:t>AVERAGE</a:t>
          </a:r>
          <a:r>
            <a:rPr lang="en-US" sz="1600" b="1" baseline="0">
              <a:solidFill>
                <a:srgbClr val="D8D5DB"/>
              </a:solidFill>
              <a:latin typeface="Segoe UI Black" panose="020B0A02040204020203" pitchFamily="34" charset="0"/>
              <a:ea typeface="Segoe UI Black" panose="020B0A02040204020203" pitchFamily="34" charset="0"/>
            </a:rPr>
            <a:t> RATING</a:t>
          </a:r>
          <a:endParaRPr lang="en-US" sz="1600" b="1">
            <a:solidFill>
              <a:srgbClr val="D8D5DB"/>
            </a:solidFill>
            <a:latin typeface="Segoe UI Black" panose="020B0A02040204020203" pitchFamily="34" charset="0"/>
            <a:ea typeface="Segoe UI Black" panose="020B0A02040204020203" pitchFamily="34" charset="0"/>
          </a:endParaRPr>
        </a:p>
      </xdr:txBody>
    </xdr:sp>
    <xdr:clientData/>
  </xdr:twoCellAnchor>
  <xdr:twoCellAnchor>
    <xdr:from>
      <xdr:col>18</xdr:col>
      <xdr:colOff>246155</xdr:colOff>
      <xdr:row>5</xdr:row>
      <xdr:rowOff>105953</xdr:rowOff>
    </xdr:from>
    <xdr:to>
      <xdr:col>19</xdr:col>
      <xdr:colOff>342475</xdr:colOff>
      <xdr:row>9</xdr:row>
      <xdr:rowOff>20228</xdr:rowOff>
    </xdr:to>
    <xdr:sp macro="" textlink="Analysis!C3">
      <xdr:nvSpPr>
        <xdr:cNvPr id="23" name="TextBox 22">
          <a:extLst>
            <a:ext uri="{FF2B5EF4-FFF2-40B4-BE49-F238E27FC236}">
              <a16:creationId xmlns:a16="http://schemas.microsoft.com/office/drawing/2014/main" id="{6511890F-FFB2-D378-9214-EE5C0EEE6F7D}"/>
            </a:ext>
          </a:extLst>
        </xdr:cNvPr>
        <xdr:cNvSpPr txBox="1"/>
      </xdr:nvSpPr>
      <xdr:spPr>
        <a:xfrm>
          <a:off x="11226661" y="1069155"/>
          <a:ext cx="706348" cy="68483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fld id="{A5978EA3-E14A-4AD9-9C04-0F1FEFD38487}" type="TxLink">
            <a:rPr lang="en-US" sz="2400" b="0" i="0" u="none" strike="noStrike">
              <a:solidFill>
                <a:srgbClr val="D8D5DB"/>
              </a:solidFill>
              <a:latin typeface="Segoe UI Black" panose="020B0A02040204020203" pitchFamily="34" charset="0"/>
              <a:ea typeface="Segoe UI Black" panose="020B0A02040204020203" pitchFamily="34" charset="0"/>
              <a:cs typeface="Calibri"/>
            </a:rPr>
            <a:pPr marL="0" indent="0" algn="ctr"/>
            <a:t>7</a:t>
          </a:fld>
          <a:endParaRPr lang="en-US" sz="2400" b="0" i="0" u="none" strike="noStrike">
            <a:solidFill>
              <a:srgbClr val="D8D5DB"/>
            </a:solidFill>
            <a:latin typeface="Segoe UI Black" panose="020B0A02040204020203" pitchFamily="34" charset="0"/>
            <a:ea typeface="Segoe UI Black" panose="020B0A02040204020203" pitchFamily="34" charset="0"/>
            <a:cs typeface="Calibri"/>
          </a:endParaRPr>
        </a:p>
      </xdr:txBody>
    </xdr:sp>
    <xdr:clientData/>
  </xdr:twoCellAnchor>
  <xdr:twoCellAnchor>
    <xdr:from>
      <xdr:col>17</xdr:col>
      <xdr:colOff>196283</xdr:colOff>
      <xdr:row>4</xdr:row>
      <xdr:rowOff>0</xdr:rowOff>
    </xdr:from>
    <xdr:to>
      <xdr:col>18</xdr:col>
      <xdr:colOff>158183</xdr:colOff>
      <xdr:row>7</xdr:row>
      <xdr:rowOff>0</xdr:rowOff>
    </xdr:to>
    <xdr:grpSp>
      <xdr:nvGrpSpPr>
        <xdr:cNvPr id="111" name="Group 110">
          <a:extLst>
            <a:ext uri="{FF2B5EF4-FFF2-40B4-BE49-F238E27FC236}">
              <a16:creationId xmlns:a16="http://schemas.microsoft.com/office/drawing/2014/main" id="{860EC998-4CD1-6A4E-0E58-BB0800A49A7F}"/>
            </a:ext>
          </a:extLst>
        </xdr:cNvPr>
        <xdr:cNvGrpSpPr/>
      </xdr:nvGrpSpPr>
      <xdr:grpSpPr>
        <a:xfrm>
          <a:off x="10566761" y="770562"/>
          <a:ext cx="571928" cy="577921"/>
          <a:chOff x="10802206" y="781264"/>
          <a:chExt cx="571928" cy="577921"/>
        </a:xfrm>
      </xdr:grpSpPr>
      <xdr:sp macro="" textlink="">
        <xdr:nvSpPr>
          <xdr:cNvPr id="24" name="Oval 23">
            <a:extLst>
              <a:ext uri="{FF2B5EF4-FFF2-40B4-BE49-F238E27FC236}">
                <a16:creationId xmlns:a16="http://schemas.microsoft.com/office/drawing/2014/main" id="{A3F91904-7C4E-7857-73C6-EE9971831218}"/>
              </a:ext>
            </a:extLst>
          </xdr:cNvPr>
          <xdr:cNvSpPr/>
        </xdr:nvSpPr>
        <xdr:spPr>
          <a:xfrm>
            <a:off x="10802206" y="781264"/>
            <a:ext cx="571928" cy="577921"/>
          </a:xfrm>
          <a:prstGeom prst="ellipse">
            <a:avLst/>
          </a:prstGeom>
          <a:solidFill>
            <a:schemeClr val="bg1"/>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pic>
        <xdr:nvPicPr>
          <xdr:cNvPr id="26" name="Picture 25">
            <a:extLst>
              <a:ext uri="{FF2B5EF4-FFF2-40B4-BE49-F238E27FC236}">
                <a16:creationId xmlns:a16="http://schemas.microsoft.com/office/drawing/2014/main" id="{33CAEDB3-EEA5-DA77-04BF-67062C74D937}"/>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tretch>
            <a:fillRect/>
          </a:stretch>
        </xdr:blipFill>
        <xdr:spPr>
          <a:xfrm>
            <a:off x="10878406" y="800314"/>
            <a:ext cx="429306" cy="433587"/>
          </a:xfrm>
          <a:prstGeom prst="rect">
            <a:avLst/>
          </a:prstGeom>
        </xdr:spPr>
      </xdr:pic>
    </xdr:grpSp>
    <xdr:clientData/>
  </xdr:twoCellAnchor>
  <xdr:twoCellAnchor>
    <xdr:from>
      <xdr:col>0</xdr:col>
      <xdr:colOff>382079</xdr:colOff>
      <xdr:row>10</xdr:row>
      <xdr:rowOff>8626</xdr:rowOff>
    </xdr:from>
    <xdr:to>
      <xdr:col>12</xdr:col>
      <xdr:colOff>201104</xdr:colOff>
      <xdr:row>23</xdr:row>
      <xdr:rowOff>80211</xdr:rowOff>
    </xdr:to>
    <xdr:sp macro="" textlink="">
      <xdr:nvSpPr>
        <xdr:cNvPr id="28" name="Rectangle: Rounded Corners 27">
          <a:extLst>
            <a:ext uri="{FF2B5EF4-FFF2-40B4-BE49-F238E27FC236}">
              <a16:creationId xmlns:a16="http://schemas.microsoft.com/office/drawing/2014/main" id="{B6851E53-FF12-1596-8657-37A45DCEABAC}"/>
            </a:ext>
          </a:extLst>
        </xdr:cNvPr>
        <xdr:cNvSpPr/>
      </xdr:nvSpPr>
      <xdr:spPr>
        <a:xfrm>
          <a:off x="382079" y="1895654"/>
          <a:ext cx="7151478" cy="2524722"/>
        </a:xfrm>
        <a:prstGeom prst="roundRect">
          <a:avLst>
            <a:gd name="adj" fmla="val 5060"/>
          </a:avLst>
        </a:prstGeom>
        <a:solidFill>
          <a:srgbClr val="2D3142">
            <a:alpha val="60000"/>
          </a:srgbClr>
        </a:solidFill>
        <a:ln>
          <a:noFill/>
        </a:ln>
        <a:effectLst>
          <a:outerShdw blurRad="63500" sx="102000" sy="102000" algn="ctr" rotWithShape="0">
            <a:prstClr val="black">
              <a:alpha val="9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0</xdr:col>
      <xdr:colOff>448756</xdr:colOff>
      <xdr:row>10</xdr:row>
      <xdr:rowOff>152187</xdr:rowOff>
    </xdr:from>
    <xdr:to>
      <xdr:col>5</xdr:col>
      <xdr:colOff>124905</xdr:colOff>
      <xdr:row>23</xdr:row>
      <xdr:rowOff>59437</xdr:rowOff>
    </xdr:to>
    <xdr:graphicFrame macro="">
      <xdr:nvGraphicFramePr>
        <xdr:cNvPr id="27" name="Chart 26">
          <a:extLst>
            <a:ext uri="{FF2B5EF4-FFF2-40B4-BE49-F238E27FC236}">
              <a16:creationId xmlns:a16="http://schemas.microsoft.com/office/drawing/2014/main" id="{E35A8DBF-083D-4DD2-B32A-E1DB21522974}"/>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6</xdr:col>
      <xdr:colOff>524954</xdr:colOff>
      <xdr:row>12</xdr:row>
      <xdr:rowOff>175448</xdr:rowOff>
    </xdr:from>
    <xdr:to>
      <xdr:col>11</xdr:col>
      <xdr:colOff>429704</xdr:colOff>
      <xdr:row>22</xdr:row>
      <xdr:rowOff>160850</xdr:rowOff>
    </xdr:to>
    <xdr:graphicFrame macro="">
      <xdr:nvGraphicFramePr>
        <xdr:cNvPr id="29" name="Chart 28">
          <a:extLst>
            <a:ext uri="{FF2B5EF4-FFF2-40B4-BE49-F238E27FC236}">
              <a16:creationId xmlns:a16="http://schemas.microsoft.com/office/drawing/2014/main" id="{0D9643EE-31B1-45DD-A367-80D6921A111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6</xdr:col>
      <xdr:colOff>291592</xdr:colOff>
      <xdr:row>10</xdr:row>
      <xdr:rowOff>8626</xdr:rowOff>
    </xdr:from>
    <xdr:to>
      <xdr:col>6</xdr:col>
      <xdr:colOff>291592</xdr:colOff>
      <xdr:row>23</xdr:row>
      <xdr:rowOff>80211</xdr:rowOff>
    </xdr:to>
    <xdr:cxnSp macro="">
      <xdr:nvCxnSpPr>
        <xdr:cNvPr id="30" name="Straight Connector 29">
          <a:extLst>
            <a:ext uri="{FF2B5EF4-FFF2-40B4-BE49-F238E27FC236}">
              <a16:creationId xmlns:a16="http://schemas.microsoft.com/office/drawing/2014/main" id="{5904CC3B-07D1-79AB-5269-1716D018A87A}"/>
            </a:ext>
          </a:extLst>
        </xdr:cNvPr>
        <xdr:cNvCxnSpPr>
          <a:stCxn id="28" idx="0"/>
          <a:endCxn id="28" idx="2"/>
        </xdr:cNvCxnSpPr>
      </xdr:nvCxnSpPr>
      <xdr:spPr>
        <a:xfrm>
          <a:off x="3957818" y="1895654"/>
          <a:ext cx="0" cy="2524722"/>
        </a:xfrm>
        <a:prstGeom prst="line">
          <a:avLst/>
        </a:prstGeom>
        <a:ln w="38100">
          <a:solidFill>
            <a:srgbClr val="D8D5DB"/>
          </a:solidFill>
        </a:ln>
      </xdr:spPr>
      <xdr:style>
        <a:lnRef idx="1">
          <a:schemeClr val="dk1"/>
        </a:lnRef>
        <a:fillRef idx="0">
          <a:schemeClr val="dk1"/>
        </a:fillRef>
        <a:effectRef idx="0">
          <a:schemeClr val="dk1"/>
        </a:effectRef>
        <a:fontRef idx="minor">
          <a:schemeClr val="tx1"/>
        </a:fontRef>
      </xdr:style>
    </xdr:cxnSp>
    <xdr:clientData/>
  </xdr:twoCellAnchor>
  <xdr:twoCellAnchor>
    <xdr:from>
      <xdr:col>0</xdr:col>
      <xdr:colOff>481094</xdr:colOff>
      <xdr:row>10</xdr:row>
      <xdr:rowOff>10841</xdr:rowOff>
    </xdr:from>
    <xdr:to>
      <xdr:col>6</xdr:col>
      <xdr:colOff>353172</xdr:colOff>
      <xdr:row>12</xdr:row>
      <xdr:rowOff>160533</xdr:rowOff>
    </xdr:to>
    <xdr:sp macro="" textlink="Analysis!A4">
      <xdr:nvSpPr>
        <xdr:cNvPr id="34" name="TextBox 33">
          <a:extLst>
            <a:ext uri="{FF2B5EF4-FFF2-40B4-BE49-F238E27FC236}">
              <a16:creationId xmlns:a16="http://schemas.microsoft.com/office/drawing/2014/main" id="{0537A1C1-189A-0BBA-CE18-C99FFE1FF074}"/>
            </a:ext>
          </a:extLst>
        </xdr:cNvPr>
        <xdr:cNvSpPr txBox="1"/>
      </xdr:nvSpPr>
      <xdr:spPr>
        <a:xfrm>
          <a:off x="481094" y="1937245"/>
          <a:ext cx="3532247" cy="53497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l"/>
          <a:r>
            <a:rPr lang="en-US" sz="1200" b="1">
              <a:solidFill>
                <a:srgbClr val="D8D5DB"/>
              </a:solidFill>
              <a:latin typeface="Segoe UI Black" panose="020B0A02040204020203" pitchFamily="34" charset="0"/>
              <a:ea typeface="Segoe UI Black" panose="020B0A02040204020203" pitchFamily="34" charset="0"/>
            </a:rPr>
            <a:t>TOTAL</a:t>
          </a:r>
          <a:r>
            <a:rPr lang="en-US" sz="1200" b="1" baseline="0">
              <a:solidFill>
                <a:srgbClr val="D8D5DB"/>
              </a:solidFill>
              <a:latin typeface="Segoe UI Black" panose="020B0A02040204020203" pitchFamily="34" charset="0"/>
              <a:ea typeface="Segoe UI Black" panose="020B0A02040204020203" pitchFamily="34" charset="0"/>
            </a:rPr>
            <a:t> QUANTITY ORDERED vs WEEK</a:t>
          </a:r>
        </a:p>
        <a:p>
          <a:pPr algn="l"/>
          <a:r>
            <a:rPr lang="en-US" sz="1200" b="1" baseline="0">
              <a:solidFill>
                <a:srgbClr val="D8D5DB"/>
              </a:solidFill>
              <a:latin typeface="Segoe UI Black" panose="020B0A02040204020203" pitchFamily="34" charset="0"/>
              <a:ea typeface="Segoe UI Black" panose="020B0A02040204020203" pitchFamily="34" charset="0"/>
            </a:rPr>
            <a:t>DAYS</a:t>
          </a:r>
          <a:endParaRPr lang="en-US" sz="2400" b="1">
            <a:solidFill>
              <a:srgbClr val="D8D5DB"/>
            </a:solidFill>
            <a:latin typeface="Segoe UI Black" panose="020B0A02040204020203" pitchFamily="34" charset="0"/>
            <a:ea typeface="Segoe UI Black" panose="020B0A02040204020203" pitchFamily="34" charset="0"/>
          </a:endParaRPr>
        </a:p>
      </xdr:txBody>
    </xdr:sp>
    <xdr:clientData/>
  </xdr:twoCellAnchor>
  <xdr:twoCellAnchor>
    <xdr:from>
      <xdr:col>6</xdr:col>
      <xdr:colOff>389566</xdr:colOff>
      <xdr:row>10</xdr:row>
      <xdr:rowOff>38197</xdr:rowOff>
    </xdr:from>
    <xdr:to>
      <xdr:col>11</xdr:col>
      <xdr:colOff>445098</xdr:colOff>
      <xdr:row>12</xdr:row>
      <xdr:rowOff>181939</xdr:rowOff>
    </xdr:to>
    <xdr:sp macro="" textlink="Analysis!A4">
      <xdr:nvSpPr>
        <xdr:cNvPr id="35" name="TextBox 34">
          <a:extLst>
            <a:ext uri="{FF2B5EF4-FFF2-40B4-BE49-F238E27FC236}">
              <a16:creationId xmlns:a16="http://schemas.microsoft.com/office/drawing/2014/main" id="{157184A9-8C5E-E43C-870E-CE69FDCBE4BC}"/>
            </a:ext>
          </a:extLst>
        </xdr:cNvPr>
        <xdr:cNvSpPr txBox="1"/>
      </xdr:nvSpPr>
      <xdr:spPr>
        <a:xfrm>
          <a:off x="4049735" y="1964601"/>
          <a:ext cx="3105672" cy="52902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r>
            <a:rPr lang="en-US" sz="1200" b="1">
              <a:solidFill>
                <a:srgbClr val="D8D5DB"/>
              </a:solidFill>
              <a:latin typeface="Segoe UI Black" panose="020B0A02040204020203" pitchFamily="34" charset="0"/>
              <a:ea typeface="Segoe UI Black" panose="020B0A02040204020203" pitchFamily="34" charset="0"/>
            </a:rPr>
            <a:t>TOTAL</a:t>
          </a:r>
          <a:r>
            <a:rPr lang="en-US" sz="1200" b="1" baseline="0">
              <a:solidFill>
                <a:srgbClr val="D8D5DB"/>
              </a:solidFill>
              <a:latin typeface="Segoe UI Black" panose="020B0A02040204020203" pitchFamily="34" charset="0"/>
              <a:ea typeface="Segoe UI Black" panose="020B0A02040204020203" pitchFamily="34" charset="0"/>
            </a:rPr>
            <a:t> QUANTITY ORDERED vs DAYSTIME</a:t>
          </a:r>
          <a:endParaRPr lang="en-US" sz="2400" b="1">
            <a:solidFill>
              <a:srgbClr val="D8D5DB"/>
            </a:solidFill>
            <a:latin typeface="Segoe UI Black" panose="020B0A02040204020203" pitchFamily="34" charset="0"/>
            <a:ea typeface="Segoe UI Black" panose="020B0A02040204020203" pitchFamily="34" charset="0"/>
          </a:endParaRPr>
        </a:p>
      </xdr:txBody>
    </xdr:sp>
    <xdr:clientData/>
  </xdr:twoCellAnchor>
  <xdr:twoCellAnchor>
    <xdr:from>
      <xdr:col>0</xdr:col>
      <xdr:colOff>366867</xdr:colOff>
      <xdr:row>23</xdr:row>
      <xdr:rowOff>177674</xdr:rowOff>
    </xdr:from>
    <xdr:to>
      <xdr:col>8</xdr:col>
      <xdr:colOff>60158</xdr:colOff>
      <xdr:row>40</xdr:row>
      <xdr:rowOff>0</xdr:rowOff>
    </xdr:to>
    <xdr:sp macro="" textlink="">
      <xdr:nvSpPr>
        <xdr:cNvPr id="36" name="Rectangle: Rounded Corners 35">
          <a:extLst>
            <a:ext uri="{FF2B5EF4-FFF2-40B4-BE49-F238E27FC236}">
              <a16:creationId xmlns:a16="http://schemas.microsoft.com/office/drawing/2014/main" id="{2BE3998F-E15F-B965-7679-39050A2713F0}"/>
            </a:ext>
          </a:extLst>
        </xdr:cNvPr>
        <xdr:cNvSpPr/>
      </xdr:nvSpPr>
      <xdr:spPr>
        <a:xfrm>
          <a:off x="366867" y="4559174"/>
          <a:ext cx="4586133" cy="3060826"/>
        </a:xfrm>
        <a:prstGeom prst="roundRect">
          <a:avLst>
            <a:gd name="adj" fmla="val 5060"/>
          </a:avLst>
        </a:prstGeom>
        <a:solidFill>
          <a:srgbClr val="2D3142">
            <a:alpha val="60000"/>
          </a:srgbClr>
        </a:solidFill>
        <a:ln>
          <a:noFill/>
        </a:ln>
        <a:effectLst>
          <a:outerShdw blurRad="63500" sx="102000" sy="102000" algn="ctr" rotWithShape="0">
            <a:prstClr val="black">
              <a:alpha val="9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mc:AlternateContent xmlns:mc="http://schemas.openxmlformats.org/markup-compatibility/2006">
    <mc:Choice xmlns:a14="http://schemas.microsoft.com/office/drawing/2010/main" Requires="a14">
      <xdr:twoCellAnchor editAs="oneCell">
        <xdr:from>
          <xdr:col>0</xdr:col>
          <xdr:colOff>506138</xdr:colOff>
          <xdr:row>26</xdr:row>
          <xdr:rowOff>160421</xdr:rowOff>
        </xdr:from>
        <xdr:to>
          <xdr:col>7</xdr:col>
          <xdr:colOff>431131</xdr:colOff>
          <xdr:row>39</xdr:row>
          <xdr:rowOff>42932</xdr:rowOff>
        </xdr:to>
        <xdr:pic>
          <xdr:nvPicPr>
            <xdr:cNvPr id="41" name="Picture 40">
              <a:extLst>
                <a:ext uri="{FF2B5EF4-FFF2-40B4-BE49-F238E27FC236}">
                  <a16:creationId xmlns:a16="http://schemas.microsoft.com/office/drawing/2014/main" id="{CDB8B370-D1A3-731E-E530-503CED04175B}"/>
                </a:ext>
              </a:extLst>
            </xdr:cNvPr>
            <xdr:cNvPicPr>
              <a:picLocks noChangeAspect="1" noChangeArrowheads="1"/>
              <a:extLst>
                <a:ext uri="{84589F7E-364E-4C9E-8A38-B11213B215E9}">
                  <a14:cameraTool cellRange="hitmap!$B$3:$F$10" spid="_x0000_s7252"/>
                </a:ext>
              </a:extLst>
            </xdr:cNvPicPr>
          </xdr:nvPicPr>
          <xdr:blipFill>
            <a:blip xmlns:r="http://schemas.openxmlformats.org/officeDocument/2006/relationships" r:embed="rId6"/>
            <a:srcRect/>
            <a:stretch>
              <a:fillRect/>
            </a:stretch>
          </xdr:blipFill>
          <xdr:spPr bwMode="auto">
            <a:xfrm>
              <a:off x="506138" y="5113421"/>
              <a:ext cx="4206230" cy="2359011"/>
            </a:xfrm>
            <a:prstGeom prst="rect">
              <a:avLst/>
            </a:prstGeom>
            <a:noFill/>
            <a:extLst>
              <a:ext uri="{909E8E84-426E-40DD-AFC4-6F175D3DCCD1}">
                <a14:hiddenFill>
                  <a:solidFill>
                    <a:srgbClr val="FFFFFF"/>
                  </a:solidFill>
                </a14:hiddenFill>
              </a:ext>
            </a:extLst>
          </xdr:spPr>
        </xdr:pic>
        <xdr:clientData/>
      </xdr:twoCellAnchor>
    </mc:Choice>
    <mc:Fallback/>
  </mc:AlternateContent>
  <xdr:twoCellAnchor>
    <xdr:from>
      <xdr:col>12</xdr:col>
      <xdr:colOff>318740</xdr:colOff>
      <xdr:row>9</xdr:row>
      <xdr:rowOff>171236</xdr:rowOff>
    </xdr:from>
    <xdr:to>
      <xdr:col>24</xdr:col>
      <xdr:colOff>53510</xdr:colOff>
      <xdr:row>23</xdr:row>
      <xdr:rowOff>110289</xdr:rowOff>
    </xdr:to>
    <xdr:sp macro="" textlink="">
      <xdr:nvSpPr>
        <xdr:cNvPr id="43" name="Rectangle: Rounded Corners 42">
          <a:extLst>
            <a:ext uri="{FF2B5EF4-FFF2-40B4-BE49-F238E27FC236}">
              <a16:creationId xmlns:a16="http://schemas.microsoft.com/office/drawing/2014/main" id="{A689BD89-AD0B-68C8-8513-0AEA8F946902}"/>
            </a:ext>
          </a:extLst>
        </xdr:cNvPr>
        <xdr:cNvSpPr/>
      </xdr:nvSpPr>
      <xdr:spPr>
        <a:xfrm>
          <a:off x="7639077" y="1905000"/>
          <a:ext cx="7055107" cy="2636019"/>
        </a:xfrm>
        <a:prstGeom prst="roundRect">
          <a:avLst>
            <a:gd name="adj" fmla="val 5060"/>
          </a:avLst>
        </a:prstGeom>
        <a:solidFill>
          <a:srgbClr val="2D3142">
            <a:alpha val="60000"/>
          </a:srgbClr>
        </a:solidFill>
        <a:ln>
          <a:noFill/>
        </a:ln>
        <a:effectLst>
          <a:outerShdw blurRad="63500" sx="102000" sy="102000" algn="ctr" rotWithShape="0">
            <a:prstClr val="black">
              <a:alpha val="9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12</xdr:col>
      <xdr:colOff>380999</xdr:colOff>
      <xdr:row>13</xdr:row>
      <xdr:rowOff>70184</xdr:rowOff>
    </xdr:from>
    <xdr:to>
      <xdr:col>17</xdr:col>
      <xdr:colOff>481264</xdr:colOff>
      <xdr:row>23</xdr:row>
      <xdr:rowOff>96250</xdr:rowOff>
    </xdr:to>
    <xdr:graphicFrame macro="">
      <xdr:nvGraphicFramePr>
        <xdr:cNvPr id="42" name="Chart 41">
          <a:extLst>
            <a:ext uri="{FF2B5EF4-FFF2-40B4-BE49-F238E27FC236}">
              <a16:creationId xmlns:a16="http://schemas.microsoft.com/office/drawing/2014/main" id="{FC68DF2E-41BA-4BC0-A4E9-D953B302CC1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17</xdr:col>
      <xdr:colOff>512851</xdr:colOff>
      <xdr:row>9</xdr:row>
      <xdr:rowOff>171236</xdr:rowOff>
    </xdr:from>
    <xdr:to>
      <xdr:col>17</xdr:col>
      <xdr:colOff>513709</xdr:colOff>
      <xdr:row>23</xdr:row>
      <xdr:rowOff>105093</xdr:rowOff>
    </xdr:to>
    <xdr:cxnSp macro="">
      <xdr:nvCxnSpPr>
        <xdr:cNvPr id="46" name="Straight Connector 45">
          <a:extLst>
            <a:ext uri="{FF2B5EF4-FFF2-40B4-BE49-F238E27FC236}">
              <a16:creationId xmlns:a16="http://schemas.microsoft.com/office/drawing/2014/main" id="{20FD9BEA-20EC-0E6D-71AB-11B730B4113E}"/>
            </a:ext>
          </a:extLst>
        </xdr:cNvPr>
        <xdr:cNvCxnSpPr/>
      </xdr:nvCxnSpPr>
      <xdr:spPr>
        <a:xfrm flipH="1">
          <a:off x="10883329" y="1905000"/>
          <a:ext cx="858" cy="2630823"/>
        </a:xfrm>
        <a:prstGeom prst="line">
          <a:avLst/>
        </a:prstGeom>
        <a:ln w="38100">
          <a:solidFill>
            <a:srgbClr val="D8D5DB"/>
          </a:solidFill>
        </a:ln>
      </xdr:spPr>
      <xdr:style>
        <a:lnRef idx="1">
          <a:schemeClr val="dk1"/>
        </a:lnRef>
        <a:fillRef idx="0">
          <a:schemeClr val="dk1"/>
        </a:fillRef>
        <a:effectRef idx="0">
          <a:schemeClr val="dk1"/>
        </a:effectRef>
        <a:fontRef idx="minor">
          <a:schemeClr val="tx1"/>
        </a:fontRef>
      </xdr:style>
    </xdr:cxnSp>
    <xdr:clientData/>
  </xdr:twoCellAnchor>
  <xdr:twoCellAnchor>
    <xdr:from>
      <xdr:col>12</xdr:col>
      <xdr:colOff>360027</xdr:colOff>
      <xdr:row>10</xdr:row>
      <xdr:rowOff>72871</xdr:rowOff>
    </xdr:from>
    <xdr:to>
      <xdr:col>17</xdr:col>
      <xdr:colOff>415558</xdr:colOff>
      <xdr:row>12</xdr:row>
      <xdr:rowOff>42593</xdr:rowOff>
    </xdr:to>
    <xdr:sp macro="" textlink="Analysis!A4">
      <xdr:nvSpPr>
        <xdr:cNvPr id="47" name="TextBox 46">
          <a:extLst>
            <a:ext uri="{FF2B5EF4-FFF2-40B4-BE49-F238E27FC236}">
              <a16:creationId xmlns:a16="http://schemas.microsoft.com/office/drawing/2014/main" id="{F0B26081-A713-52D8-0018-D1F4A3ECD59A}"/>
            </a:ext>
          </a:extLst>
        </xdr:cNvPr>
        <xdr:cNvSpPr txBox="1"/>
      </xdr:nvSpPr>
      <xdr:spPr>
        <a:xfrm>
          <a:off x="7680364" y="1999275"/>
          <a:ext cx="3105672" cy="35500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r>
            <a:rPr lang="en-US" sz="1200" b="1" baseline="0">
              <a:solidFill>
                <a:srgbClr val="D8D5DB"/>
              </a:solidFill>
              <a:latin typeface="Segoe UI Black" panose="020B0A02040204020203" pitchFamily="34" charset="0"/>
              <a:ea typeface="Segoe UI Black" panose="020B0A02040204020203" pitchFamily="34" charset="0"/>
            </a:rPr>
            <a:t>REVENUE vs DAYS</a:t>
          </a:r>
          <a:endParaRPr lang="en-US" sz="2400" b="1">
            <a:solidFill>
              <a:srgbClr val="D8D5DB"/>
            </a:solidFill>
            <a:latin typeface="Segoe UI Black" panose="020B0A02040204020203" pitchFamily="34" charset="0"/>
            <a:ea typeface="Segoe UI Black" panose="020B0A02040204020203" pitchFamily="34" charset="0"/>
          </a:endParaRPr>
        </a:p>
      </xdr:txBody>
    </xdr:sp>
    <xdr:clientData/>
  </xdr:twoCellAnchor>
  <xdr:twoCellAnchor>
    <xdr:from>
      <xdr:col>18</xdr:col>
      <xdr:colOff>52230</xdr:colOff>
      <xdr:row>10</xdr:row>
      <xdr:rowOff>32630</xdr:rowOff>
    </xdr:from>
    <xdr:to>
      <xdr:col>23</xdr:col>
      <xdr:colOff>107762</xdr:colOff>
      <xdr:row>12</xdr:row>
      <xdr:rowOff>2352</xdr:rowOff>
    </xdr:to>
    <xdr:sp macro="" textlink="Analysis!A4">
      <xdr:nvSpPr>
        <xdr:cNvPr id="48" name="TextBox 47">
          <a:extLst>
            <a:ext uri="{FF2B5EF4-FFF2-40B4-BE49-F238E27FC236}">
              <a16:creationId xmlns:a16="http://schemas.microsoft.com/office/drawing/2014/main" id="{96736AE9-1361-6499-FE63-7666AB0CB3F2}"/>
            </a:ext>
          </a:extLst>
        </xdr:cNvPr>
        <xdr:cNvSpPr txBox="1"/>
      </xdr:nvSpPr>
      <xdr:spPr>
        <a:xfrm>
          <a:off x="11032736" y="1959034"/>
          <a:ext cx="3105672" cy="35500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r>
            <a:rPr lang="en-US" sz="1200" b="1" baseline="0">
              <a:solidFill>
                <a:srgbClr val="D8D5DB"/>
              </a:solidFill>
              <a:latin typeface="Segoe UI Black" panose="020B0A02040204020203" pitchFamily="34" charset="0"/>
              <a:ea typeface="Segoe UI Black" panose="020B0A02040204020203" pitchFamily="34" charset="0"/>
            </a:rPr>
            <a:t>REVENUE vs MONTHS</a:t>
          </a:r>
        </a:p>
        <a:p>
          <a:pPr algn="l"/>
          <a:endParaRPr lang="en-US" sz="2400" b="1">
            <a:solidFill>
              <a:srgbClr val="D8D5DB"/>
            </a:solidFill>
            <a:latin typeface="Segoe UI Black" panose="020B0A02040204020203" pitchFamily="34" charset="0"/>
            <a:ea typeface="Segoe UI Black" panose="020B0A02040204020203" pitchFamily="34" charset="0"/>
          </a:endParaRPr>
        </a:p>
      </xdr:txBody>
    </xdr:sp>
    <xdr:clientData/>
  </xdr:twoCellAnchor>
  <xdr:twoCellAnchor>
    <xdr:from>
      <xdr:col>17</xdr:col>
      <xdr:colOff>492302</xdr:colOff>
      <xdr:row>10</xdr:row>
      <xdr:rowOff>139130</xdr:rowOff>
    </xdr:from>
    <xdr:to>
      <xdr:col>23</xdr:col>
      <xdr:colOff>451183</xdr:colOff>
      <xdr:row>23</xdr:row>
      <xdr:rowOff>138386</xdr:rowOff>
    </xdr:to>
    <xdr:grpSp>
      <xdr:nvGrpSpPr>
        <xdr:cNvPr id="121" name="Group 120">
          <a:extLst>
            <a:ext uri="{FF2B5EF4-FFF2-40B4-BE49-F238E27FC236}">
              <a16:creationId xmlns:a16="http://schemas.microsoft.com/office/drawing/2014/main" id="{1CA85A7C-82E2-964C-22E2-64343123DA56}"/>
            </a:ext>
          </a:extLst>
        </xdr:cNvPr>
        <xdr:cNvGrpSpPr/>
      </xdr:nvGrpSpPr>
      <xdr:grpSpPr>
        <a:xfrm>
          <a:off x="10862780" y="2065534"/>
          <a:ext cx="3619049" cy="2503582"/>
          <a:chOff x="10862780" y="2065534"/>
          <a:chExt cx="3619049" cy="2503582"/>
        </a:xfrm>
      </xdr:grpSpPr>
      <xdr:graphicFrame macro="">
        <xdr:nvGraphicFramePr>
          <xdr:cNvPr id="45" name="Chart 44">
            <a:extLst>
              <a:ext uri="{FF2B5EF4-FFF2-40B4-BE49-F238E27FC236}">
                <a16:creationId xmlns:a16="http://schemas.microsoft.com/office/drawing/2014/main" id="{0F3E7B62-033E-4A9E-8EEF-D9B2094A7A3C}"/>
              </a:ext>
            </a:extLst>
          </xdr:cNvPr>
          <xdr:cNvGraphicFramePr>
            <a:graphicFrameLocks/>
          </xdr:cNvGraphicFramePr>
        </xdr:nvGraphicFramePr>
        <xdr:xfrm>
          <a:off x="10862780" y="2065534"/>
          <a:ext cx="3619049" cy="2503582"/>
        </xdr:xfrm>
        <a:graphic>
          <a:graphicData uri="http://schemas.openxmlformats.org/drawingml/2006/chart">
            <c:chart xmlns:c="http://schemas.openxmlformats.org/drawingml/2006/chart" xmlns:r="http://schemas.openxmlformats.org/officeDocument/2006/relationships" r:id="rId8"/>
          </a:graphicData>
        </a:graphic>
      </xdr:graphicFrame>
      <xdr:sp macro="" textlink="">
        <xdr:nvSpPr>
          <xdr:cNvPr id="50" name="Oval 49">
            <a:extLst>
              <a:ext uri="{FF2B5EF4-FFF2-40B4-BE49-F238E27FC236}">
                <a16:creationId xmlns:a16="http://schemas.microsoft.com/office/drawing/2014/main" id="{F52365D9-590C-E8CC-5608-8CF8525D5EFB}"/>
              </a:ext>
            </a:extLst>
          </xdr:cNvPr>
          <xdr:cNvSpPr/>
        </xdr:nvSpPr>
        <xdr:spPr>
          <a:xfrm>
            <a:off x="11774615" y="3123483"/>
            <a:ext cx="811228" cy="819728"/>
          </a:xfrm>
          <a:prstGeom prst="ellipse">
            <a:avLst/>
          </a:prstGeom>
          <a:solidFill>
            <a:schemeClr val="bg1"/>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pic>
        <xdr:nvPicPr>
          <xdr:cNvPr id="52" name="Picture 51">
            <a:extLst>
              <a:ext uri="{FF2B5EF4-FFF2-40B4-BE49-F238E27FC236}">
                <a16:creationId xmlns:a16="http://schemas.microsoft.com/office/drawing/2014/main" id="{90A36EDD-FEDF-B487-97BD-EDBD9D0EE240}"/>
              </a:ext>
            </a:extLst>
          </xdr:cNvPr>
          <xdr:cNvPicPr>
            <a:picLocks noChangeAspect="1"/>
          </xdr:cNvPicPr>
        </xdr:nvPicPr>
        <xdr:blipFill>
          <a:blip xmlns:r="http://schemas.openxmlformats.org/officeDocument/2006/relationships" r:embed="rId9" cstate="print">
            <a:extLst>
              <a:ext uri="{28A0092B-C50C-407E-A947-70E740481C1C}">
                <a14:useLocalDpi xmlns:a14="http://schemas.microsoft.com/office/drawing/2010/main" val="0"/>
              </a:ext>
            </a:extLst>
          </a:blip>
          <a:stretch>
            <a:fillRect/>
          </a:stretch>
        </xdr:blipFill>
        <xdr:spPr>
          <a:xfrm>
            <a:off x="11900899" y="3229409"/>
            <a:ext cx="663539" cy="663432"/>
          </a:xfrm>
          <a:prstGeom prst="rect">
            <a:avLst/>
          </a:prstGeom>
        </xdr:spPr>
      </xdr:pic>
    </xdr:grpSp>
    <xdr:clientData/>
  </xdr:twoCellAnchor>
  <xdr:twoCellAnchor>
    <xdr:from>
      <xdr:col>8</xdr:col>
      <xdr:colOff>198199</xdr:colOff>
      <xdr:row>23</xdr:row>
      <xdr:rowOff>158838</xdr:rowOff>
    </xdr:from>
    <xdr:to>
      <xdr:col>13</xdr:col>
      <xdr:colOff>256854</xdr:colOff>
      <xdr:row>39</xdr:row>
      <xdr:rowOff>173804</xdr:rowOff>
    </xdr:to>
    <xdr:sp macro="" textlink="">
      <xdr:nvSpPr>
        <xdr:cNvPr id="53" name="Rectangle: Rounded Corners 52">
          <a:extLst>
            <a:ext uri="{FF2B5EF4-FFF2-40B4-BE49-F238E27FC236}">
              <a16:creationId xmlns:a16="http://schemas.microsoft.com/office/drawing/2014/main" id="{AF39DEE6-BCFB-8194-0E4B-36CEC0FE15D3}"/>
            </a:ext>
          </a:extLst>
        </xdr:cNvPr>
        <xdr:cNvSpPr/>
      </xdr:nvSpPr>
      <xdr:spPr>
        <a:xfrm>
          <a:off x="5078424" y="4589568"/>
          <a:ext cx="3108795" cy="3097214"/>
        </a:xfrm>
        <a:prstGeom prst="roundRect">
          <a:avLst>
            <a:gd name="adj" fmla="val 5060"/>
          </a:avLst>
        </a:prstGeom>
        <a:solidFill>
          <a:srgbClr val="2D3142">
            <a:alpha val="60000"/>
          </a:srgbClr>
        </a:solidFill>
        <a:ln>
          <a:noFill/>
        </a:ln>
        <a:effectLst>
          <a:outerShdw blurRad="63500" sx="102000" sy="102000" algn="ctr" rotWithShape="0">
            <a:prstClr val="black">
              <a:alpha val="9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8</xdr:col>
      <xdr:colOff>315924</xdr:colOff>
      <xdr:row>26</xdr:row>
      <xdr:rowOff>85617</xdr:rowOff>
    </xdr:from>
    <xdr:to>
      <xdr:col>12</xdr:col>
      <xdr:colOff>599326</xdr:colOff>
      <xdr:row>39</xdr:row>
      <xdr:rowOff>55238</xdr:rowOff>
    </xdr:to>
    <xdr:graphicFrame macro="">
      <xdr:nvGraphicFramePr>
        <xdr:cNvPr id="54" name="Chart 53">
          <a:extLst>
            <a:ext uri="{FF2B5EF4-FFF2-40B4-BE49-F238E27FC236}">
              <a16:creationId xmlns:a16="http://schemas.microsoft.com/office/drawing/2014/main" id="{D5C9CD32-1E30-4153-87D9-A6E8FA6F86FF}"/>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8</xdr:col>
      <xdr:colOff>365163</xdr:colOff>
      <xdr:row>24</xdr:row>
      <xdr:rowOff>24494</xdr:rowOff>
    </xdr:from>
    <xdr:to>
      <xdr:col>14</xdr:col>
      <xdr:colOff>310364</xdr:colOff>
      <xdr:row>26</xdr:row>
      <xdr:rowOff>32106</xdr:rowOff>
    </xdr:to>
    <xdr:sp macro="" textlink="Analysis!A4">
      <xdr:nvSpPr>
        <xdr:cNvPr id="55" name="TextBox 54">
          <a:extLst>
            <a:ext uri="{FF2B5EF4-FFF2-40B4-BE49-F238E27FC236}">
              <a16:creationId xmlns:a16="http://schemas.microsoft.com/office/drawing/2014/main" id="{63B440CD-441E-C6A2-8764-9E4720E5B19A}"/>
            </a:ext>
          </a:extLst>
        </xdr:cNvPr>
        <xdr:cNvSpPr txBox="1"/>
      </xdr:nvSpPr>
      <xdr:spPr>
        <a:xfrm>
          <a:off x="5245388" y="4647865"/>
          <a:ext cx="3605369" cy="39289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l"/>
          <a:r>
            <a:rPr lang="en-US" sz="1200" b="1" baseline="0">
              <a:solidFill>
                <a:srgbClr val="D8D5DB"/>
              </a:solidFill>
              <a:latin typeface="Segoe UI Black" panose="020B0A02040204020203" pitchFamily="34" charset="0"/>
              <a:ea typeface="Segoe UI Black" panose="020B0A02040204020203" pitchFamily="34" charset="0"/>
            </a:rPr>
            <a:t>REVENUE vs PRODUCT LINE</a:t>
          </a:r>
        </a:p>
        <a:p>
          <a:pPr algn="l"/>
          <a:endParaRPr lang="en-US" sz="1200" b="1" baseline="0">
            <a:solidFill>
              <a:srgbClr val="D8D5DB"/>
            </a:solidFill>
            <a:latin typeface="Segoe UI Black" panose="020B0A02040204020203" pitchFamily="34" charset="0"/>
            <a:ea typeface="Segoe UI Black" panose="020B0A02040204020203" pitchFamily="34" charset="0"/>
          </a:endParaRPr>
        </a:p>
        <a:p>
          <a:pPr algn="l"/>
          <a:endParaRPr lang="en-US" sz="2400" b="1">
            <a:solidFill>
              <a:srgbClr val="D8D5DB"/>
            </a:solidFill>
            <a:latin typeface="Segoe UI Black" panose="020B0A02040204020203" pitchFamily="34" charset="0"/>
            <a:ea typeface="Segoe UI Black" panose="020B0A02040204020203" pitchFamily="34" charset="0"/>
          </a:endParaRPr>
        </a:p>
      </xdr:txBody>
    </xdr:sp>
    <xdr:clientData/>
  </xdr:twoCellAnchor>
  <xdr:twoCellAnchor>
    <xdr:from>
      <xdr:col>0</xdr:col>
      <xdr:colOff>485456</xdr:colOff>
      <xdr:row>24</xdr:row>
      <xdr:rowOff>101978</xdr:rowOff>
    </xdr:from>
    <xdr:to>
      <xdr:col>7</xdr:col>
      <xdr:colOff>417387</xdr:colOff>
      <xdr:row>26</xdr:row>
      <xdr:rowOff>109590</xdr:rowOff>
    </xdr:to>
    <xdr:sp macro="" textlink="Analysis!A4">
      <xdr:nvSpPr>
        <xdr:cNvPr id="56" name="TextBox 55">
          <a:extLst>
            <a:ext uri="{FF2B5EF4-FFF2-40B4-BE49-F238E27FC236}">
              <a16:creationId xmlns:a16="http://schemas.microsoft.com/office/drawing/2014/main" id="{7771D6BF-4F12-9A09-E1FC-AA00C2D4C581}"/>
            </a:ext>
          </a:extLst>
        </xdr:cNvPr>
        <xdr:cNvSpPr txBox="1"/>
      </xdr:nvSpPr>
      <xdr:spPr>
        <a:xfrm>
          <a:off x="485456" y="4725349"/>
          <a:ext cx="4202128" cy="39289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l"/>
          <a:r>
            <a:rPr lang="en-US" sz="1200" b="1" baseline="0">
              <a:solidFill>
                <a:srgbClr val="D8D5DB"/>
              </a:solidFill>
              <a:latin typeface="Segoe UI Black" panose="020B0A02040204020203" pitchFamily="34" charset="0"/>
              <a:ea typeface="Segoe UI Black" panose="020B0A02040204020203" pitchFamily="34" charset="0"/>
            </a:rPr>
            <a:t>WEEK DAYS AND  DAY TIME vs QUANTITY ORDERED</a:t>
          </a:r>
        </a:p>
        <a:p>
          <a:pPr algn="l"/>
          <a:endParaRPr lang="en-US" sz="2400" b="1">
            <a:solidFill>
              <a:srgbClr val="D8D5DB"/>
            </a:solidFill>
            <a:latin typeface="Segoe UI Black" panose="020B0A02040204020203" pitchFamily="34" charset="0"/>
            <a:ea typeface="Segoe UI Black" panose="020B0A02040204020203" pitchFamily="34" charset="0"/>
          </a:endParaRPr>
        </a:p>
      </xdr:txBody>
    </xdr:sp>
    <xdr:clientData/>
  </xdr:twoCellAnchor>
  <xdr:twoCellAnchor editAs="oneCell">
    <xdr:from>
      <xdr:col>20</xdr:col>
      <xdr:colOff>181945</xdr:colOff>
      <xdr:row>5</xdr:row>
      <xdr:rowOff>117727</xdr:rowOff>
    </xdr:from>
    <xdr:to>
      <xdr:col>23</xdr:col>
      <xdr:colOff>180661</xdr:colOff>
      <xdr:row>8</xdr:row>
      <xdr:rowOff>179885</xdr:rowOff>
    </xdr:to>
    <mc:AlternateContent xmlns:mc="http://schemas.openxmlformats.org/markup-compatibility/2006" xmlns:a14="http://schemas.microsoft.com/office/drawing/2010/main">
      <mc:Choice Requires="a14">
        <xdr:graphicFrame macro="">
          <xdr:nvGraphicFramePr>
            <xdr:cNvPr id="57" name="City">
              <a:extLst>
                <a:ext uri="{FF2B5EF4-FFF2-40B4-BE49-F238E27FC236}">
                  <a16:creationId xmlns:a16="http://schemas.microsoft.com/office/drawing/2014/main" id="{6FE1B029-9EA0-4B57-893F-E3DBAF91A158}"/>
                </a:ext>
              </a:extLst>
            </xdr:cNvPr>
            <xdr:cNvGraphicFramePr/>
          </xdr:nvGraphicFramePr>
          <xdr:xfrm>
            <a:off x="0" y="0"/>
            <a:ext cx="0" cy="0"/>
          </xdr:xfrm>
          <a:graphic>
            <a:graphicData uri="http://schemas.microsoft.com/office/drawing/2010/slicer">
              <sle:slicer xmlns:sle="http://schemas.microsoft.com/office/drawing/2010/slicer" name="City"/>
            </a:graphicData>
          </a:graphic>
        </xdr:graphicFrame>
      </mc:Choice>
      <mc:Fallback xmlns="">
        <xdr:sp macro="" textlink="">
          <xdr:nvSpPr>
            <xdr:cNvPr id="0" name=""/>
            <xdr:cNvSpPr>
              <a:spLocks noTextEdit="1"/>
            </xdr:cNvSpPr>
          </xdr:nvSpPr>
          <xdr:spPr>
            <a:xfrm>
              <a:off x="12382507" y="1080929"/>
              <a:ext cx="1828800" cy="64008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13</xdr:col>
      <xdr:colOff>385282</xdr:colOff>
      <xdr:row>23</xdr:row>
      <xdr:rowOff>172109</xdr:rowOff>
    </xdr:from>
    <xdr:to>
      <xdr:col>18</xdr:col>
      <xdr:colOff>224747</xdr:colOff>
      <xdr:row>39</xdr:row>
      <xdr:rowOff>187075</xdr:rowOff>
    </xdr:to>
    <xdr:sp macro="" textlink="">
      <xdr:nvSpPr>
        <xdr:cNvPr id="59" name="Rectangle: Rounded Corners 58">
          <a:extLst>
            <a:ext uri="{FF2B5EF4-FFF2-40B4-BE49-F238E27FC236}">
              <a16:creationId xmlns:a16="http://schemas.microsoft.com/office/drawing/2014/main" id="{FE29E6D9-5862-EF50-46A4-4B405CE99C40}"/>
            </a:ext>
          </a:extLst>
        </xdr:cNvPr>
        <xdr:cNvSpPr/>
      </xdr:nvSpPr>
      <xdr:spPr>
        <a:xfrm>
          <a:off x="8315647" y="4602839"/>
          <a:ext cx="2889606" cy="3097214"/>
        </a:xfrm>
        <a:prstGeom prst="roundRect">
          <a:avLst>
            <a:gd name="adj" fmla="val 5060"/>
          </a:avLst>
        </a:prstGeom>
        <a:solidFill>
          <a:srgbClr val="2D3142">
            <a:alpha val="60000"/>
          </a:srgbClr>
        </a:solidFill>
        <a:ln>
          <a:noFill/>
        </a:ln>
        <a:effectLst>
          <a:outerShdw blurRad="63500" sx="102000" sy="102000" algn="ctr" rotWithShape="0">
            <a:prstClr val="black">
              <a:alpha val="9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13</xdr:col>
      <xdr:colOff>294523</xdr:colOff>
      <xdr:row>29</xdr:row>
      <xdr:rowOff>42811</xdr:rowOff>
    </xdr:from>
    <xdr:to>
      <xdr:col>19</xdr:col>
      <xdr:colOff>288962</xdr:colOff>
      <xdr:row>41</xdr:row>
      <xdr:rowOff>117726</xdr:rowOff>
    </xdr:to>
    <xdr:graphicFrame macro="">
      <xdr:nvGraphicFramePr>
        <xdr:cNvPr id="58" name="Chart 57">
          <a:extLst>
            <a:ext uri="{FF2B5EF4-FFF2-40B4-BE49-F238E27FC236}">
              <a16:creationId xmlns:a16="http://schemas.microsoft.com/office/drawing/2014/main" id="{FB110253-0DAD-44D8-A828-CD09E97B464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16</xdr:col>
      <xdr:colOff>359382</xdr:colOff>
      <xdr:row>33</xdr:row>
      <xdr:rowOff>130998</xdr:rowOff>
    </xdr:from>
    <xdr:to>
      <xdr:col>17</xdr:col>
      <xdr:colOff>321281</xdr:colOff>
      <xdr:row>36</xdr:row>
      <xdr:rowOff>130998</xdr:rowOff>
    </xdr:to>
    <xdr:grpSp>
      <xdr:nvGrpSpPr>
        <xdr:cNvPr id="91" name="Group 90">
          <a:extLst>
            <a:ext uri="{FF2B5EF4-FFF2-40B4-BE49-F238E27FC236}">
              <a16:creationId xmlns:a16="http://schemas.microsoft.com/office/drawing/2014/main" id="{8A1DD477-B33E-743F-B1F3-D38D8B06EE4C}"/>
            </a:ext>
          </a:extLst>
        </xdr:cNvPr>
        <xdr:cNvGrpSpPr/>
      </xdr:nvGrpSpPr>
      <xdr:grpSpPr>
        <a:xfrm>
          <a:off x="10119831" y="6488133"/>
          <a:ext cx="571928" cy="577921"/>
          <a:chOff x="10119831" y="6573749"/>
          <a:chExt cx="571928" cy="577921"/>
        </a:xfrm>
      </xdr:grpSpPr>
      <xdr:sp macro="" textlink="">
        <xdr:nvSpPr>
          <xdr:cNvPr id="64" name="Oval 63">
            <a:extLst>
              <a:ext uri="{FF2B5EF4-FFF2-40B4-BE49-F238E27FC236}">
                <a16:creationId xmlns:a16="http://schemas.microsoft.com/office/drawing/2014/main" id="{94F80C0A-8A3F-602D-25BE-82C8321A4EFB}"/>
              </a:ext>
            </a:extLst>
          </xdr:cNvPr>
          <xdr:cNvSpPr/>
        </xdr:nvSpPr>
        <xdr:spPr>
          <a:xfrm>
            <a:off x="10119831" y="6573749"/>
            <a:ext cx="571928" cy="577921"/>
          </a:xfrm>
          <a:prstGeom prst="ellipse">
            <a:avLst/>
          </a:prstGeom>
          <a:solidFill>
            <a:srgbClr val="ADACB5"/>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pic>
        <xdr:nvPicPr>
          <xdr:cNvPr id="63" name="Picture 62">
            <a:extLst>
              <a:ext uri="{FF2B5EF4-FFF2-40B4-BE49-F238E27FC236}">
                <a16:creationId xmlns:a16="http://schemas.microsoft.com/office/drawing/2014/main" id="{513711A5-EE74-43F0-A43B-B8BBC8E45601}"/>
              </a:ext>
            </a:extLst>
          </xdr:cNvPr>
          <xdr:cNvPicPr>
            <a:picLocks noChangeAspect="1"/>
          </xdr:cNvPicPr>
        </xdr:nvPicPr>
        <xdr:blipFill>
          <a:blip xmlns:r="http://schemas.openxmlformats.org/officeDocument/2006/relationships" r:embed="rId12" cstate="print">
            <a:extLst>
              <a:ext uri="{28A0092B-C50C-407E-A947-70E740481C1C}">
                <a14:useLocalDpi xmlns:a14="http://schemas.microsoft.com/office/drawing/2010/main" val="0"/>
              </a:ext>
            </a:extLst>
          </a:blip>
          <a:stretch>
            <a:fillRect/>
          </a:stretch>
        </xdr:blipFill>
        <xdr:spPr>
          <a:xfrm>
            <a:off x="10232517" y="6676795"/>
            <a:ext cx="365285" cy="365285"/>
          </a:xfrm>
          <a:prstGeom prst="rect">
            <a:avLst/>
          </a:prstGeom>
        </xdr:spPr>
      </xdr:pic>
    </xdr:grpSp>
    <xdr:clientData/>
  </xdr:twoCellAnchor>
  <xdr:twoCellAnchor>
    <xdr:from>
      <xdr:col>14</xdr:col>
      <xdr:colOff>83692</xdr:colOff>
      <xdr:row>33</xdr:row>
      <xdr:rowOff>112161</xdr:rowOff>
    </xdr:from>
    <xdr:to>
      <xdr:col>15</xdr:col>
      <xdr:colOff>45592</xdr:colOff>
      <xdr:row>36</xdr:row>
      <xdr:rowOff>112161</xdr:rowOff>
    </xdr:to>
    <xdr:grpSp>
      <xdr:nvGrpSpPr>
        <xdr:cNvPr id="90" name="Group 89">
          <a:extLst>
            <a:ext uri="{FF2B5EF4-FFF2-40B4-BE49-F238E27FC236}">
              <a16:creationId xmlns:a16="http://schemas.microsoft.com/office/drawing/2014/main" id="{56E72088-A766-1462-6656-864CCB77E4EB}"/>
            </a:ext>
          </a:extLst>
        </xdr:cNvPr>
        <xdr:cNvGrpSpPr/>
      </xdr:nvGrpSpPr>
      <xdr:grpSpPr>
        <a:xfrm>
          <a:off x="8624085" y="6469296"/>
          <a:ext cx="571928" cy="577921"/>
          <a:chOff x="8624085" y="6544210"/>
          <a:chExt cx="571928" cy="577921"/>
        </a:xfrm>
      </xdr:grpSpPr>
      <xdr:sp macro="" textlink="">
        <xdr:nvSpPr>
          <xdr:cNvPr id="65" name="Oval 64">
            <a:extLst>
              <a:ext uri="{FF2B5EF4-FFF2-40B4-BE49-F238E27FC236}">
                <a16:creationId xmlns:a16="http://schemas.microsoft.com/office/drawing/2014/main" id="{1DF852A2-A521-FAE3-9351-06E3358F862E}"/>
              </a:ext>
            </a:extLst>
          </xdr:cNvPr>
          <xdr:cNvSpPr/>
        </xdr:nvSpPr>
        <xdr:spPr>
          <a:xfrm>
            <a:off x="8624085" y="6544210"/>
            <a:ext cx="571928" cy="577921"/>
          </a:xfrm>
          <a:prstGeom prst="ellipse">
            <a:avLst/>
          </a:prstGeom>
          <a:solidFill>
            <a:srgbClr val="D8D5DB"/>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pic>
        <xdr:nvPicPr>
          <xdr:cNvPr id="61" name="Picture 60">
            <a:extLst>
              <a:ext uri="{FF2B5EF4-FFF2-40B4-BE49-F238E27FC236}">
                <a16:creationId xmlns:a16="http://schemas.microsoft.com/office/drawing/2014/main" id="{C1EB15F0-2FAB-CD72-48A0-F76E7F99E2C8}"/>
              </a:ext>
            </a:extLst>
          </xdr:cNvPr>
          <xdr:cNvPicPr>
            <a:picLocks noChangeAspect="1"/>
          </xdr:cNvPicPr>
        </xdr:nvPicPr>
        <xdr:blipFill>
          <a:blip xmlns:r="http://schemas.openxmlformats.org/officeDocument/2006/relationships" r:embed="rId13" cstate="print">
            <a:extLst>
              <a:ext uri="{28A0092B-C50C-407E-A947-70E740481C1C}">
                <a14:useLocalDpi xmlns:a14="http://schemas.microsoft.com/office/drawing/2010/main" val="0"/>
              </a:ext>
            </a:extLst>
          </a:blip>
          <a:stretch>
            <a:fillRect/>
          </a:stretch>
        </xdr:blipFill>
        <xdr:spPr>
          <a:xfrm>
            <a:off x="8711630" y="6613990"/>
            <a:ext cx="428090" cy="428090"/>
          </a:xfrm>
          <a:prstGeom prst="rect">
            <a:avLst/>
          </a:prstGeom>
        </xdr:spPr>
      </xdr:pic>
    </xdr:grpSp>
    <xdr:clientData/>
  </xdr:twoCellAnchor>
  <xdr:twoCellAnchor>
    <xdr:from>
      <xdr:col>13</xdr:col>
      <xdr:colOff>496159</xdr:colOff>
      <xdr:row>32</xdr:row>
      <xdr:rowOff>37765</xdr:rowOff>
    </xdr:from>
    <xdr:to>
      <xdr:col>18</xdr:col>
      <xdr:colOff>74916</xdr:colOff>
      <xdr:row>34</xdr:row>
      <xdr:rowOff>45377</xdr:rowOff>
    </xdr:to>
    <xdr:sp macro="" textlink="Analysis!A4">
      <xdr:nvSpPr>
        <xdr:cNvPr id="66" name="TextBox 65">
          <a:extLst>
            <a:ext uri="{FF2B5EF4-FFF2-40B4-BE49-F238E27FC236}">
              <a16:creationId xmlns:a16="http://schemas.microsoft.com/office/drawing/2014/main" id="{D9509ABF-4697-0D29-4004-C1AE04AB2467}"/>
            </a:ext>
          </a:extLst>
        </xdr:cNvPr>
        <xdr:cNvSpPr txBox="1"/>
      </xdr:nvSpPr>
      <xdr:spPr>
        <a:xfrm>
          <a:off x="8426524" y="6202259"/>
          <a:ext cx="2628898" cy="39289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l"/>
          <a:r>
            <a:rPr lang="en-US" sz="1200" b="1" baseline="0">
              <a:solidFill>
                <a:srgbClr val="D8D5DB"/>
              </a:solidFill>
              <a:latin typeface="Segoe UI Black" panose="020B0A02040204020203" pitchFamily="34" charset="0"/>
              <a:ea typeface="Segoe UI Black" panose="020B0A02040204020203" pitchFamily="34" charset="0"/>
            </a:rPr>
            <a:t>CUSTOMER TYPE vs REVENUE</a:t>
          </a:r>
        </a:p>
        <a:p>
          <a:pPr algn="l"/>
          <a:endParaRPr lang="en-US" sz="1200" b="1" baseline="0">
            <a:solidFill>
              <a:srgbClr val="D8D5DB"/>
            </a:solidFill>
            <a:latin typeface="Segoe UI Black" panose="020B0A02040204020203" pitchFamily="34" charset="0"/>
            <a:ea typeface="Segoe UI Black" panose="020B0A02040204020203" pitchFamily="34" charset="0"/>
          </a:endParaRPr>
        </a:p>
        <a:p>
          <a:pPr algn="l"/>
          <a:endParaRPr lang="en-US" sz="2400" b="1">
            <a:solidFill>
              <a:srgbClr val="D8D5DB"/>
            </a:solidFill>
            <a:latin typeface="Segoe UI Black" panose="020B0A02040204020203" pitchFamily="34" charset="0"/>
            <a:ea typeface="Segoe UI Black" panose="020B0A02040204020203" pitchFamily="34" charset="0"/>
          </a:endParaRPr>
        </a:p>
      </xdr:txBody>
    </xdr:sp>
    <xdr:clientData/>
  </xdr:twoCellAnchor>
  <xdr:twoCellAnchor>
    <xdr:from>
      <xdr:col>13</xdr:col>
      <xdr:colOff>381003</xdr:colOff>
      <xdr:row>23</xdr:row>
      <xdr:rowOff>147356</xdr:rowOff>
    </xdr:from>
    <xdr:to>
      <xdr:col>17</xdr:col>
      <xdr:colOff>569788</xdr:colOff>
      <xdr:row>26</xdr:row>
      <xdr:rowOff>181938</xdr:rowOff>
    </xdr:to>
    <xdr:sp macro="" textlink="Analysis!A4">
      <xdr:nvSpPr>
        <xdr:cNvPr id="67" name="TextBox 66">
          <a:extLst>
            <a:ext uri="{FF2B5EF4-FFF2-40B4-BE49-F238E27FC236}">
              <a16:creationId xmlns:a16="http://schemas.microsoft.com/office/drawing/2014/main" id="{C2CB45CB-EA8D-E58B-0AF1-EC004EC3ABCC}"/>
            </a:ext>
          </a:extLst>
        </xdr:cNvPr>
        <xdr:cNvSpPr txBox="1"/>
      </xdr:nvSpPr>
      <xdr:spPr>
        <a:xfrm>
          <a:off x="8311368" y="4578086"/>
          <a:ext cx="2628898" cy="61250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l"/>
          <a:r>
            <a:rPr lang="en-US" sz="1200" b="1" baseline="0">
              <a:solidFill>
                <a:srgbClr val="D8D5DB"/>
              </a:solidFill>
              <a:latin typeface="Segoe UI Black" panose="020B0A02040204020203" pitchFamily="34" charset="0"/>
              <a:ea typeface="Segoe UI Black" panose="020B0A02040204020203" pitchFamily="34" charset="0"/>
            </a:rPr>
            <a:t>CUSTOMER GENDER vs REVENUE</a:t>
          </a:r>
        </a:p>
        <a:p>
          <a:pPr algn="l"/>
          <a:endParaRPr lang="en-US" sz="1200" b="1" baseline="0">
            <a:solidFill>
              <a:srgbClr val="D8D5DB"/>
            </a:solidFill>
            <a:latin typeface="Segoe UI Black" panose="020B0A02040204020203" pitchFamily="34" charset="0"/>
            <a:ea typeface="Segoe UI Black" panose="020B0A02040204020203" pitchFamily="34" charset="0"/>
          </a:endParaRPr>
        </a:p>
        <a:p>
          <a:pPr algn="l"/>
          <a:endParaRPr lang="en-US" sz="2400" b="1">
            <a:solidFill>
              <a:srgbClr val="D8D5DB"/>
            </a:solidFill>
            <a:latin typeface="Segoe UI Black" panose="020B0A02040204020203" pitchFamily="34" charset="0"/>
            <a:ea typeface="Segoe UI Black" panose="020B0A02040204020203" pitchFamily="34" charset="0"/>
          </a:endParaRPr>
        </a:p>
      </xdr:txBody>
    </xdr:sp>
    <xdr:clientData/>
  </xdr:twoCellAnchor>
  <xdr:twoCellAnchor>
    <xdr:from>
      <xdr:col>13</xdr:col>
      <xdr:colOff>588624</xdr:colOff>
      <xdr:row>29</xdr:row>
      <xdr:rowOff>64214</xdr:rowOff>
    </xdr:from>
    <xdr:to>
      <xdr:col>17</xdr:col>
      <xdr:colOff>556517</xdr:colOff>
      <xdr:row>33</xdr:row>
      <xdr:rowOff>0</xdr:rowOff>
    </xdr:to>
    <xdr:graphicFrame macro="">
      <xdr:nvGraphicFramePr>
        <xdr:cNvPr id="68" name="Chart 67">
          <a:extLst>
            <a:ext uri="{FF2B5EF4-FFF2-40B4-BE49-F238E27FC236}">
              <a16:creationId xmlns:a16="http://schemas.microsoft.com/office/drawing/2014/main" id="{7DAF90B2-8245-4019-A9D8-3F0370FCD70B}"/>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4"/>
        </a:graphicData>
      </a:graphic>
    </xdr:graphicFrame>
    <xdr:clientData/>
  </xdr:twoCellAnchor>
  <xdr:twoCellAnchor>
    <xdr:from>
      <xdr:col>15</xdr:col>
      <xdr:colOff>309655</xdr:colOff>
      <xdr:row>26</xdr:row>
      <xdr:rowOff>96320</xdr:rowOff>
    </xdr:from>
    <xdr:to>
      <xdr:col>16</xdr:col>
      <xdr:colOff>244053</xdr:colOff>
      <xdr:row>28</xdr:row>
      <xdr:rowOff>125467</xdr:rowOff>
    </xdr:to>
    <xdr:sp macro="" textlink="">
      <xdr:nvSpPr>
        <xdr:cNvPr id="71" name="Rectangle: Rounded Corners 70">
          <a:extLst>
            <a:ext uri="{FF2B5EF4-FFF2-40B4-BE49-F238E27FC236}">
              <a16:creationId xmlns:a16="http://schemas.microsoft.com/office/drawing/2014/main" id="{B4676708-D719-BEFB-93CC-43309A237ABD}"/>
            </a:ext>
          </a:extLst>
        </xdr:cNvPr>
        <xdr:cNvSpPr/>
      </xdr:nvSpPr>
      <xdr:spPr>
        <a:xfrm>
          <a:off x="9460076" y="5104972"/>
          <a:ext cx="544426" cy="414428"/>
        </a:xfrm>
        <a:prstGeom prst="roundRect">
          <a:avLst/>
        </a:prstGeom>
        <a:solidFill>
          <a:srgbClr val="D8D5DB"/>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15</xdr:col>
      <xdr:colOff>418540</xdr:colOff>
      <xdr:row>26</xdr:row>
      <xdr:rowOff>120229</xdr:rowOff>
    </xdr:from>
    <xdr:to>
      <xdr:col>16</xdr:col>
      <xdr:colOff>180537</xdr:colOff>
      <xdr:row>28</xdr:row>
      <xdr:rowOff>61709</xdr:rowOff>
    </xdr:to>
    <xdr:pic>
      <xdr:nvPicPr>
        <xdr:cNvPr id="76" name="Picture 75">
          <a:extLst>
            <a:ext uri="{FF2B5EF4-FFF2-40B4-BE49-F238E27FC236}">
              <a16:creationId xmlns:a16="http://schemas.microsoft.com/office/drawing/2014/main" id="{4C702BC5-BF77-584F-53F2-F9F7C35C1182}"/>
            </a:ext>
          </a:extLst>
        </xdr:cNvPr>
        <xdr:cNvPicPr>
          <a:picLocks noChangeAspect="1"/>
        </xdr:cNvPicPr>
      </xdr:nvPicPr>
      <xdr:blipFill>
        <a:blip xmlns:r="http://schemas.openxmlformats.org/officeDocument/2006/relationships" r:embed="rId15" cstate="print">
          <a:extLst>
            <a:ext uri="{28A0092B-C50C-407E-A947-70E740481C1C}">
              <a14:useLocalDpi xmlns:a14="http://schemas.microsoft.com/office/drawing/2010/main" val="0"/>
            </a:ext>
          </a:extLst>
        </a:blip>
        <a:stretch>
          <a:fillRect/>
        </a:stretch>
      </xdr:blipFill>
      <xdr:spPr>
        <a:xfrm>
          <a:off x="9568961" y="5128881"/>
          <a:ext cx="372025" cy="326761"/>
        </a:xfrm>
        <a:prstGeom prst="rect">
          <a:avLst/>
        </a:prstGeom>
      </xdr:spPr>
    </xdr:pic>
    <xdr:clientData/>
  </xdr:twoCellAnchor>
  <xdr:twoCellAnchor>
    <xdr:from>
      <xdr:col>15</xdr:col>
      <xdr:colOff>267557</xdr:colOff>
      <xdr:row>28</xdr:row>
      <xdr:rowOff>113740</xdr:rowOff>
    </xdr:from>
    <xdr:to>
      <xdr:col>16</xdr:col>
      <xdr:colOff>470899</xdr:colOff>
      <xdr:row>30</xdr:row>
      <xdr:rowOff>74916</xdr:rowOff>
    </xdr:to>
    <xdr:sp macro="" textlink="Analysis!AI23">
      <xdr:nvSpPr>
        <xdr:cNvPr id="77" name="TextBox 76">
          <a:extLst>
            <a:ext uri="{FF2B5EF4-FFF2-40B4-BE49-F238E27FC236}">
              <a16:creationId xmlns:a16="http://schemas.microsoft.com/office/drawing/2014/main" id="{7861EA78-FDCF-5D1B-5860-70AA24A027C9}"/>
            </a:ext>
          </a:extLst>
        </xdr:cNvPr>
        <xdr:cNvSpPr txBox="1"/>
      </xdr:nvSpPr>
      <xdr:spPr>
        <a:xfrm>
          <a:off x="9417978" y="5507673"/>
          <a:ext cx="813370" cy="34645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l"/>
          <a:fld id="{74DAEDF4-ACB1-404C-8150-B0897AF4F686}" type="TxLink">
            <a:rPr lang="en-US" sz="1400" b="1" i="0" u="none" strike="noStrike" baseline="0">
              <a:solidFill>
                <a:srgbClr val="D8D5DB"/>
              </a:solidFill>
              <a:latin typeface="Calibri"/>
              <a:ea typeface="Calibri"/>
              <a:cs typeface="Calibri"/>
            </a:rPr>
            <a:pPr algn="l"/>
            <a:t>$155,084</a:t>
          </a:fld>
          <a:endParaRPr lang="en-US" sz="3200" b="1">
            <a:solidFill>
              <a:srgbClr val="D8D5DB"/>
            </a:solidFill>
            <a:latin typeface="Segoe UI Black" panose="020B0A02040204020203" pitchFamily="34" charset="0"/>
            <a:ea typeface="Segoe UI Black" panose="020B0A02040204020203" pitchFamily="34" charset="0"/>
          </a:endParaRPr>
        </a:p>
      </xdr:txBody>
    </xdr:sp>
    <xdr:clientData/>
  </xdr:twoCellAnchor>
  <xdr:twoCellAnchor>
    <xdr:from>
      <xdr:col>14</xdr:col>
      <xdr:colOff>113594</xdr:colOff>
      <xdr:row>26</xdr:row>
      <xdr:rowOff>88184</xdr:rowOff>
    </xdr:from>
    <xdr:to>
      <xdr:col>15</xdr:col>
      <xdr:colOff>83811</xdr:colOff>
      <xdr:row>28</xdr:row>
      <xdr:rowOff>167233</xdr:rowOff>
    </xdr:to>
    <xdr:sp macro="" textlink="">
      <xdr:nvSpPr>
        <xdr:cNvPr id="72" name="Rectangle: Rounded Corners 71">
          <a:extLst>
            <a:ext uri="{FF2B5EF4-FFF2-40B4-BE49-F238E27FC236}">
              <a16:creationId xmlns:a16="http://schemas.microsoft.com/office/drawing/2014/main" id="{E57AFA9D-D615-2F92-DB1B-4640D7C664C2}"/>
            </a:ext>
          </a:extLst>
        </xdr:cNvPr>
        <xdr:cNvSpPr/>
      </xdr:nvSpPr>
      <xdr:spPr>
        <a:xfrm>
          <a:off x="8653987" y="5096836"/>
          <a:ext cx="580245" cy="464330"/>
        </a:xfrm>
        <a:prstGeom prst="roundRect">
          <a:avLst/>
        </a:prstGeom>
        <a:solidFill>
          <a:srgbClr val="ADACB5"/>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14</xdr:col>
      <xdr:colOff>198310</xdr:colOff>
      <xdr:row>26</xdr:row>
      <xdr:rowOff>112831</xdr:rowOff>
    </xdr:from>
    <xdr:to>
      <xdr:col>15</xdr:col>
      <xdr:colOff>14770</xdr:colOff>
      <xdr:row>28</xdr:row>
      <xdr:rowOff>121344</xdr:rowOff>
    </xdr:to>
    <xdr:pic>
      <xdr:nvPicPr>
        <xdr:cNvPr id="74" name="Picture 73">
          <a:extLst>
            <a:ext uri="{FF2B5EF4-FFF2-40B4-BE49-F238E27FC236}">
              <a16:creationId xmlns:a16="http://schemas.microsoft.com/office/drawing/2014/main" id="{64B9472A-4576-A936-D57C-418DA28D6B8E}"/>
            </a:ext>
          </a:extLst>
        </xdr:cNvPr>
        <xdr:cNvPicPr>
          <a:picLocks noChangeAspect="1"/>
        </xdr:cNvPicPr>
      </xdr:nvPicPr>
      <xdr:blipFill>
        <a:blip xmlns:r="http://schemas.openxmlformats.org/officeDocument/2006/relationships" r:embed="rId16" cstate="print">
          <a:extLst>
            <a:ext uri="{28A0092B-C50C-407E-A947-70E740481C1C}">
              <a14:useLocalDpi xmlns:a14="http://schemas.microsoft.com/office/drawing/2010/main" val="0"/>
            </a:ext>
          </a:extLst>
        </a:blip>
        <a:stretch>
          <a:fillRect/>
        </a:stretch>
      </xdr:blipFill>
      <xdr:spPr>
        <a:xfrm>
          <a:off x="8738703" y="5121483"/>
          <a:ext cx="426488" cy="393794"/>
        </a:xfrm>
        <a:prstGeom prst="rect">
          <a:avLst/>
        </a:prstGeom>
      </xdr:spPr>
    </xdr:pic>
    <xdr:clientData/>
  </xdr:twoCellAnchor>
  <xdr:twoCellAnchor>
    <xdr:from>
      <xdr:col>14</xdr:col>
      <xdr:colOff>10702</xdr:colOff>
      <xdr:row>28</xdr:row>
      <xdr:rowOff>136237</xdr:rowOff>
    </xdr:from>
    <xdr:to>
      <xdr:col>15</xdr:col>
      <xdr:colOff>267557</xdr:colOff>
      <xdr:row>30</xdr:row>
      <xdr:rowOff>139130</xdr:rowOff>
    </xdr:to>
    <xdr:sp macro="" textlink="Analysis!AI18">
      <xdr:nvSpPr>
        <xdr:cNvPr id="78" name="TextBox 77">
          <a:extLst>
            <a:ext uri="{FF2B5EF4-FFF2-40B4-BE49-F238E27FC236}">
              <a16:creationId xmlns:a16="http://schemas.microsoft.com/office/drawing/2014/main" id="{5C5B8FD4-CFEB-8FBE-CB5F-F996857E5914}"/>
            </a:ext>
          </a:extLst>
        </xdr:cNvPr>
        <xdr:cNvSpPr txBox="1"/>
      </xdr:nvSpPr>
      <xdr:spPr>
        <a:xfrm>
          <a:off x="8551095" y="5530170"/>
          <a:ext cx="866883" cy="38817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lgn="l"/>
          <a:fld id="{E349B30B-DA2A-4B65-8CB3-E010E5B51007}" type="TxLink">
            <a:rPr lang="en-US" sz="1400" b="1" i="0" u="none" strike="noStrike" baseline="0">
              <a:solidFill>
                <a:srgbClr val="D8D5DB"/>
              </a:solidFill>
              <a:latin typeface="Calibri"/>
              <a:ea typeface="Calibri"/>
              <a:cs typeface="Calibri"/>
            </a:rPr>
            <a:pPr marL="0" indent="0" algn="l"/>
            <a:t>$167,883</a:t>
          </a:fld>
          <a:endParaRPr lang="en-US" sz="1400" b="1" i="0" u="none" strike="noStrike" baseline="0">
            <a:solidFill>
              <a:srgbClr val="D8D5DB"/>
            </a:solidFill>
            <a:latin typeface="Calibri"/>
            <a:ea typeface="Calibri"/>
            <a:cs typeface="Calibri"/>
          </a:endParaRPr>
        </a:p>
      </xdr:txBody>
    </xdr:sp>
    <xdr:clientData/>
  </xdr:twoCellAnchor>
  <xdr:twoCellAnchor>
    <xdr:from>
      <xdr:col>18</xdr:col>
      <xdr:colOff>299663</xdr:colOff>
      <xdr:row>23</xdr:row>
      <xdr:rowOff>181939</xdr:rowOff>
    </xdr:from>
    <xdr:to>
      <xdr:col>24</xdr:col>
      <xdr:colOff>53511</xdr:colOff>
      <xdr:row>39</xdr:row>
      <xdr:rowOff>157538</xdr:rowOff>
    </xdr:to>
    <xdr:sp macro="" textlink="">
      <xdr:nvSpPr>
        <xdr:cNvPr id="81" name="Rectangle: Rounded Corners 80">
          <a:extLst>
            <a:ext uri="{FF2B5EF4-FFF2-40B4-BE49-F238E27FC236}">
              <a16:creationId xmlns:a16="http://schemas.microsoft.com/office/drawing/2014/main" id="{412CA2B4-8BF3-499C-7AB8-902F5FB75CFE}"/>
            </a:ext>
          </a:extLst>
        </xdr:cNvPr>
        <xdr:cNvSpPr/>
      </xdr:nvSpPr>
      <xdr:spPr>
        <a:xfrm>
          <a:off x="11280169" y="4612669"/>
          <a:ext cx="3414016" cy="3057847"/>
        </a:xfrm>
        <a:prstGeom prst="roundRect">
          <a:avLst>
            <a:gd name="adj" fmla="val 5060"/>
          </a:avLst>
        </a:prstGeom>
        <a:solidFill>
          <a:srgbClr val="2D3142">
            <a:alpha val="60000"/>
          </a:srgbClr>
        </a:solidFill>
        <a:ln>
          <a:noFill/>
        </a:ln>
        <a:effectLst>
          <a:outerShdw blurRad="63500" sx="102000" sy="102000" algn="ctr" rotWithShape="0">
            <a:prstClr val="black">
              <a:alpha val="9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oneCell">
    <xdr:from>
      <xdr:col>20</xdr:col>
      <xdr:colOff>171236</xdr:colOff>
      <xdr:row>3</xdr:row>
      <xdr:rowOff>171237</xdr:rowOff>
    </xdr:from>
    <xdr:to>
      <xdr:col>22</xdr:col>
      <xdr:colOff>322780</xdr:colOff>
      <xdr:row>5</xdr:row>
      <xdr:rowOff>151716</xdr:rowOff>
    </xdr:to>
    <mc:AlternateContent xmlns:mc="http://schemas.openxmlformats.org/markup-compatibility/2006" xmlns:a14="http://schemas.microsoft.com/office/drawing/2010/main">
      <mc:Choice Requires="a14">
        <xdr:graphicFrame macro="">
          <xdr:nvGraphicFramePr>
            <xdr:cNvPr id="89" name="Gender">
              <a:extLst>
                <a:ext uri="{FF2B5EF4-FFF2-40B4-BE49-F238E27FC236}">
                  <a16:creationId xmlns:a16="http://schemas.microsoft.com/office/drawing/2014/main" id="{A086BC5B-1021-4AF7-B6E8-5EA7202F46A4}"/>
                </a:ext>
              </a:extLst>
            </xdr:cNvPr>
            <xdr:cNvGraphicFramePr/>
          </xdr:nvGraphicFramePr>
          <xdr:xfrm>
            <a:off x="0" y="0"/>
            <a:ext cx="0" cy="0"/>
          </xdr:xfrm>
          <a:graphic>
            <a:graphicData uri="http://schemas.microsoft.com/office/drawing/2010/slicer">
              <sle:slicer xmlns:sle="http://schemas.microsoft.com/office/drawing/2010/slicer" name="Gender"/>
            </a:graphicData>
          </a:graphic>
        </xdr:graphicFrame>
      </mc:Choice>
      <mc:Fallback xmlns="">
        <xdr:sp macro="" textlink="">
          <xdr:nvSpPr>
            <xdr:cNvPr id="0" name=""/>
            <xdr:cNvSpPr>
              <a:spLocks noTextEdit="1"/>
            </xdr:cNvSpPr>
          </xdr:nvSpPr>
          <xdr:spPr>
            <a:xfrm>
              <a:off x="12371798" y="749158"/>
              <a:ext cx="1371600" cy="36576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13</xdr:col>
      <xdr:colOff>72142</xdr:colOff>
      <xdr:row>3</xdr:row>
      <xdr:rowOff>77591</xdr:rowOff>
    </xdr:from>
    <xdr:to>
      <xdr:col>13</xdr:col>
      <xdr:colOff>72142</xdr:colOff>
      <xdr:row>9</xdr:row>
      <xdr:rowOff>49016</xdr:rowOff>
    </xdr:to>
    <xdr:cxnSp macro="">
      <xdr:nvCxnSpPr>
        <xdr:cNvPr id="92" name="Straight Connector 91">
          <a:extLst>
            <a:ext uri="{FF2B5EF4-FFF2-40B4-BE49-F238E27FC236}">
              <a16:creationId xmlns:a16="http://schemas.microsoft.com/office/drawing/2014/main" id="{F63D653E-9231-691C-FA0F-8E46E3525013}"/>
            </a:ext>
          </a:extLst>
        </xdr:cNvPr>
        <xdr:cNvCxnSpPr/>
      </xdr:nvCxnSpPr>
      <xdr:spPr>
        <a:xfrm>
          <a:off x="8002507" y="655512"/>
          <a:ext cx="0" cy="1127268"/>
        </a:xfrm>
        <a:prstGeom prst="line">
          <a:avLst/>
        </a:prstGeom>
        <a:ln w="38100">
          <a:solidFill>
            <a:srgbClr val="D8D5DB"/>
          </a:solidFill>
        </a:ln>
      </xdr:spPr>
      <xdr:style>
        <a:lnRef idx="1">
          <a:schemeClr val="dk1"/>
        </a:lnRef>
        <a:fillRef idx="0">
          <a:schemeClr val="dk1"/>
        </a:fillRef>
        <a:effectRef idx="0">
          <a:schemeClr val="dk1"/>
        </a:effectRef>
        <a:fontRef idx="minor">
          <a:schemeClr val="tx1"/>
        </a:fontRef>
      </xdr:style>
    </xdr:cxnSp>
    <xdr:clientData/>
  </xdr:twoCellAnchor>
  <xdr:twoCellAnchor>
    <xdr:from>
      <xdr:col>18</xdr:col>
      <xdr:colOff>545814</xdr:colOff>
      <xdr:row>24</xdr:row>
      <xdr:rowOff>107115</xdr:rowOff>
    </xdr:from>
    <xdr:to>
      <xdr:col>20</xdr:col>
      <xdr:colOff>331770</xdr:colOff>
      <xdr:row>26</xdr:row>
      <xdr:rowOff>10701</xdr:rowOff>
    </xdr:to>
    <xdr:sp macro="" textlink="Analysis!A4">
      <xdr:nvSpPr>
        <xdr:cNvPr id="94" name="TextBox 93">
          <a:extLst>
            <a:ext uri="{FF2B5EF4-FFF2-40B4-BE49-F238E27FC236}">
              <a16:creationId xmlns:a16="http://schemas.microsoft.com/office/drawing/2014/main" id="{642DCBE7-2A61-0878-574D-69A1EDA14070}"/>
            </a:ext>
          </a:extLst>
        </xdr:cNvPr>
        <xdr:cNvSpPr txBox="1"/>
      </xdr:nvSpPr>
      <xdr:spPr>
        <a:xfrm>
          <a:off x="11526320" y="4730486"/>
          <a:ext cx="1006012" cy="288867"/>
        </a:xfrm>
        <a:prstGeom prst="rect">
          <a:avLst/>
        </a:prstGeom>
        <a:solidFill>
          <a:srgbClr val="2D3142"/>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l"/>
          <a:r>
            <a:rPr lang="en-US" sz="1200" b="1" i="1" baseline="0">
              <a:solidFill>
                <a:srgbClr val="D8D5DB"/>
              </a:solidFill>
              <a:latin typeface="Segoe UI Black" panose="020B0A02040204020203" pitchFamily="34" charset="0"/>
              <a:ea typeface="Segoe UI Black" panose="020B0A02040204020203" pitchFamily="34" charset="0"/>
            </a:rPr>
            <a:t>INSIGHT</a:t>
          </a:r>
        </a:p>
        <a:p>
          <a:pPr algn="l"/>
          <a:endParaRPr lang="en-US" sz="1200" b="1" baseline="0">
            <a:solidFill>
              <a:srgbClr val="D8D5DB"/>
            </a:solidFill>
            <a:latin typeface="Segoe UI Black" panose="020B0A02040204020203" pitchFamily="34" charset="0"/>
            <a:ea typeface="Segoe UI Black" panose="020B0A02040204020203" pitchFamily="34" charset="0"/>
          </a:endParaRPr>
        </a:p>
        <a:p>
          <a:pPr algn="l"/>
          <a:endParaRPr lang="en-US" sz="2400" b="1">
            <a:solidFill>
              <a:srgbClr val="D8D5DB"/>
            </a:solidFill>
            <a:latin typeface="Segoe UI Black" panose="020B0A02040204020203" pitchFamily="34" charset="0"/>
            <a:ea typeface="Segoe UI Black" panose="020B0A02040204020203" pitchFamily="34" charset="0"/>
          </a:endParaRPr>
        </a:p>
      </xdr:txBody>
    </xdr:sp>
    <xdr:clientData/>
  </xdr:twoCellAnchor>
  <xdr:twoCellAnchor>
    <xdr:from>
      <xdr:col>14</xdr:col>
      <xdr:colOff>160539</xdr:colOff>
      <xdr:row>5</xdr:row>
      <xdr:rowOff>76413</xdr:rowOff>
    </xdr:from>
    <xdr:to>
      <xdr:col>17</xdr:col>
      <xdr:colOff>21408</xdr:colOff>
      <xdr:row>8</xdr:row>
      <xdr:rowOff>183328</xdr:rowOff>
    </xdr:to>
    <xdr:sp macro="" textlink="Analysis!D3">
      <xdr:nvSpPr>
        <xdr:cNvPr id="95" name="TextBox 94">
          <a:extLst>
            <a:ext uri="{FF2B5EF4-FFF2-40B4-BE49-F238E27FC236}">
              <a16:creationId xmlns:a16="http://schemas.microsoft.com/office/drawing/2014/main" id="{8380141B-A7A0-43C2-2491-43F97DC86DFB}"/>
            </a:ext>
          </a:extLst>
        </xdr:cNvPr>
        <xdr:cNvSpPr txBox="1"/>
      </xdr:nvSpPr>
      <xdr:spPr>
        <a:xfrm>
          <a:off x="8700932" y="1039615"/>
          <a:ext cx="1690954" cy="68483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fld id="{72285ACD-52DC-4D60-9FE1-FA27D21BC384}" type="TxLink">
            <a:rPr lang="en-US" sz="2400" b="0" i="0" u="none" strike="noStrike">
              <a:solidFill>
                <a:srgbClr val="D8D5DB"/>
              </a:solidFill>
              <a:latin typeface="Segoe UI Black" panose="020B0A02040204020203" pitchFamily="34" charset="0"/>
              <a:ea typeface="Segoe UI Black" panose="020B0A02040204020203" pitchFamily="34" charset="0"/>
              <a:cs typeface="Calibri"/>
            </a:rPr>
            <a:pPr marL="0" indent="0" algn="ctr"/>
            <a:t>$307,587</a:t>
          </a:fld>
          <a:endParaRPr lang="en-US" sz="2400" b="0" i="0" u="none" strike="noStrike">
            <a:solidFill>
              <a:srgbClr val="D8D5DB"/>
            </a:solidFill>
            <a:latin typeface="Segoe UI Black" panose="020B0A02040204020203" pitchFamily="34" charset="0"/>
            <a:ea typeface="Segoe UI Black" panose="020B0A02040204020203" pitchFamily="34" charset="0"/>
            <a:cs typeface="Calibri"/>
          </a:endParaRPr>
        </a:p>
      </xdr:txBody>
    </xdr:sp>
    <xdr:clientData/>
  </xdr:twoCellAnchor>
  <xdr:twoCellAnchor>
    <xdr:from>
      <xdr:col>13</xdr:col>
      <xdr:colOff>468225</xdr:colOff>
      <xdr:row>3</xdr:row>
      <xdr:rowOff>107023</xdr:rowOff>
    </xdr:from>
    <xdr:to>
      <xdr:col>17</xdr:col>
      <xdr:colOff>256855</xdr:colOff>
      <xdr:row>7</xdr:row>
      <xdr:rowOff>10702</xdr:rowOff>
    </xdr:to>
    <xdr:sp macro="" textlink="Analysis!A4">
      <xdr:nvSpPr>
        <xdr:cNvPr id="96" name="TextBox 95">
          <a:extLst>
            <a:ext uri="{FF2B5EF4-FFF2-40B4-BE49-F238E27FC236}">
              <a16:creationId xmlns:a16="http://schemas.microsoft.com/office/drawing/2014/main" id="{63937B2C-73DC-6D1C-A829-CBA3DEEB27BE}"/>
            </a:ext>
          </a:extLst>
        </xdr:cNvPr>
        <xdr:cNvSpPr txBox="1"/>
      </xdr:nvSpPr>
      <xdr:spPr>
        <a:xfrm>
          <a:off x="8398590" y="684944"/>
          <a:ext cx="2228743" cy="67424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US" sz="1600" b="1">
              <a:solidFill>
                <a:srgbClr val="D8D5DB"/>
              </a:solidFill>
              <a:latin typeface="Segoe UI Black" panose="020B0A02040204020203" pitchFamily="34" charset="0"/>
              <a:ea typeface="Segoe UI Black" panose="020B0A02040204020203" pitchFamily="34" charset="0"/>
            </a:rPr>
            <a:t>COST</a:t>
          </a:r>
          <a:r>
            <a:rPr lang="en-US" sz="1600" b="1" baseline="0">
              <a:solidFill>
                <a:srgbClr val="D8D5DB"/>
              </a:solidFill>
              <a:latin typeface="Segoe UI Black" panose="020B0A02040204020203" pitchFamily="34" charset="0"/>
              <a:ea typeface="Segoe UI Black" panose="020B0A02040204020203" pitchFamily="34" charset="0"/>
            </a:rPr>
            <a:t> OF GOODS SOLD</a:t>
          </a:r>
          <a:endParaRPr lang="en-US" sz="1600" b="1">
            <a:solidFill>
              <a:srgbClr val="D8D5DB"/>
            </a:solidFill>
            <a:latin typeface="Segoe UI Black" panose="020B0A02040204020203" pitchFamily="34" charset="0"/>
            <a:ea typeface="Segoe UI Black" panose="020B0A02040204020203" pitchFamily="34" charset="0"/>
          </a:endParaRPr>
        </a:p>
      </xdr:txBody>
    </xdr:sp>
    <xdr:clientData/>
  </xdr:twoCellAnchor>
  <xdr:twoCellAnchor>
    <xdr:from>
      <xdr:col>17</xdr:col>
      <xdr:colOff>106813</xdr:colOff>
      <xdr:row>3</xdr:row>
      <xdr:rowOff>48055</xdr:rowOff>
    </xdr:from>
    <xdr:to>
      <xdr:col>17</xdr:col>
      <xdr:colOff>106813</xdr:colOff>
      <xdr:row>9</xdr:row>
      <xdr:rowOff>19480</xdr:rowOff>
    </xdr:to>
    <xdr:cxnSp macro="">
      <xdr:nvCxnSpPr>
        <xdr:cNvPr id="97" name="Straight Connector 96">
          <a:extLst>
            <a:ext uri="{FF2B5EF4-FFF2-40B4-BE49-F238E27FC236}">
              <a16:creationId xmlns:a16="http://schemas.microsoft.com/office/drawing/2014/main" id="{33E69B30-88F2-84E7-80D1-73F1DB08907E}"/>
            </a:ext>
          </a:extLst>
        </xdr:cNvPr>
        <xdr:cNvCxnSpPr/>
      </xdr:nvCxnSpPr>
      <xdr:spPr>
        <a:xfrm>
          <a:off x="10477291" y="625976"/>
          <a:ext cx="0" cy="1127268"/>
        </a:xfrm>
        <a:prstGeom prst="line">
          <a:avLst/>
        </a:prstGeom>
        <a:ln w="38100">
          <a:solidFill>
            <a:srgbClr val="D8D5DB"/>
          </a:solidFill>
        </a:ln>
      </xdr:spPr>
      <xdr:style>
        <a:lnRef idx="1">
          <a:schemeClr val="dk1"/>
        </a:lnRef>
        <a:fillRef idx="0">
          <a:schemeClr val="dk1"/>
        </a:fillRef>
        <a:effectRef idx="0">
          <a:schemeClr val="dk1"/>
        </a:effectRef>
        <a:fontRef idx="minor">
          <a:schemeClr val="tx1"/>
        </a:fontRef>
      </xdr:style>
    </xdr:cxnSp>
    <xdr:clientData/>
  </xdr:twoCellAnchor>
  <xdr:twoCellAnchor>
    <xdr:from>
      <xdr:col>9</xdr:col>
      <xdr:colOff>599222</xdr:colOff>
      <xdr:row>3</xdr:row>
      <xdr:rowOff>152400</xdr:rowOff>
    </xdr:from>
    <xdr:to>
      <xdr:col>13</xdr:col>
      <xdr:colOff>171242</xdr:colOff>
      <xdr:row>7</xdr:row>
      <xdr:rowOff>56079</xdr:rowOff>
    </xdr:to>
    <xdr:sp macro="" textlink="Analysis!A4">
      <xdr:nvSpPr>
        <xdr:cNvPr id="98" name="TextBox 97">
          <a:extLst>
            <a:ext uri="{FF2B5EF4-FFF2-40B4-BE49-F238E27FC236}">
              <a16:creationId xmlns:a16="http://schemas.microsoft.com/office/drawing/2014/main" id="{6DD256AC-48F3-720A-5CBC-FB0FEB4C265F}"/>
            </a:ext>
          </a:extLst>
        </xdr:cNvPr>
        <xdr:cNvSpPr txBox="1"/>
      </xdr:nvSpPr>
      <xdr:spPr>
        <a:xfrm>
          <a:off x="6089475" y="730321"/>
          <a:ext cx="2012132" cy="67424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US" sz="1600" b="1">
              <a:solidFill>
                <a:srgbClr val="D8D5DB"/>
              </a:solidFill>
              <a:latin typeface="Segoe UI Black" panose="020B0A02040204020203" pitchFamily="34" charset="0"/>
              <a:ea typeface="Segoe UI Black" panose="020B0A02040204020203" pitchFamily="34" charset="0"/>
            </a:rPr>
            <a:t>GROSS</a:t>
          </a:r>
          <a:r>
            <a:rPr lang="en-US" sz="1600" b="1" baseline="0">
              <a:solidFill>
                <a:srgbClr val="D8D5DB"/>
              </a:solidFill>
              <a:latin typeface="Segoe UI Black" panose="020B0A02040204020203" pitchFamily="34" charset="0"/>
              <a:ea typeface="Segoe UI Black" panose="020B0A02040204020203" pitchFamily="34" charset="0"/>
            </a:rPr>
            <a:t> PROFIT</a:t>
          </a:r>
          <a:endParaRPr lang="en-US" sz="1600" b="1">
            <a:solidFill>
              <a:srgbClr val="D8D5DB"/>
            </a:solidFill>
            <a:latin typeface="Segoe UI Black" panose="020B0A02040204020203" pitchFamily="34" charset="0"/>
            <a:ea typeface="Segoe UI Black" panose="020B0A02040204020203" pitchFamily="34" charset="0"/>
          </a:endParaRPr>
        </a:p>
      </xdr:txBody>
    </xdr:sp>
    <xdr:clientData/>
  </xdr:twoCellAnchor>
  <xdr:twoCellAnchor>
    <xdr:from>
      <xdr:col>10</xdr:col>
      <xdr:colOff>152402</xdr:colOff>
      <xdr:row>4</xdr:row>
      <xdr:rowOff>175301</xdr:rowOff>
    </xdr:from>
    <xdr:to>
      <xdr:col>13</xdr:col>
      <xdr:colOff>13272</xdr:colOff>
      <xdr:row>8</xdr:row>
      <xdr:rowOff>89576</xdr:rowOff>
    </xdr:to>
    <xdr:sp macro="" textlink="Analysis!E3">
      <xdr:nvSpPr>
        <xdr:cNvPr id="99" name="TextBox 98">
          <a:extLst>
            <a:ext uri="{FF2B5EF4-FFF2-40B4-BE49-F238E27FC236}">
              <a16:creationId xmlns:a16="http://schemas.microsoft.com/office/drawing/2014/main" id="{FF01F1EB-8375-1680-E8FC-63E78F819588}"/>
            </a:ext>
          </a:extLst>
        </xdr:cNvPr>
        <xdr:cNvSpPr txBox="1"/>
      </xdr:nvSpPr>
      <xdr:spPr>
        <a:xfrm>
          <a:off x="6252683" y="945863"/>
          <a:ext cx="1690954" cy="68483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fld id="{342B6E73-8746-4BAD-91F3-86487143D565}" type="TxLink">
            <a:rPr lang="en-US" sz="2400" b="0" i="0" u="none" strike="noStrike">
              <a:solidFill>
                <a:srgbClr val="D8D5DB"/>
              </a:solidFill>
              <a:latin typeface="Segoe UI Black" panose="020B0A02040204020203" pitchFamily="34" charset="0"/>
              <a:ea typeface="Segoe UI Black" panose="020B0A02040204020203" pitchFamily="34" charset="0"/>
              <a:cs typeface="Calibri"/>
            </a:rPr>
            <a:pPr marL="0" indent="0" algn="ctr"/>
            <a:t>$15,379</a:t>
          </a:fld>
          <a:endParaRPr lang="en-US" sz="2400" b="0" i="0" u="none" strike="noStrike">
            <a:solidFill>
              <a:srgbClr val="D8D5DB"/>
            </a:solidFill>
            <a:latin typeface="Segoe UI Black" panose="020B0A02040204020203" pitchFamily="34" charset="0"/>
            <a:ea typeface="Segoe UI Black" panose="020B0A02040204020203" pitchFamily="34" charset="0"/>
            <a:cs typeface="Calibri"/>
          </a:endParaRPr>
        </a:p>
      </xdr:txBody>
    </xdr:sp>
    <xdr:clientData/>
  </xdr:twoCellAnchor>
  <xdr:twoCellAnchor>
    <xdr:from>
      <xdr:col>20</xdr:col>
      <xdr:colOff>109381</xdr:colOff>
      <xdr:row>3</xdr:row>
      <xdr:rowOff>50623</xdr:rowOff>
    </xdr:from>
    <xdr:to>
      <xdr:col>20</xdr:col>
      <xdr:colOff>109381</xdr:colOff>
      <xdr:row>9</xdr:row>
      <xdr:rowOff>22048</xdr:rowOff>
    </xdr:to>
    <xdr:cxnSp macro="">
      <xdr:nvCxnSpPr>
        <xdr:cNvPr id="102" name="Straight Connector 101">
          <a:extLst>
            <a:ext uri="{FF2B5EF4-FFF2-40B4-BE49-F238E27FC236}">
              <a16:creationId xmlns:a16="http://schemas.microsoft.com/office/drawing/2014/main" id="{39CF099F-66D4-D11F-476D-107C419B1B6A}"/>
            </a:ext>
          </a:extLst>
        </xdr:cNvPr>
        <xdr:cNvCxnSpPr/>
      </xdr:nvCxnSpPr>
      <xdr:spPr>
        <a:xfrm>
          <a:off x="12309943" y="628544"/>
          <a:ext cx="0" cy="1127268"/>
        </a:xfrm>
        <a:prstGeom prst="line">
          <a:avLst/>
        </a:prstGeom>
        <a:ln w="38100">
          <a:solidFill>
            <a:srgbClr val="D8D5DB"/>
          </a:solidFill>
        </a:ln>
      </xdr:spPr>
      <xdr:style>
        <a:lnRef idx="1">
          <a:schemeClr val="dk1"/>
        </a:lnRef>
        <a:fillRef idx="0">
          <a:schemeClr val="dk1"/>
        </a:fillRef>
        <a:effectRef idx="0">
          <a:schemeClr val="dk1"/>
        </a:effectRef>
        <a:fontRef idx="minor">
          <a:schemeClr val="tx1"/>
        </a:fontRef>
      </xdr:style>
    </xdr:cxnSp>
    <xdr:clientData/>
  </xdr:twoCellAnchor>
  <xdr:twoCellAnchor>
    <xdr:from>
      <xdr:col>9</xdr:col>
      <xdr:colOff>228815</xdr:colOff>
      <xdr:row>3</xdr:row>
      <xdr:rowOff>183545</xdr:rowOff>
    </xdr:from>
    <xdr:to>
      <xdr:col>10</xdr:col>
      <xdr:colOff>190716</xdr:colOff>
      <xdr:row>6</xdr:row>
      <xdr:rowOff>183545</xdr:rowOff>
    </xdr:to>
    <xdr:grpSp>
      <xdr:nvGrpSpPr>
        <xdr:cNvPr id="109" name="Group 108">
          <a:extLst>
            <a:ext uri="{FF2B5EF4-FFF2-40B4-BE49-F238E27FC236}">
              <a16:creationId xmlns:a16="http://schemas.microsoft.com/office/drawing/2014/main" id="{4415B4BE-28F9-0E16-DC33-FA9681D2E99B}"/>
            </a:ext>
          </a:extLst>
        </xdr:cNvPr>
        <xdr:cNvGrpSpPr/>
      </xdr:nvGrpSpPr>
      <xdr:grpSpPr>
        <a:xfrm>
          <a:off x="5719068" y="761466"/>
          <a:ext cx="571929" cy="577922"/>
          <a:chOff x="5975920" y="772168"/>
          <a:chExt cx="571929" cy="577922"/>
        </a:xfrm>
      </xdr:grpSpPr>
      <xdr:sp macro="" textlink="">
        <xdr:nvSpPr>
          <xdr:cNvPr id="103" name="Oval 102">
            <a:extLst>
              <a:ext uri="{FF2B5EF4-FFF2-40B4-BE49-F238E27FC236}">
                <a16:creationId xmlns:a16="http://schemas.microsoft.com/office/drawing/2014/main" id="{57384920-41A2-4214-A882-0A0521250229}"/>
              </a:ext>
            </a:extLst>
          </xdr:cNvPr>
          <xdr:cNvSpPr/>
        </xdr:nvSpPr>
        <xdr:spPr>
          <a:xfrm>
            <a:off x="5975920" y="772168"/>
            <a:ext cx="571929" cy="577922"/>
          </a:xfrm>
          <a:prstGeom prst="ellipse">
            <a:avLst/>
          </a:prstGeom>
          <a:solidFill>
            <a:schemeClr val="bg1"/>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pic>
        <xdr:nvPicPr>
          <xdr:cNvPr id="105" name="Picture 104">
            <a:extLst>
              <a:ext uri="{FF2B5EF4-FFF2-40B4-BE49-F238E27FC236}">
                <a16:creationId xmlns:a16="http://schemas.microsoft.com/office/drawing/2014/main" id="{1F7B37CD-2939-B614-CB45-9D68FE47B8B5}"/>
              </a:ext>
            </a:extLst>
          </xdr:cNvPr>
          <xdr:cNvPicPr>
            <a:picLocks noChangeAspect="1"/>
          </xdr:cNvPicPr>
        </xdr:nvPicPr>
        <xdr:blipFill>
          <a:blip xmlns:r="http://schemas.openxmlformats.org/officeDocument/2006/relationships" r:embed="rId17" cstate="print">
            <a:extLst>
              <a:ext uri="{28A0092B-C50C-407E-A947-70E740481C1C}">
                <a14:useLocalDpi xmlns:a14="http://schemas.microsoft.com/office/drawing/2010/main" val="0"/>
              </a:ext>
            </a:extLst>
          </a:blip>
          <a:stretch>
            <a:fillRect/>
          </a:stretch>
        </xdr:blipFill>
        <xdr:spPr>
          <a:xfrm>
            <a:off x="6025365" y="853259"/>
            <a:ext cx="470899" cy="420587"/>
          </a:xfrm>
          <a:prstGeom prst="rect">
            <a:avLst/>
          </a:prstGeom>
        </xdr:spPr>
      </xdr:pic>
    </xdr:grpSp>
    <xdr:clientData/>
  </xdr:twoCellAnchor>
  <xdr:twoCellAnchor>
    <xdr:from>
      <xdr:col>13</xdr:col>
      <xdr:colOff>156470</xdr:colOff>
      <xdr:row>4</xdr:row>
      <xdr:rowOff>4175</xdr:rowOff>
    </xdr:from>
    <xdr:to>
      <xdr:col>14</xdr:col>
      <xdr:colOff>118371</xdr:colOff>
      <xdr:row>7</xdr:row>
      <xdr:rowOff>4176</xdr:rowOff>
    </xdr:to>
    <xdr:grpSp>
      <xdr:nvGrpSpPr>
        <xdr:cNvPr id="110" name="Group 109">
          <a:extLst>
            <a:ext uri="{FF2B5EF4-FFF2-40B4-BE49-F238E27FC236}">
              <a16:creationId xmlns:a16="http://schemas.microsoft.com/office/drawing/2014/main" id="{A6128F61-D428-FAEE-A1D6-B03867EA80A2}"/>
            </a:ext>
          </a:extLst>
        </xdr:cNvPr>
        <xdr:cNvGrpSpPr/>
      </xdr:nvGrpSpPr>
      <xdr:grpSpPr>
        <a:xfrm>
          <a:off x="8086835" y="774737"/>
          <a:ext cx="571929" cy="577922"/>
          <a:chOff x="8247365" y="774737"/>
          <a:chExt cx="571929" cy="577922"/>
        </a:xfrm>
      </xdr:grpSpPr>
      <xdr:sp macro="" textlink="">
        <xdr:nvSpPr>
          <xdr:cNvPr id="106" name="Oval 105">
            <a:extLst>
              <a:ext uri="{FF2B5EF4-FFF2-40B4-BE49-F238E27FC236}">
                <a16:creationId xmlns:a16="http://schemas.microsoft.com/office/drawing/2014/main" id="{3C05C111-4E7E-A6B7-50FE-AA93E7B56AB0}"/>
              </a:ext>
            </a:extLst>
          </xdr:cNvPr>
          <xdr:cNvSpPr/>
        </xdr:nvSpPr>
        <xdr:spPr>
          <a:xfrm>
            <a:off x="8247365" y="774737"/>
            <a:ext cx="571929" cy="577922"/>
          </a:xfrm>
          <a:prstGeom prst="ellipse">
            <a:avLst/>
          </a:prstGeom>
          <a:solidFill>
            <a:schemeClr val="bg1"/>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pic>
        <xdr:nvPicPr>
          <xdr:cNvPr id="108" name="Picture 107">
            <a:extLst>
              <a:ext uri="{FF2B5EF4-FFF2-40B4-BE49-F238E27FC236}">
                <a16:creationId xmlns:a16="http://schemas.microsoft.com/office/drawing/2014/main" id="{E344C927-A393-7399-6A0A-337FC232BBE1}"/>
              </a:ext>
            </a:extLst>
          </xdr:cNvPr>
          <xdr:cNvPicPr>
            <a:picLocks noChangeAspect="1"/>
          </xdr:cNvPicPr>
        </xdr:nvPicPr>
        <xdr:blipFill>
          <a:blip xmlns:r="http://schemas.openxmlformats.org/officeDocument/2006/relationships" r:embed="rId18" cstate="print">
            <a:extLst>
              <a:ext uri="{28A0092B-C50C-407E-A947-70E740481C1C}">
                <a14:useLocalDpi xmlns:a14="http://schemas.microsoft.com/office/drawing/2010/main" val="0"/>
              </a:ext>
            </a:extLst>
          </a:blip>
          <a:stretch>
            <a:fillRect/>
          </a:stretch>
        </xdr:blipFill>
        <xdr:spPr>
          <a:xfrm>
            <a:off x="8347754" y="845479"/>
            <a:ext cx="391350" cy="438792"/>
          </a:xfrm>
          <a:prstGeom prst="rect">
            <a:avLst/>
          </a:prstGeom>
        </xdr:spPr>
      </xdr:pic>
    </xdr:grpSp>
    <xdr:clientData/>
  </xdr:twoCellAnchor>
  <xdr:twoCellAnchor>
    <xdr:from>
      <xdr:col>22</xdr:col>
      <xdr:colOff>128426</xdr:colOff>
      <xdr:row>7</xdr:row>
      <xdr:rowOff>128427</xdr:rowOff>
    </xdr:from>
    <xdr:to>
      <xdr:col>24</xdr:col>
      <xdr:colOff>10702</xdr:colOff>
      <xdr:row>8</xdr:row>
      <xdr:rowOff>192639</xdr:rowOff>
    </xdr:to>
    <xdr:sp macro="[0]!Supermarket" textlink="">
      <xdr:nvSpPr>
        <xdr:cNvPr id="112" name="Rectangle: Rounded Corners 111">
          <a:extLst>
            <a:ext uri="{FF2B5EF4-FFF2-40B4-BE49-F238E27FC236}">
              <a16:creationId xmlns:a16="http://schemas.microsoft.com/office/drawing/2014/main" id="{A53C6D95-BD12-2F81-3C3A-02384ACC4330}"/>
            </a:ext>
          </a:extLst>
        </xdr:cNvPr>
        <xdr:cNvSpPr/>
      </xdr:nvSpPr>
      <xdr:spPr>
        <a:xfrm>
          <a:off x="13549044" y="1476910"/>
          <a:ext cx="1102332" cy="256853"/>
        </a:xfrm>
        <a:prstGeom prst="roundRect">
          <a:avLst/>
        </a:prstGeom>
        <a:solidFill>
          <a:srgbClr val="D8D5DB"/>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100" i="1"/>
            <a:t>CLEAR FILTER</a:t>
          </a:r>
        </a:p>
      </xdr:txBody>
    </xdr:sp>
    <xdr:clientData/>
  </xdr:twoCellAnchor>
  <xdr:twoCellAnchor>
    <xdr:from>
      <xdr:col>18</xdr:col>
      <xdr:colOff>364736</xdr:colOff>
      <xdr:row>25</xdr:row>
      <xdr:rowOff>120388</xdr:rowOff>
    </xdr:from>
    <xdr:to>
      <xdr:col>23</xdr:col>
      <xdr:colOff>545816</xdr:colOff>
      <xdr:row>28</xdr:row>
      <xdr:rowOff>107022</xdr:rowOff>
    </xdr:to>
    <xdr:sp macro="" textlink="Analysis!G24">
      <xdr:nvSpPr>
        <xdr:cNvPr id="114" name="TextBox 113">
          <a:extLst>
            <a:ext uri="{FF2B5EF4-FFF2-40B4-BE49-F238E27FC236}">
              <a16:creationId xmlns:a16="http://schemas.microsoft.com/office/drawing/2014/main" id="{72299FA8-DA3E-7FB0-E93C-2514AB4A71E7}"/>
            </a:ext>
          </a:extLst>
        </xdr:cNvPr>
        <xdr:cNvSpPr txBox="1"/>
      </xdr:nvSpPr>
      <xdr:spPr>
        <a:xfrm>
          <a:off x="11345242" y="4936399"/>
          <a:ext cx="3231220" cy="56455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l"/>
          <a:fld id="{AA5B5896-4F6F-4601-9BA6-9FFF993CD232}" type="TxLink">
            <a:rPr lang="en-US" sz="1100" b="0" i="0" u="none" strike="noStrike" baseline="0">
              <a:solidFill>
                <a:srgbClr val="D8D5DB"/>
              </a:solidFill>
              <a:latin typeface="Calibri"/>
              <a:ea typeface="Calibri"/>
              <a:cs typeface="Calibri"/>
            </a:rPr>
            <a:pPr algn="l"/>
            <a:t>📌 Sat recorded the highest ordered quantity of 
919 orders.</a:t>
          </a:fld>
          <a:endParaRPr lang="en-US" sz="2400" b="1">
            <a:solidFill>
              <a:srgbClr val="D8D5DB"/>
            </a:solidFill>
            <a:latin typeface="Segoe UI Black" panose="020B0A02040204020203" pitchFamily="34" charset="0"/>
            <a:ea typeface="Segoe UI Black" panose="020B0A02040204020203" pitchFamily="34" charset="0"/>
          </a:endParaRPr>
        </a:p>
      </xdr:txBody>
    </xdr:sp>
    <xdr:clientData/>
  </xdr:twoCellAnchor>
  <xdr:twoCellAnchor>
    <xdr:from>
      <xdr:col>18</xdr:col>
      <xdr:colOff>335197</xdr:colOff>
      <xdr:row>27</xdr:row>
      <xdr:rowOff>144360</xdr:rowOff>
    </xdr:from>
    <xdr:to>
      <xdr:col>23</xdr:col>
      <xdr:colOff>377147</xdr:colOff>
      <xdr:row>31</xdr:row>
      <xdr:rowOff>74916</xdr:rowOff>
    </xdr:to>
    <xdr:sp macro="" textlink="Analysis!M16">
      <xdr:nvSpPr>
        <xdr:cNvPr id="115" name="TextBox 114">
          <a:extLst>
            <a:ext uri="{FF2B5EF4-FFF2-40B4-BE49-F238E27FC236}">
              <a16:creationId xmlns:a16="http://schemas.microsoft.com/office/drawing/2014/main" id="{D75699D9-D946-6B7A-28BF-786004078907}"/>
            </a:ext>
          </a:extLst>
        </xdr:cNvPr>
        <xdr:cNvSpPr txBox="1"/>
      </xdr:nvSpPr>
      <xdr:spPr>
        <a:xfrm>
          <a:off x="11315703" y="5345652"/>
          <a:ext cx="3092090" cy="70111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lgn="l"/>
          <a:fld id="{CEFCA996-8407-4DF7-9292-94339280C320}" type="TxLink">
            <a:rPr lang="en-US" sz="1100" b="0" i="0" u="none" strike="noStrike" baseline="0">
              <a:solidFill>
                <a:srgbClr val="D8D5DB"/>
              </a:solidFill>
              <a:latin typeface="Calibri"/>
              <a:ea typeface="Calibri"/>
              <a:cs typeface="Calibri"/>
            </a:rPr>
            <a:pPr marL="0" indent="0" algn="l"/>
            <a:t>📌 Morning is the overall peak hour of sales with quantity of 2944 oredered equating 53% total order per day.Generating $171,678 In revenue.</a:t>
          </a:fld>
          <a:endParaRPr lang="en-US" sz="1100" b="0" i="0" u="none" strike="noStrike" baseline="0">
            <a:solidFill>
              <a:srgbClr val="D8D5DB"/>
            </a:solidFill>
            <a:latin typeface="Calibri"/>
            <a:ea typeface="Calibri"/>
            <a:cs typeface="Calibri"/>
          </a:endParaRPr>
        </a:p>
      </xdr:txBody>
    </xdr:sp>
    <xdr:clientData/>
  </xdr:twoCellAnchor>
  <xdr:twoCellAnchor>
    <xdr:from>
      <xdr:col>18</xdr:col>
      <xdr:colOff>348469</xdr:colOff>
      <xdr:row>30</xdr:row>
      <xdr:rowOff>189736</xdr:rowOff>
    </xdr:from>
    <xdr:to>
      <xdr:col>23</xdr:col>
      <xdr:colOff>390419</xdr:colOff>
      <xdr:row>34</xdr:row>
      <xdr:rowOff>192639</xdr:rowOff>
    </xdr:to>
    <xdr:sp macro="" textlink="Analysis!M48">
      <xdr:nvSpPr>
        <xdr:cNvPr id="117" name="TextBox 116">
          <a:extLst>
            <a:ext uri="{FF2B5EF4-FFF2-40B4-BE49-F238E27FC236}">
              <a16:creationId xmlns:a16="http://schemas.microsoft.com/office/drawing/2014/main" id="{3EC5CD83-8888-A25F-29FA-7719BEAEED30}"/>
            </a:ext>
          </a:extLst>
        </xdr:cNvPr>
        <xdr:cNvSpPr txBox="1"/>
      </xdr:nvSpPr>
      <xdr:spPr>
        <a:xfrm>
          <a:off x="11328975" y="5968949"/>
          <a:ext cx="3092090" cy="77346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lgn="l"/>
          <a:fld id="{78287180-EC1F-44B6-9DCD-1C46CC8ED499}" type="TxLink">
            <a:rPr lang="en-US" sz="1100" b="0" i="0" u="none" strike="noStrike" baseline="0">
              <a:solidFill>
                <a:srgbClr val="D8D5DB"/>
              </a:solidFill>
              <a:latin typeface="Calibri"/>
              <a:ea typeface="Calibri"/>
              <a:cs typeface="Calibri"/>
            </a:rPr>
            <a:pPr marL="0" indent="0" algn="l"/>
            <a:t>📌 In the variation between weekdays and time of day Sat lead the chart in the Morning with 505 ordered quantity.</a:t>
          </a:fld>
          <a:endParaRPr lang="en-US" sz="1100" b="0" i="0" u="none" strike="noStrike" baseline="0">
            <a:solidFill>
              <a:srgbClr val="D8D5DB"/>
            </a:solidFill>
            <a:latin typeface="Calibri"/>
            <a:ea typeface="Calibri"/>
            <a:cs typeface="Calibri"/>
          </a:endParaRPr>
        </a:p>
      </xdr:txBody>
    </xdr:sp>
    <xdr:clientData/>
  </xdr:twoCellAnchor>
  <xdr:twoCellAnchor>
    <xdr:from>
      <xdr:col>18</xdr:col>
      <xdr:colOff>361738</xdr:colOff>
      <xdr:row>34</xdr:row>
      <xdr:rowOff>63878</xdr:rowOff>
    </xdr:from>
    <xdr:to>
      <xdr:col>24</xdr:col>
      <xdr:colOff>10701</xdr:colOff>
      <xdr:row>38</xdr:row>
      <xdr:rowOff>66781</xdr:rowOff>
    </xdr:to>
    <xdr:sp macro="" textlink="Analysis!AB15">
      <xdr:nvSpPr>
        <xdr:cNvPr id="118" name="TextBox 117">
          <a:extLst>
            <a:ext uri="{FF2B5EF4-FFF2-40B4-BE49-F238E27FC236}">
              <a16:creationId xmlns:a16="http://schemas.microsoft.com/office/drawing/2014/main" id="{46946474-9B0B-A70C-3D7E-516BC014EA4B}"/>
            </a:ext>
          </a:extLst>
        </xdr:cNvPr>
        <xdr:cNvSpPr txBox="1"/>
      </xdr:nvSpPr>
      <xdr:spPr>
        <a:xfrm>
          <a:off x="11342244" y="6613653"/>
          <a:ext cx="3309131" cy="77346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lgn="l"/>
          <a:fld id="{9E63BE68-7CA8-4CFA-9B7C-DB163C42717D}" type="TxLink">
            <a:rPr lang="en-US" sz="1100" b="0" i="0" u="none" strike="noStrike" baseline="0">
              <a:solidFill>
                <a:srgbClr val="D8D5DB"/>
              </a:solidFill>
              <a:latin typeface="Calibri"/>
              <a:ea typeface="Calibri"/>
              <a:cs typeface="Calibri"/>
            </a:rPr>
            <a:pPr marL="0" indent="0" algn="l"/>
            <a:t>📌 The peak Month of sales is Jan raking in $116,292 in revenue.</a:t>
          </a:fld>
          <a:endParaRPr lang="en-US" sz="1100" b="0" i="0" u="none" strike="noStrike" baseline="0">
            <a:solidFill>
              <a:srgbClr val="D8D5DB"/>
            </a:solidFill>
            <a:latin typeface="Calibri"/>
            <a:ea typeface="Calibri"/>
            <a:cs typeface="Calibri"/>
          </a:endParaRPr>
        </a:p>
      </xdr:txBody>
    </xdr:sp>
    <xdr:clientData/>
  </xdr:twoCellAnchor>
  <xdr:twoCellAnchor>
    <xdr:from>
      <xdr:col>18</xdr:col>
      <xdr:colOff>396413</xdr:colOff>
      <xdr:row>36</xdr:row>
      <xdr:rowOff>130660</xdr:rowOff>
    </xdr:from>
    <xdr:to>
      <xdr:col>24</xdr:col>
      <xdr:colOff>0</xdr:colOff>
      <xdr:row>40</xdr:row>
      <xdr:rowOff>133563</xdr:rowOff>
    </xdr:to>
    <xdr:sp macro="" textlink="Analysis!AM21">
      <xdr:nvSpPr>
        <xdr:cNvPr id="119" name="TextBox 118">
          <a:extLst>
            <a:ext uri="{FF2B5EF4-FFF2-40B4-BE49-F238E27FC236}">
              <a16:creationId xmlns:a16="http://schemas.microsoft.com/office/drawing/2014/main" id="{6CE6F56A-D25E-CC34-AFA9-1831FF34F6AF}"/>
            </a:ext>
          </a:extLst>
        </xdr:cNvPr>
        <xdr:cNvSpPr txBox="1"/>
      </xdr:nvSpPr>
      <xdr:spPr>
        <a:xfrm>
          <a:off x="11376919" y="7065716"/>
          <a:ext cx="3263755" cy="77346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lgn="l"/>
          <a:fld id="{DA432E46-3C55-429A-88C3-5D8F145A924B}" type="TxLink">
            <a:rPr lang="en-US" sz="1100" b="0" i="0" u="none" strike="noStrike" baseline="0">
              <a:solidFill>
                <a:srgbClr val="D8D5DB"/>
              </a:solidFill>
              <a:latin typeface="Calibri"/>
              <a:ea typeface="Calibri"/>
              <a:cs typeface="Calibri"/>
            </a:rPr>
            <a:pPr marL="0" indent="0" algn="l"/>
            <a:t>📌 Among Products Line Food and beverages leads with $56,145 in revenue.</a:t>
          </a:fld>
          <a:endParaRPr lang="en-US" sz="1100" b="0" i="0" u="none" strike="noStrike" baseline="0">
            <a:solidFill>
              <a:srgbClr val="D8D5DB"/>
            </a:solidFill>
            <a:latin typeface="Calibri"/>
            <a:ea typeface="Calibri"/>
            <a:cs typeface="Calibri"/>
          </a:endParaRPr>
        </a:p>
      </xdr:txBody>
    </xdr:sp>
    <xdr:clientData/>
  </xdr:twoCellAnchor>
  <xdr:twoCellAnchor>
    <xdr:from>
      <xdr:col>8</xdr:col>
      <xdr:colOff>471758</xdr:colOff>
      <xdr:row>1</xdr:row>
      <xdr:rowOff>107024</xdr:rowOff>
    </xdr:from>
    <xdr:to>
      <xdr:col>16</xdr:col>
      <xdr:colOff>53512</xdr:colOff>
      <xdr:row>3</xdr:row>
      <xdr:rowOff>45380</xdr:rowOff>
    </xdr:to>
    <xdr:sp macro="" textlink="Analysis!A4">
      <xdr:nvSpPr>
        <xdr:cNvPr id="120" name="TextBox 119">
          <a:extLst>
            <a:ext uri="{FF2B5EF4-FFF2-40B4-BE49-F238E27FC236}">
              <a16:creationId xmlns:a16="http://schemas.microsoft.com/office/drawing/2014/main" id="{9785FBB0-67CA-B0FC-BCC0-C7772B304612}"/>
            </a:ext>
          </a:extLst>
        </xdr:cNvPr>
        <xdr:cNvSpPr txBox="1"/>
      </xdr:nvSpPr>
      <xdr:spPr>
        <a:xfrm>
          <a:off x="5351983" y="299664"/>
          <a:ext cx="4461978" cy="32363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l"/>
          <a:r>
            <a:rPr lang="en-US" sz="1800" b="1" i="1" baseline="0">
              <a:solidFill>
                <a:srgbClr val="2D3142"/>
              </a:solidFill>
              <a:latin typeface="Segoe UI Black" panose="020B0A02040204020203" pitchFamily="34" charset="0"/>
              <a:ea typeface="Segoe UI Black" panose="020B0A02040204020203" pitchFamily="34" charset="0"/>
            </a:rPr>
            <a:t>SUPERMARKET SALES DASHBOARD</a:t>
          </a:r>
        </a:p>
        <a:p>
          <a:pPr algn="l"/>
          <a:endParaRPr lang="en-US" sz="1800" b="1" baseline="0">
            <a:solidFill>
              <a:srgbClr val="2D3142"/>
            </a:solidFill>
            <a:latin typeface="Segoe UI Black" panose="020B0A02040204020203" pitchFamily="34" charset="0"/>
            <a:ea typeface="Segoe UI Black" panose="020B0A02040204020203" pitchFamily="34" charset="0"/>
          </a:endParaRPr>
        </a:p>
        <a:p>
          <a:pPr algn="l"/>
          <a:endParaRPr lang="en-US" sz="3600" b="1">
            <a:solidFill>
              <a:srgbClr val="2D3142"/>
            </a:solidFill>
            <a:latin typeface="Segoe UI Black" panose="020B0A02040204020203" pitchFamily="34" charset="0"/>
            <a:ea typeface="Segoe UI Black" panose="020B0A02040204020203" pitchFamily="34" charset="0"/>
          </a:endParaRPr>
        </a:p>
      </xdr:txBody>
    </xdr:sp>
    <xdr:clientData/>
  </xdr:twoCellAnchor>
</xdr:wsDr>
</file>

<file path=xl/persons/person.xml><?xml version="1.0" encoding="utf-8"?>
<personList xmlns="http://schemas.microsoft.com/office/spreadsheetml/2018/threadedcomments" xmlns:x="http://schemas.openxmlformats.org/spreadsheetml/2006/main"/>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ICT047" refreshedDate="45972.248978009258" createdVersion="8" refreshedVersion="8" minRefreshableVersion="3" recordCount="1000" xr:uid="{3609E203-E264-44BF-B33E-845D6B0984AD}">
  <cacheSource type="worksheet">
    <worksheetSource name="Table2"/>
  </cacheSource>
  <cacheFields count="20">
    <cacheField name="Invoice ID" numFmtId="0">
      <sharedItems/>
    </cacheField>
    <cacheField name="Unit price" numFmtId="166">
      <sharedItems containsSemiMixedTypes="0" containsString="0" containsNumber="1" minValue="10.08" maxValue="99.96"/>
    </cacheField>
    <cacheField name="Quantity" numFmtId="1">
      <sharedItems containsSemiMixedTypes="0" containsString="0" containsNumber="1" containsInteger="1" minValue="1" maxValue="10"/>
    </cacheField>
    <cacheField name="Tax 5%" numFmtId="166">
      <sharedItems containsSemiMixedTypes="0" containsString="0" containsNumber="1" minValue="0.50849999999999995" maxValue="49.65"/>
    </cacheField>
    <cacheField name="Revenue" numFmtId="166">
      <sharedItems containsSemiMixedTypes="0" containsString="0" containsNumber="1" minValue="10.6785" maxValue="1042.6500000000001"/>
    </cacheField>
    <cacheField name="Date" numFmtId="14">
      <sharedItems containsSemiMixedTypes="0" containsNonDate="0" containsDate="1" containsString="0" minDate="2019-01-01T00:00:00" maxDate="2019-03-31T00:00:00"/>
    </cacheField>
    <cacheField name="Time" numFmtId="18">
      <sharedItems containsSemiMixedTypes="0" containsNonDate="0" containsDate="1" containsString="0" minDate="1899-12-30T13:08:00" maxDate="1900-02-10T04:08:00"/>
    </cacheField>
    <cacheField name="Payment" numFmtId="0">
      <sharedItems/>
    </cacheField>
    <cacheField name="cogs" numFmtId="166">
      <sharedItems containsSemiMixedTypes="0" containsString="0" containsNumber="1" minValue="10.17" maxValue="993"/>
    </cacheField>
    <cacheField name="gross margin percentage" numFmtId="2">
      <sharedItems containsSemiMixedTypes="0" containsString="0" containsNumber="1" minValue="4.7619047620000003" maxValue="4.7619047620000003"/>
    </cacheField>
    <cacheField name="Rating" numFmtId="165">
      <sharedItems containsSemiMixedTypes="0" containsString="0" containsNumber="1" minValue="4" maxValue="10"/>
    </cacheField>
    <cacheField name="CustomerType" numFmtId="0">
      <sharedItems count="2">
        <s v="Member"/>
        <s v="Normal"/>
      </sharedItems>
    </cacheField>
    <cacheField name="Gender" numFmtId="0">
      <sharedItems count="2">
        <s v="Female"/>
        <s v="Male"/>
      </sharedItems>
    </cacheField>
    <cacheField name="Product Line" numFmtId="0">
      <sharedItems count="6">
        <s v="Health and beauty"/>
        <s v="Electronic accessories"/>
        <s v="Home and lifestyle"/>
        <s v="Sports and travel"/>
        <s v="Food and beverages"/>
        <s v="Fashion accessories"/>
      </sharedItems>
    </cacheField>
    <cacheField name="City" numFmtId="0">
      <sharedItems count="3">
        <s v="Yangon"/>
        <s v="Naypyitaw"/>
        <s v="Mandalay"/>
      </sharedItems>
    </cacheField>
    <cacheField name="Branch" numFmtId="0">
      <sharedItems count="3">
        <s v="A"/>
        <s v="C"/>
        <s v="B"/>
      </sharedItems>
    </cacheField>
    <cacheField name="Month" numFmtId="0">
      <sharedItems count="3">
        <s v="Jan"/>
        <s v="Mar"/>
        <s v="Feb"/>
      </sharedItems>
    </cacheField>
    <cacheField name="Day" numFmtId="0">
      <sharedItems count="7">
        <s v="Sat"/>
        <s v="Fri"/>
        <s v="Sun"/>
        <s v="Mon"/>
        <s v="Thu"/>
        <s v="Wed"/>
        <s v="Tue"/>
      </sharedItems>
    </cacheField>
    <cacheField name="Hour" numFmtId="0">
      <sharedItems containsSemiMixedTypes="0" containsString="0" containsNumber="1" containsInteger="1" minValue="0" maxValue="23"/>
    </cacheField>
    <cacheField name="Time of Day" numFmtId="0">
      <sharedItems count="4">
        <s v="Afternoon"/>
        <s v="Evening"/>
        <s v="Night"/>
        <s v="Morning"/>
      </sharedItems>
    </cacheField>
  </cacheFields>
  <extLst>
    <ext xmlns:x14="http://schemas.microsoft.com/office/spreadsheetml/2009/9/main" uri="{725AE2AE-9491-48be-B2B4-4EB974FC3084}">
      <x14:pivotCacheDefinition pivotCacheId="263030383"/>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000">
  <r>
    <s v="750-67-8428"/>
    <n v="74.69"/>
    <n v="7"/>
    <n v="26.141500000000001"/>
    <n v="548.97149999999999"/>
    <d v="2019-01-05T00:00:00"/>
    <d v="1899-12-30T13:08:00"/>
    <s v="Ewallet"/>
    <n v="522.83000000000004"/>
    <n v="4.7619047620000003"/>
    <n v="9.1"/>
    <x v="0"/>
    <x v="0"/>
    <x v="0"/>
    <x v="0"/>
    <x v="0"/>
    <x v="0"/>
    <x v="0"/>
    <n v="13"/>
    <x v="0"/>
  </r>
  <r>
    <s v="226-31-3081"/>
    <n v="15.28"/>
    <n v="5"/>
    <n v="3.82"/>
    <n v="80.22"/>
    <d v="2019-03-08T00:00:00"/>
    <d v="1899-12-30T14:08:00"/>
    <s v="Cash"/>
    <n v="76.400000000000006"/>
    <n v="4.7619047620000003"/>
    <n v="9.6"/>
    <x v="1"/>
    <x v="0"/>
    <x v="1"/>
    <x v="1"/>
    <x v="1"/>
    <x v="1"/>
    <x v="1"/>
    <n v="14"/>
    <x v="0"/>
  </r>
  <r>
    <s v="631-41-3108"/>
    <n v="46.33"/>
    <n v="7"/>
    <n v="16.215499999999999"/>
    <n v="340.52550000000002"/>
    <d v="2019-03-03T00:00:00"/>
    <d v="1899-12-30T15:08:00"/>
    <s v="Credit card"/>
    <n v="324.31"/>
    <n v="4.7619047620000003"/>
    <n v="7.4"/>
    <x v="1"/>
    <x v="1"/>
    <x v="2"/>
    <x v="0"/>
    <x v="0"/>
    <x v="1"/>
    <x v="2"/>
    <n v="15"/>
    <x v="0"/>
  </r>
  <r>
    <s v="123-19-1176"/>
    <n v="58.22"/>
    <n v="8"/>
    <n v="23.288"/>
    <n v="489.048"/>
    <d v="2019-01-27T00:00:00"/>
    <d v="1899-12-30T16:08:00"/>
    <s v="Ewallet"/>
    <n v="465.76"/>
    <n v="4.7619047620000003"/>
    <n v="8.4"/>
    <x v="0"/>
    <x v="1"/>
    <x v="0"/>
    <x v="0"/>
    <x v="0"/>
    <x v="0"/>
    <x v="2"/>
    <n v="16"/>
    <x v="0"/>
  </r>
  <r>
    <s v="373-73-7910"/>
    <n v="86.31"/>
    <n v="7"/>
    <n v="30.208500000000001"/>
    <n v="634.37850000000003"/>
    <d v="2019-02-08T00:00:00"/>
    <d v="1899-12-30T17:08:00"/>
    <s v="Ewallet"/>
    <n v="604.16999999999996"/>
    <n v="4.7619047620000003"/>
    <n v="5.3"/>
    <x v="1"/>
    <x v="1"/>
    <x v="3"/>
    <x v="0"/>
    <x v="0"/>
    <x v="2"/>
    <x v="1"/>
    <n v="17"/>
    <x v="1"/>
  </r>
  <r>
    <s v="699-14-3026"/>
    <n v="85.39"/>
    <n v="7"/>
    <n v="29.886500000000002"/>
    <n v="627.61649999999997"/>
    <d v="2019-03-25T00:00:00"/>
    <d v="1899-12-30T18:08:00"/>
    <s v="Ewallet"/>
    <n v="597.73"/>
    <n v="4.7619047620000003"/>
    <n v="4.0999999999999996"/>
    <x v="1"/>
    <x v="1"/>
    <x v="1"/>
    <x v="1"/>
    <x v="1"/>
    <x v="1"/>
    <x v="3"/>
    <n v="18"/>
    <x v="1"/>
  </r>
  <r>
    <s v="355-53-5943"/>
    <n v="68.84"/>
    <n v="6"/>
    <n v="20.652000000000001"/>
    <n v="433.69200000000001"/>
    <d v="2019-02-25T00:00:00"/>
    <d v="1899-12-30T19:08:00"/>
    <s v="Ewallet"/>
    <n v="413.04"/>
    <n v="4.7619047620000003"/>
    <n v="5.8"/>
    <x v="0"/>
    <x v="0"/>
    <x v="1"/>
    <x v="0"/>
    <x v="0"/>
    <x v="2"/>
    <x v="3"/>
    <n v="19"/>
    <x v="1"/>
  </r>
  <r>
    <s v="315-22-5665"/>
    <n v="73.56"/>
    <n v="10"/>
    <n v="36.78"/>
    <n v="772.38"/>
    <d v="2019-02-24T00:00:00"/>
    <d v="1899-12-30T20:08:00"/>
    <s v="Ewallet"/>
    <n v="735.6"/>
    <n v="4.7619047620000003"/>
    <n v="8"/>
    <x v="1"/>
    <x v="0"/>
    <x v="2"/>
    <x v="1"/>
    <x v="1"/>
    <x v="2"/>
    <x v="2"/>
    <n v="20"/>
    <x v="1"/>
  </r>
  <r>
    <s v="665-32-9167"/>
    <n v="36.26"/>
    <n v="2"/>
    <n v="3.6259999999999999"/>
    <n v="76.146000000000001"/>
    <d v="2019-01-10T00:00:00"/>
    <d v="1899-12-30T21:08:00"/>
    <s v="Credit card"/>
    <n v="72.52"/>
    <n v="4.7619047620000003"/>
    <n v="7.2"/>
    <x v="0"/>
    <x v="0"/>
    <x v="0"/>
    <x v="0"/>
    <x v="0"/>
    <x v="0"/>
    <x v="4"/>
    <n v="21"/>
    <x v="1"/>
  </r>
  <r>
    <s v="692-92-5582"/>
    <n v="54.84"/>
    <n v="3"/>
    <n v="8.2260000000000009"/>
    <n v="172.74600000000001"/>
    <d v="2019-02-20T00:00:00"/>
    <d v="1899-12-30T22:08:00"/>
    <s v="Credit card"/>
    <n v="164.52"/>
    <n v="4.7619047620000003"/>
    <n v="5.9"/>
    <x v="0"/>
    <x v="0"/>
    <x v="4"/>
    <x v="2"/>
    <x v="2"/>
    <x v="2"/>
    <x v="5"/>
    <n v="22"/>
    <x v="2"/>
  </r>
  <r>
    <s v="351-62-0822"/>
    <n v="14.48"/>
    <n v="4"/>
    <n v="2.8959999999999999"/>
    <n v="60.816000000000003"/>
    <d v="2019-02-06T00:00:00"/>
    <d v="1899-12-30T23:08:00"/>
    <s v="Ewallet"/>
    <n v="57.92"/>
    <n v="4.7619047620000003"/>
    <n v="4.5"/>
    <x v="0"/>
    <x v="0"/>
    <x v="5"/>
    <x v="2"/>
    <x v="2"/>
    <x v="2"/>
    <x v="5"/>
    <n v="23"/>
    <x v="2"/>
  </r>
  <r>
    <s v="529-56-3974"/>
    <n v="25.51"/>
    <n v="4"/>
    <n v="5.1020000000000003"/>
    <n v="107.142"/>
    <d v="2019-03-09T00:00:00"/>
    <d v="1899-12-31T00:08:00"/>
    <s v="Cash"/>
    <n v="102.04"/>
    <n v="4.7619047620000003"/>
    <n v="6.8"/>
    <x v="0"/>
    <x v="1"/>
    <x v="1"/>
    <x v="2"/>
    <x v="2"/>
    <x v="1"/>
    <x v="0"/>
    <n v="0"/>
    <x v="3"/>
  </r>
  <r>
    <s v="365-64-0515"/>
    <n v="46.95"/>
    <n v="5"/>
    <n v="11.737500000000001"/>
    <n v="246.48750000000001"/>
    <d v="2019-02-12T00:00:00"/>
    <d v="1899-12-31T01:08:00"/>
    <s v="Ewallet"/>
    <n v="234.75"/>
    <n v="4.7619047620000003"/>
    <n v="7.1"/>
    <x v="1"/>
    <x v="0"/>
    <x v="1"/>
    <x v="0"/>
    <x v="0"/>
    <x v="2"/>
    <x v="6"/>
    <n v="1"/>
    <x v="3"/>
  </r>
  <r>
    <s v="252-56-2699"/>
    <n v="43.19"/>
    <n v="10"/>
    <n v="21.594999999999999"/>
    <n v="453.495"/>
    <d v="2019-02-07T00:00:00"/>
    <d v="1899-12-31T02:08:00"/>
    <s v="Ewallet"/>
    <n v="431.9"/>
    <n v="4.7619047620000003"/>
    <n v="8.1999999999999993"/>
    <x v="1"/>
    <x v="1"/>
    <x v="4"/>
    <x v="0"/>
    <x v="0"/>
    <x v="2"/>
    <x v="4"/>
    <n v="2"/>
    <x v="3"/>
  </r>
  <r>
    <s v="829-34-3910"/>
    <n v="71.38"/>
    <n v="10"/>
    <n v="35.69"/>
    <n v="749.49"/>
    <d v="2019-03-29T00:00:00"/>
    <d v="1899-12-31T03:08:00"/>
    <s v="Cash"/>
    <n v="713.8"/>
    <n v="4.7619047620000003"/>
    <n v="5.7"/>
    <x v="1"/>
    <x v="0"/>
    <x v="0"/>
    <x v="0"/>
    <x v="0"/>
    <x v="1"/>
    <x v="1"/>
    <n v="3"/>
    <x v="3"/>
  </r>
  <r>
    <s v="299-46-1805"/>
    <n v="93.72"/>
    <n v="6"/>
    <n v="28.116"/>
    <n v="590.43600000000004"/>
    <d v="2019-01-15T00:00:00"/>
    <d v="1899-12-31T04:08:00"/>
    <s v="Cash"/>
    <n v="562.32000000000005"/>
    <n v="4.7619047620000003"/>
    <n v="4.5"/>
    <x v="0"/>
    <x v="0"/>
    <x v="3"/>
    <x v="2"/>
    <x v="2"/>
    <x v="0"/>
    <x v="6"/>
    <n v="4"/>
    <x v="3"/>
  </r>
  <r>
    <s v="656-95-9349"/>
    <n v="68.930000000000007"/>
    <n v="7"/>
    <n v="24.125499999999999"/>
    <n v="506.63549999999998"/>
    <d v="2019-03-11T00:00:00"/>
    <d v="1899-12-31T05:08:00"/>
    <s v="Credit card"/>
    <n v="482.51"/>
    <n v="4.7619047620000003"/>
    <n v="4.5999999999999996"/>
    <x v="0"/>
    <x v="0"/>
    <x v="0"/>
    <x v="0"/>
    <x v="0"/>
    <x v="1"/>
    <x v="3"/>
    <n v="5"/>
    <x v="3"/>
  </r>
  <r>
    <s v="765-26-6951"/>
    <n v="72.61"/>
    <n v="6"/>
    <n v="21.783000000000001"/>
    <n v="457.44299999999998"/>
    <d v="2019-01-01T00:00:00"/>
    <d v="1899-12-31T06:08:00"/>
    <s v="Credit card"/>
    <n v="435.66"/>
    <n v="4.7619047620000003"/>
    <n v="6.9"/>
    <x v="1"/>
    <x v="1"/>
    <x v="3"/>
    <x v="0"/>
    <x v="0"/>
    <x v="0"/>
    <x v="6"/>
    <n v="6"/>
    <x v="3"/>
  </r>
  <r>
    <s v="329-62-1586"/>
    <n v="54.67"/>
    <n v="3"/>
    <n v="8.2004999999999999"/>
    <n v="172.2105"/>
    <d v="2019-01-21T00:00:00"/>
    <d v="1899-12-31T07:08:00"/>
    <s v="Credit card"/>
    <n v="164.01"/>
    <n v="4.7619047620000003"/>
    <n v="8.6"/>
    <x v="1"/>
    <x v="1"/>
    <x v="4"/>
    <x v="0"/>
    <x v="0"/>
    <x v="0"/>
    <x v="3"/>
    <n v="7"/>
    <x v="3"/>
  </r>
  <r>
    <s v="319-50-3348"/>
    <n v="40.299999999999997"/>
    <n v="2"/>
    <n v="4.03"/>
    <n v="84.63"/>
    <d v="2019-03-11T00:00:00"/>
    <d v="1899-12-31T08:08:00"/>
    <s v="Ewallet"/>
    <n v="80.599999999999994"/>
    <n v="4.7619047620000003"/>
    <n v="4.4000000000000004"/>
    <x v="1"/>
    <x v="0"/>
    <x v="2"/>
    <x v="2"/>
    <x v="2"/>
    <x v="1"/>
    <x v="3"/>
    <n v="8"/>
    <x v="3"/>
  </r>
  <r>
    <s v="300-71-4605"/>
    <n v="86.04"/>
    <n v="5"/>
    <n v="21.51"/>
    <n v="451.71"/>
    <d v="2019-02-25T00:00:00"/>
    <d v="1899-12-31T09:08:00"/>
    <s v="Ewallet"/>
    <n v="430.2"/>
    <n v="4.7619047620000003"/>
    <n v="4.8"/>
    <x v="0"/>
    <x v="1"/>
    <x v="1"/>
    <x v="1"/>
    <x v="1"/>
    <x v="2"/>
    <x v="3"/>
    <n v="9"/>
    <x v="3"/>
  </r>
  <r>
    <s v="371-85-5789"/>
    <n v="87.98"/>
    <n v="3"/>
    <n v="13.196999999999999"/>
    <n v="277.137"/>
    <d v="2019-03-05T00:00:00"/>
    <d v="1899-12-31T10:08:00"/>
    <s v="Ewallet"/>
    <n v="263.94"/>
    <n v="4.7619047620000003"/>
    <n v="5.0999999999999996"/>
    <x v="1"/>
    <x v="1"/>
    <x v="0"/>
    <x v="2"/>
    <x v="2"/>
    <x v="1"/>
    <x v="6"/>
    <n v="10"/>
    <x v="3"/>
  </r>
  <r>
    <s v="273-16-6619"/>
    <n v="33.200000000000003"/>
    <n v="2"/>
    <n v="3.32"/>
    <n v="69.72"/>
    <d v="2019-03-15T00:00:00"/>
    <d v="1899-12-31T11:08:00"/>
    <s v="Credit card"/>
    <n v="66.400000000000006"/>
    <n v="4.7619047620000003"/>
    <n v="4.4000000000000004"/>
    <x v="1"/>
    <x v="1"/>
    <x v="2"/>
    <x v="2"/>
    <x v="2"/>
    <x v="1"/>
    <x v="1"/>
    <n v="11"/>
    <x v="3"/>
  </r>
  <r>
    <s v="636-48-8204"/>
    <n v="34.56"/>
    <n v="5"/>
    <n v="8.64"/>
    <n v="181.44"/>
    <d v="2019-02-17T00:00:00"/>
    <d v="1899-12-31T12:08:00"/>
    <s v="Ewallet"/>
    <n v="172.8"/>
    <n v="4.7619047620000003"/>
    <n v="9.9"/>
    <x v="1"/>
    <x v="1"/>
    <x v="1"/>
    <x v="0"/>
    <x v="0"/>
    <x v="2"/>
    <x v="2"/>
    <n v="12"/>
    <x v="3"/>
  </r>
  <r>
    <s v="549-59-1358"/>
    <n v="88.63"/>
    <n v="3"/>
    <n v="13.294499999999999"/>
    <n v="279.18450000000001"/>
    <d v="2019-03-02T00:00:00"/>
    <d v="1899-12-31T13:08:00"/>
    <s v="Ewallet"/>
    <n v="265.89"/>
    <n v="4.7619047620000003"/>
    <n v="6"/>
    <x v="0"/>
    <x v="1"/>
    <x v="3"/>
    <x v="0"/>
    <x v="0"/>
    <x v="1"/>
    <x v="0"/>
    <n v="13"/>
    <x v="0"/>
  </r>
  <r>
    <s v="227-03-5010"/>
    <n v="52.59"/>
    <n v="8"/>
    <n v="21.036000000000001"/>
    <n v="441.75599999999997"/>
    <d v="2019-03-22T00:00:00"/>
    <d v="1899-12-31T14:08:00"/>
    <s v="Credit card"/>
    <n v="420.72"/>
    <n v="4.7619047620000003"/>
    <n v="8.5"/>
    <x v="0"/>
    <x v="0"/>
    <x v="2"/>
    <x v="0"/>
    <x v="0"/>
    <x v="1"/>
    <x v="1"/>
    <n v="14"/>
    <x v="0"/>
  </r>
  <r>
    <s v="649-29-6775"/>
    <n v="33.520000000000003"/>
    <n v="1"/>
    <n v="1.6759999999999999"/>
    <n v="35.195999999999998"/>
    <d v="2019-02-08T00:00:00"/>
    <d v="1899-12-31T15:08:00"/>
    <s v="Cash"/>
    <n v="33.520000000000003"/>
    <n v="4.7619047620000003"/>
    <n v="6.7"/>
    <x v="1"/>
    <x v="1"/>
    <x v="5"/>
    <x v="2"/>
    <x v="2"/>
    <x v="2"/>
    <x v="1"/>
    <n v="15"/>
    <x v="0"/>
  </r>
  <r>
    <s v="189-17-4241"/>
    <n v="87.67"/>
    <n v="2"/>
    <n v="8.7669999999999995"/>
    <n v="184.107"/>
    <d v="2019-03-10T00:00:00"/>
    <d v="1899-12-31T16:08:00"/>
    <s v="Credit card"/>
    <n v="175.34"/>
    <n v="4.7619047620000003"/>
    <n v="7.7"/>
    <x v="1"/>
    <x v="0"/>
    <x v="5"/>
    <x v="0"/>
    <x v="0"/>
    <x v="1"/>
    <x v="2"/>
    <n v="16"/>
    <x v="0"/>
  </r>
  <r>
    <s v="145-94-9061"/>
    <n v="88.36"/>
    <n v="5"/>
    <n v="22.09"/>
    <n v="463.89"/>
    <d v="2019-01-25T00:00:00"/>
    <d v="1899-12-31T17:08:00"/>
    <s v="Cash"/>
    <n v="441.8"/>
    <n v="4.7619047620000003"/>
    <n v="9.6"/>
    <x v="1"/>
    <x v="0"/>
    <x v="4"/>
    <x v="2"/>
    <x v="2"/>
    <x v="0"/>
    <x v="1"/>
    <n v="17"/>
    <x v="1"/>
  </r>
  <r>
    <s v="848-62-7243"/>
    <n v="24.89"/>
    <n v="9"/>
    <n v="11.2005"/>
    <n v="235.2105"/>
    <d v="2019-03-15T00:00:00"/>
    <d v="1899-12-31T18:08:00"/>
    <s v="Cash"/>
    <n v="224.01"/>
    <n v="4.7619047620000003"/>
    <n v="7.4"/>
    <x v="1"/>
    <x v="1"/>
    <x v="0"/>
    <x v="0"/>
    <x v="0"/>
    <x v="1"/>
    <x v="1"/>
    <n v="18"/>
    <x v="1"/>
  </r>
  <r>
    <s v="871-79-8483"/>
    <n v="94.13"/>
    <n v="5"/>
    <n v="23.532499999999999"/>
    <n v="494.1825"/>
    <d v="2019-02-25T00:00:00"/>
    <d v="1899-12-31T19:08:00"/>
    <s v="Credit card"/>
    <n v="470.65"/>
    <n v="4.7619047620000003"/>
    <n v="4.8"/>
    <x v="1"/>
    <x v="1"/>
    <x v="5"/>
    <x v="2"/>
    <x v="2"/>
    <x v="2"/>
    <x v="3"/>
    <n v="19"/>
    <x v="1"/>
  </r>
  <r>
    <s v="149-71-6266"/>
    <n v="78.069999999999993"/>
    <n v="9"/>
    <n v="35.131500000000003"/>
    <n v="737.76149999999996"/>
    <d v="2019-01-28T00:00:00"/>
    <d v="1899-12-31T20:08:00"/>
    <s v="Cash"/>
    <n v="702.63"/>
    <n v="4.7619047620000003"/>
    <n v="4.5"/>
    <x v="0"/>
    <x v="1"/>
    <x v="3"/>
    <x v="2"/>
    <x v="2"/>
    <x v="0"/>
    <x v="3"/>
    <n v="20"/>
    <x v="1"/>
  </r>
  <r>
    <s v="640-49-2076"/>
    <n v="83.78"/>
    <n v="8"/>
    <n v="33.512"/>
    <n v="703.75199999999995"/>
    <d v="2019-01-10T00:00:00"/>
    <d v="1899-12-31T21:08:00"/>
    <s v="Cash"/>
    <n v="670.24"/>
    <n v="4.7619047620000003"/>
    <n v="5.0999999999999996"/>
    <x v="1"/>
    <x v="1"/>
    <x v="3"/>
    <x v="2"/>
    <x v="2"/>
    <x v="0"/>
    <x v="4"/>
    <n v="21"/>
    <x v="1"/>
  </r>
  <r>
    <s v="595-11-5460"/>
    <n v="96.58"/>
    <n v="2"/>
    <n v="9.6579999999999995"/>
    <n v="202.81800000000001"/>
    <d v="2019-03-15T00:00:00"/>
    <d v="1899-12-31T22:08:00"/>
    <s v="Credit card"/>
    <n v="193.16"/>
    <n v="4.7619047620000003"/>
    <n v="5.0999999999999996"/>
    <x v="1"/>
    <x v="1"/>
    <x v="0"/>
    <x v="0"/>
    <x v="0"/>
    <x v="1"/>
    <x v="1"/>
    <n v="22"/>
    <x v="2"/>
  </r>
  <r>
    <s v="183-56-6882"/>
    <n v="99.42"/>
    <n v="4"/>
    <n v="19.884"/>
    <n v="417.56400000000002"/>
    <d v="2019-02-06T00:00:00"/>
    <d v="1899-12-31T23:08:00"/>
    <s v="Ewallet"/>
    <n v="397.68"/>
    <n v="4.7619047620000003"/>
    <n v="7.5"/>
    <x v="0"/>
    <x v="0"/>
    <x v="4"/>
    <x v="1"/>
    <x v="1"/>
    <x v="2"/>
    <x v="5"/>
    <n v="23"/>
    <x v="2"/>
  </r>
  <r>
    <s v="232-16-2483"/>
    <n v="68.12"/>
    <n v="1"/>
    <n v="3.4060000000000001"/>
    <n v="71.525999999999996"/>
    <d v="2019-01-07T00:00:00"/>
    <d v="1900-01-01T00:08:00"/>
    <s v="Ewallet"/>
    <n v="68.12"/>
    <n v="4.7619047620000003"/>
    <n v="6.8"/>
    <x v="0"/>
    <x v="0"/>
    <x v="3"/>
    <x v="1"/>
    <x v="1"/>
    <x v="0"/>
    <x v="3"/>
    <n v="0"/>
    <x v="3"/>
  </r>
  <r>
    <s v="129-29-8530"/>
    <n v="62.62"/>
    <n v="5"/>
    <n v="15.654999999999999"/>
    <n v="328.755"/>
    <d v="2019-03-10T00:00:00"/>
    <d v="1900-01-01T01:08:00"/>
    <s v="Ewallet"/>
    <n v="313.10000000000002"/>
    <n v="4.7619047620000003"/>
    <n v="7"/>
    <x v="0"/>
    <x v="1"/>
    <x v="3"/>
    <x v="0"/>
    <x v="0"/>
    <x v="1"/>
    <x v="2"/>
    <n v="1"/>
    <x v="3"/>
  </r>
  <r>
    <s v="272-65-1806"/>
    <n v="60.88"/>
    <n v="9"/>
    <n v="27.396000000000001"/>
    <n v="575.31600000000003"/>
    <d v="2019-01-15T00:00:00"/>
    <d v="1900-01-01T02:08:00"/>
    <s v="Ewallet"/>
    <n v="547.91999999999996"/>
    <n v="4.7619047620000003"/>
    <n v="4.7"/>
    <x v="1"/>
    <x v="0"/>
    <x v="1"/>
    <x v="0"/>
    <x v="0"/>
    <x v="0"/>
    <x v="6"/>
    <n v="2"/>
    <x v="3"/>
  </r>
  <r>
    <s v="333-73-7901"/>
    <n v="54.92"/>
    <n v="8"/>
    <n v="21.968"/>
    <n v="461.32799999999997"/>
    <d v="2019-03-23T00:00:00"/>
    <d v="1900-01-01T03:08:00"/>
    <s v="Ewallet"/>
    <n v="439.36"/>
    <n v="4.7619047620000003"/>
    <n v="7.6"/>
    <x v="1"/>
    <x v="0"/>
    <x v="0"/>
    <x v="1"/>
    <x v="1"/>
    <x v="1"/>
    <x v="0"/>
    <n v="3"/>
    <x v="3"/>
  </r>
  <r>
    <s v="777-82-7220"/>
    <n v="30.12"/>
    <n v="8"/>
    <n v="12.048"/>
    <n v="253.00800000000001"/>
    <d v="2019-03-03T00:00:00"/>
    <d v="1900-01-01T04:08:00"/>
    <s v="Cash"/>
    <n v="240.96"/>
    <n v="4.7619047620000003"/>
    <n v="7.7"/>
    <x v="0"/>
    <x v="1"/>
    <x v="2"/>
    <x v="2"/>
    <x v="2"/>
    <x v="1"/>
    <x v="2"/>
    <n v="4"/>
    <x v="3"/>
  </r>
  <r>
    <s v="280-35-5823"/>
    <n v="86.72"/>
    <n v="1"/>
    <n v="4.3360000000000003"/>
    <n v="91.055999999999997"/>
    <d v="2019-01-17T00:00:00"/>
    <d v="1900-01-01T05:08:00"/>
    <s v="Ewallet"/>
    <n v="86.72"/>
    <n v="4.7619047620000003"/>
    <n v="7.9"/>
    <x v="0"/>
    <x v="0"/>
    <x v="2"/>
    <x v="2"/>
    <x v="2"/>
    <x v="0"/>
    <x v="4"/>
    <n v="5"/>
    <x v="3"/>
  </r>
  <r>
    <s v="554-53-8700"/>
    <n v="56.11"/>
    <n v="2"/>
    <n v="5.6109999999999998"/>
    <n v="117.831"/>
    <d v="2019-02-02T00:00:00"/>
    <d v="1900-01-01T06:08:00"/>
    <s v="Cash"/>
    <n v="112.22"/>
    <n v="4.7619047620000003"/>
    <n v="6.3"/>
    <x v="0"/>
    <x v="1"/>
    <x v="2"/>
    <x v="1"/>
    <x v="1"/>
    <x v="2"/>
    <x v="0"/>
    <n v="6"/>
    <x v="3"/>
  </r>
  <r>
    <s v="354-25-5821"/>
    <n v="69.12"/>
    <n v="6"/>
    <n v="20.736000000000001"/>
    <n v="435.45600000000002"/>
    <d v="2019-02-08T00:00:00"/>
    <d v="1900-01-01T07:08:00"/>
    <s v="Cash"/>
    <n v="414.72"/>
    <n v="4.7619047620000003"/>
    <n v="5.6"/>
    <x v="0"/>
    <x v="0"/>
    <x v="3"/>
    <x v="2"/>
    <x v="2"/>
    <x v="2"/>
    <x v="1"/>
    <n v="7"/>
    <x v="3"/>
  </r>
  <r>
    <s v="228-96-1411"/>
    <n v="98.7"/>
    <n v="8"/>
    <n v="39.479999999999997"/>
    <n v="829.08"/>
    <d v="2019-03-04T00:00:00"/>
    <d v="1900-01-01T08:08:00"/>
    <s v="Cash"/>
    <n v="789.6"/>
    <n v="4.7619047620000003"/>
    <n v="7.6"/>
    <x v="0"/>
    <x v="0"/>
    <x v="4"/>
    <x v="1"/>
    <x v="1"/>
    <x v="1"/>
    <x v="3"/>
    <n v="8"/>
    <x v="3"/>
  </r>
  <r>
    <s v="617-15-4209"/>
    <n v="15.37"/>
    <n v="2"/>
    <n v="1.5369999999999999"/>
    <n v="32.277000000000001"/>
    <d v="2019-03-16T00:00:00"/>
    <d v="1900-01-01T09:08:00"/>
    <s v="Cash"/>
    <n v="30.74"/>
    <n v="4.7619047620000003"/>
    <n v="7.2"/>
    <x v="0"/>
    <x v="1"/>
    <x v="0"/>
    <x v="1"/>
    <x v="1"/>
    <x v="1"/>
    <x v="0"/>
    <n v="9"/>
    <x v="3"/>
  </r>
  <r>
    <s v="132-32-9879"/>
    <n v="93.96"/>
    <n v="4"/>
    <n v="18.792000000000002"/>
    <n v="394.63200000000001"/>
    <d v="2019-03-09T00:00:00"/>
    <d v="1900-01-01T10:08:00"/>
    <s v="Cash"/>
    <n v="375.84"/>
    <n v="4.7619047620000003"/>
    <n v="9.5"/>
    <x v="0"/>
    <x v="0"/>
    <x v="1"/>
    <x v="2"/>
    <x v="2"/>
    <x v="1"/>
    <x v="0"/>
    <n v="10"/>
    <x v="3"/>
  </r>
  <r>
    <s v="370-41-7321"/>
    <n v="56.69"/>
    <n v="9"/>
    <n v="25.5105"/>
    <n v="535.72050000000002"/>
    <d v="2019-02-27T00:00:00"/>
    <d v="1900-01-01T11:08:00"/>
    <s v="Credit card"/>
    <n v="510.21"/>
    <n v="4.7619047620000003"/>
    <n v="8.4"/>
    <x v="0"/>
    <x v="1"/>
    <x v="0"/>
    <x v="2"/>
    <x v="2"/>
    <x v="2"/>
    <x v="5"/>
    <n v="11"/>
    <x v="3"/>
  </r>
  <r>
    <s v="727-46-3608"/>
    <n v="20.010000000000002"/>
    <n v="9"/>
    <n v="9.0045000000000002"/>
    <n v="189.09450000000001"/>
    <d v="2019-02-06T00:00:00"/>
    <d v="1900-01-01T12:08:00"/>
    <s v="Ewallet"/>
    <n v="180.09"/>
    <n v="4.7619047620000003"/>
    <n v="4.0999999999999996"/>
    <x v="0"/>
    <x v="0"/>
    <x v="4"/>
    <x v="2"/>
    <x v="2"/>
    <x v="2"/>
    <x v="5"/>
    <n v="12"/>
    <x v="3"/>
  </r>
  <r>
    <s v="669-54-1719"/>
    <n v="18.93"/>
    <n v="6"/>
    <n v="5.6790000000000003"/>
    <n v="119.259"/>
    <d v="2019-02-10T00:00:00"/>
    <d v="1900-01-01T13:08:00"/>
    <s v="Credit card"/>
    <n v="113.58"/>
    <n v="4.7619047620000003"/>
    <n v="8.1"/>
    <x v="0"/>
    <x v="1"/>
    <x v="1"/>
    <x v="2"/>
    <x v="2"/>
    <x v="2"/>
    <x v="2"/>
    <n v="13"/>
    <x v="0"/>
  </r>
  <r>
    <s v="574-22-5561"/>
    <n v="82.63"/>
    <n v="10"/>
    <n v="41.314999999999998"/>
    <n v="867.61500000000001"/>
    <d v="2019-03-19T00:00:00"/>
    <d v="1900-01-01T14:08:00"/>
    <s v="Ewallet"/>
    <n v="826.3"/>
    <n v="4.7619047620000003"/>
    <n v="7.9"/>
    <x v="0"/>
    <x v="0"/>
    <x v="5"/>
    <x v="1"/>
    <x v="1"/>
    <x v="1"/>
    <x v="6"/>
    <n v="14"/>
    <x v="0"/>
  </r>
  <r>
    <s v="326-78-5178"/>
    <n v="91.4"/>
    <n v="7"/>
    <n v="31.99"/>
    <n v="671.79"/>
    <d v="2019-02-03T00:00:00"/>
    <d v="1900-01-01T15:08:00"/>
    <s v="Cash"/>
    <n v="639.79999999999995"/>
    <n v="4.7619047620000003"/>
    <n v="9.5"/>
    <x v="0"/>
    <x v="1"/>
    <x v="4"/>
    <x v="1"/>
    <x v="1"/>
    <x v="2"/>
    <x v="2"/>
    <n v="15"/>
    <x v="0"/>
  </r>
  <r>
    <s v="162-48-8011"/>
    <n v="44.59"/>
    <n v="5"/>
    <n v="11.147500000000001"/>
    <n v="234.0975"/>
    <d v="2019-02-10T00:00:00"/>
    <d v="1900-01-01T16:08:00"/>
    <s v="Cash"/>
    <n v="222.95"/>
    <n v="4.7619047620000003"/>
    <n v="8.5"/>
    <x v="0"/>
    <x v="0"/>
    <x v="4"/>
    <x v="0"/>
    <x v="0"/>
    <x v="2"/>
    <x v="2"/>
    <n v="16"/>
    <x v="0"/>
  </r>
  <r>
    <s v="616-24-2851"/>
    <n v="17.87"/>
    <n v="4"/>
    <n v="3.5739999999999998"/>
    <n v="75.054000000000002"/>
    <d v="2019-03-22T00:00:00"/>
    <d v="1900-01-01T17:08:00"/>
    <s v="Ewallet"/>
    <n v="71.48"/>
    <n v="4.7619047620000003"/>
    <n v="6.5"/>
    <x v="0"/>
    <x v="0"/>
    <x v="5"/>
    <x v="2"/>
    <x v="2"/>
    <x v="1"/>
    <x v="1"/>
    <n v="17"/>
    <x v="1"/>
  </r>
  <r>
    <s v="778-71-5554"/>
    <n v="15.43"/>
    <n v="1"/>
    <n v="0.77149999999999996"/>
    <n v="16.201499999999999"/>
    <d v="2019-01-25T00:00:00"/>
    <d v="1900-01-01T18:08:00"/>
    <s v="Credit card"/>
    <n v="15.43"/>
    <n v="4.7619047620000003"/>
    <n v="6.1"/>
    <x v="0"/>
    <x v="1"/>
    <x v="5"/>
    <x v="1"/>
    <x v="1"/>
    <x v="0"/>
    <x v="1"/>
    <n v="18"/>
    <x v="1"/>
  </r>
  <r>
    <s v="242-55-6721"/>
    <n v="16.16"/>
    <n v="2"/>
    <n v="1.6160000000000001"/>
    <n v="33.936"/>
    <d v="2019-03-07T00:00:00"/>
    <d v="1900-01-01T19:08:00"/>
    <s v="Ewallet"/>
    <n v="32.32"/>
    <n v="4.7619047620000003"/>
    <n v="6.5"/>
    <x v="1"/>
    <x v="1"/>
    <x v="2"/>
    <x v="2"/>
    <x v="2"/>
    <x v="1"/>
    <x v="4"/>
    <n v="19"/>
    <x v="1"/>
  </r>
  <r>
    <s v="399-46-5918"/>
    <n v="85.98"/>
    <n v="8"/>
    <n v="34.392000000000003"/>
    <n v="722.23199999999997"/>
    <d v="2019-02-28T00:00:00"/>
    <d v="1900-01-01T20:08:00"/>
    <s v="Cash"/>
    <n v="687.84"/>
    <n v="4.7619047620000003"/>
    <n v="8.1999999999999993"/>
    <x v="1"/>
    <x v="0"/>
    <x v="1"/>
    <x v="1"/>
    <x v="1"/>
    <x v="2"/>
    <x v="4"/>
    <n v="20"/>
    <x v="1"/>
  </r>
  <r>
    <s v="106-35-6779"/>
    <n v="44.34"/>
    <n v="2"/>
    <n v="4.4340000000000002"/>
    <n v="93.114000000000004"/>
    <d v="2019-03-27T00:00:00"/>
    <d v="1900-01-01T21:08:00"/>
    <s v="Cash"/>
    <n v="88.68"/>
    <n v="4.7619047620000003"/>
    <n v="5.8"/>
    <x v="0"/>
    <x v="1"/>
    <x v="2"/>
    <x v="0"/>
    <x v="0"/>
    <x v="1"/>
    <x v="5"/>
    <n v="21"/>
    <x v="1"/>
  </r>
  <r>
    <s v="635-40-6220"/>
    <n v="89.6"/>
    <n v="8"/>
    <n v="35.840000000000003"/>
    <n v="752.64"/>
    <d v="2019-02-07T00:00:00"/>
    <d v="1900-01-01T22:08:00"/>
    <s v="Ewallet"/>
    <n v="716.8"/>
    <n v="4.7619047620000003"/>
    <n v="6.6"/>
    <x v="1"/>
    <x v="1"/>
    <x v="0"/>
    <x v="0"/>
    <x v="0"/>
    <x v="2"/>
    <x v="4"/>
    <n v="22"/>
    <x v="2"/>
  </r>
  <r>
    <s v="817-48-8732"/>
    <n v="72.349999999999994"/>
    <n v="10"/>
    <n v="36.174999999999997"/>
    <n v="759.67499999999995"/>
    <d v="2019-01-20T00:00:00"/>
    <d v="1900-01-01T23:08:00"/>
    <s v="Cash"/>
    <n v="723.5"/>
    <n v="4.7619047620000003"/>
    <n v="5.4"/>
    <x v="0"/>
    <x v="0"/>
    <x v="2"/>
    <x v="0"/>
    <x v="0"/>
    <x v="0"/>
    <x v="2"/>
    <n v="23"/>
    <x v="2"/>
  </r>
  <r>
    <s v="120-06-4233"/>
    <n v="30.61"/>
    <n v="6"/>
    <n v="9.1829999999999998"/>
    <n v="192.84299999999999"/>
    <d v="2019-03-12T00:00:00"/>
    <d v="1900-01-02T00:08:00"/>
    <s v="Cash"/>
    <n v="183.66"/>
    <n v="4.7619047620000003"/>
    <n v="9.3000000000000007"/>
    <x v="1"/>
    <x v="1"/>
    <x v="1"/>
    <x v="1"/>
    <x v="1"/>
    <x v="1"/>
    <x v="6"/>
    <n v="0"/>
    <x v="3"/>
  </r>
  <r>
    <s v="285-68-5083"/>
    <n v="24.74"/>
    <n v="3"/>
    <n v="3.7109999999999999"/>
    <n v="77.930999999999997"/>
    <d v="2019-02-15T00:00:00"/>
    <d v="1900-01-02T01:08:00"/>
    <s v="Credit card"/>
    <n v="74.22"/>
    <n v="4.7619047620000003"/>
    <n v="10"/>
    <x v="0"/>
    <x v="0"/>
    <x v="3"/>
    <x v="1"/>
    <x v="1"/>
    <x v="2"/>
    <x v="1"/>
    <n v="1"/>
    <x v="3"/>
  </r>
  <r>
    <s v="803-83-5989"/>
    <n v="55.73"/>
    <n v="6"/>
    <n v="16.719000000000001"/>
    <n v="351.09899999999999"/>
    <d v="2019-02-24T00:00:00"/>
    <d v="1900-01-02T02:08:00"/>
    <s v="Ewallet"/>
    <n v="334.38"/>
    <n v="4.7619047620000003"/>
    <n v="7"/>
    <x v="1"/>
    <x v="1"/>
    <x v="2"/>
    <x v="1"/>
    <x v="1"/>
    <x v="2"/>
    <x v="2"/>
    <n v="2"/>
    <x v="3"/>
  </r>
  <r>
    <s v="347-34-2234"/>
    <n v="55.07"/>
    <n v="9"/>
    <n v="24.781500000000001"/>
    <n v="520.41150000000005"/>
    <d v="2019-02-03T00:00:00"/>
    <d v="1900-01-02T03:08:00"/>
    <s v="Ewallet"/>
    <n v="495.63"/>
    <n v="4.7619047620000003"/>
    <n v="10"/>
    <x v="0"/>
    <x v="0"/>
    <x v="3"/>
    <x v="2"/>
    <x v="2"/>
    <x v="2"/>
    <x v="2"/>
    <n v="3"/>
    <x v="3"/>
  </r>
  <r>
    <s v="199-75-8169"/>
    <n v="15.81"/>
    <n v="10"/>
    <n v="7.9050000000000002"/>
    <n v="166.005"/>
    <d v="2019-03-06T00:00:00"/>
    <d v="1900-01-02T04:08:00"/>
    <s v="Credit card"/>
    <n v="158.1"/>
    <n v="4.7619047620000003"/>
    <n v="8.6"/>
    <x v="0"/>
    <x v="1"/>
    <x v="3"/>
    <x v="0"/>
    <x v="0"/>
    <x v="1"/>
    <x v="5"/>
    <n v="4"/>
    <x v="3"/>
  </r>
  <r>
    <s v="853-23-2453"/>
    <n v="75.739999999999995"/>
    <n v="4"/>
    <n v="15.148"/>
    <n v="318.108"/>
    <d v="2019-02-14T00:00:00"/>
    <d v="1900-01-02T05:08:00"/>
    <s v="Cash"/>
    <n v="302.95999999999998"/>
    <n v="4.7619047620000003"/>
    <n v="7.6"/>
    <x v="0"/>
    <x v="1"/>
    <x v="0"/>
    <x v="2"/>
    <x v="2"/>
    <x v="2"/>
    <x v="4"/>
    <n v="5"/>
    <x v="3"/>
  </r>
  <r>
    <s v="877-22-3308"/>
    <n v="15.87"/>
    <n v="10"/>
    <n v="7.9349999999999996"/>
    <n v="166.63499999999999"/>
    <d v="2019-03-13T00:00:00"/>
    <d v="1900-01-02T06:08:00"/>
    <s v="Cash"/>
    <n v="158.69999999999999"/>
    <n v="4.7619047620000003"/>
    <n v="5.8"/>
    <x v="0"/>
    <x v="1"/>
    <x v="0"/>
    <x v="0"/>
    <x v="0"/>
    <x v="1"/>
    <x v="5"/>
    <n v="6"/>
    <x v="3"/>
  </r>
  <r>
    <s v="838-78-4295"/>
    <n v="33.47"/>
    <n v="2"/>
    <n v="3.347"/>
    <n v="70.287000000000006"/>
    <d v="2019-02-10T00:00:00"/>
    <d v="1900-01-02T07:08:00"/>
    <s v="Ewallet"/>
    <n v="66.94"/>
    <n v="4.7619047620000003"/>
    <n v="6.7"/>
    <x v="1"/>
    <x v="0"/>
    <x v="0"/>
    <x v="1"/>
    <x v="1"/>
    <x v="2"/>
    <x v="2"/>
    <n v="7"/>
    <x v="3"/>
  </r>
  <r>
    <s v="109-28-2512"/>
    <n v="97.61"/>
    <n v="6"/>
    <n v="29.283000000000001"/>
    <n v="614.94299999999998"/>
    <d v="2019-01-07T00:00:00"/>
    <d v="1900-01-02T08:08:00"/>
    <s v="Ewallet"/>
    <n v="585.66"/>
    <n v="4.7619047620000003"/>
    <n v="9.9"/>
    <x v="0"/>
    <x v="0"/>
    <x v="5"/>
    <x v="2"/>
    <x v="2"/>
    <x v="0"/>
    <x v="3"/>
    <n v="8"/>
    <x v="3"/>
  </r>
  <r>
    <s v="232-11-3025"/>
    <n v="78.77"/>
    <n v="10"/>
    <n v="39.384999999999998"/>
    <n v="827.08500000000004"/>
    <d v="2019-01-24T00:00:00"/>
    <d v="1900-01-02T09:08:00"/>
    <s v="Cash"/>
    <n v="787.7"/>
    <n v="4.7619047620000003"/>
    <n v="6.4"/>
    <x v="1"/>
    <x v="1"/>
    <x v="3"/>
    <x v="0"/>
    <x v="0"/>
    <x v="0"/>
    <x v="4"/>
    <n v="9"/>
    <x v="3"/>
  </r>
  <r>
    <s v="382-03-4532"/>
    <n v="18.329999999999998"/>
    <n v="1"/>
    <n v="0.91649999999999998"/>
    <n v="19.246500000000001"/>
    <d v="2019-02-02T00:00:00"/>
    <d v="1900-01-02T10:08:00"/>
    <s v="Cash"/>
    <n v="18.329999999999998"/>
    <n v="4.7619047620000003"/>
    <n v="4.3"/>
    <x v="0"/>
    <x v="0"/>
    <x v="0"/>
    <x v="0"/>
    <x v="0"/>
    <x v="2"/>
    <x v="0"/>
    <n v="10"/>
    <x v="3"/>
  </r>
  <r>
    <s v="393-65-2792"/>
    <n v="89.48"/>
    <n v="10"/>
    <n v="44.74"/>
    <n v="939.54"/>
    <d v="2019-01-06T00:00:00"/>
    <d v="1900-01-02T11:08:00"/>
    <s v="Credit card"/>
    <n v="894.8"/>
    <n v="4.7619047620000003"/>
    <n v="9.6"/>
    <x v="1"/>
    <x v="1"/>
    <x v="4"/>
    <x v="1"/>
    <x v="1"/>
    <x v="0"/>
    <x v="2"/>
    <n v="11"/>
    <x v="3"/>
  </r>
  <r>
    <s v="796-12-2025"/>
    <n v="62.12"/>
    <n v="10"/>
    <n v="31.06"/>
    <n v="652.26"/>
    <d v="2019-02-11T00:00:00"/>
    <d v="1900-01-02T12:08:00"/>
    <s v="Cash"/>
    <n v="621.20000000000005"/>
    <n v="4.7619047620000003"/>
    <n v="5.9"/>
    <x v="1"/>
    <x v="1"/>
    <x v="5"/>
    <x v="1"/>
    <x v="1"/>
    <x v="2"/>
    <x v="3"/>
    <n v="12"/>
    <x v="3"/>
  </r>
  <r>
    <s v="510-95-6347"/>
    <n v="48.52"/>
    <n v="3"/>
    <n v="7.2779999999999996"/>
    <n v="152.83799999999999"/>
    <d v="2019-03-05T00:00:00"/>
    <d v="1900-01-02T13:08:00"/>
    <s v="Ewallet"/>
    <n v="145.56"/>
    <n v="4.7619047620000003"/>
    <n v="4"/>
    <x v="0"/>
    <x v="0"/>
    <x v="4"/>
    <x v="2"/>
    <x v="2"/>
    <x v="1"/>
    <x v="6"/>
    <n v="13"/>
    <x v="0"/>
  </r>
  <r>
    <s v="841-35-6630"/>
    <n v="75.91"/>
    <n v="6"/>
    <n v="22.773"/>
    <n v="478.233"/>
    <d v="2019-03-09T00:00:00"/>
    <d v="1900-01-02T14:08:00"/>
    <s v="Cash"/>
    <n v="455.46"/>
    <n v="4.7619047620000003"/>
    <n v="8.6999999999999993"/>
    <x v="1"/>
    <x v="0"/>
    <x v="1"/>
    <x v="1"/>
    <x v="1"/>
    <x v="1"/>
    <x v="0"/>
    <n v="14"/>
    <x v="0"/>
  </r>
  <r>
    <s v="287-21-9091"/>
    <n v="74.67"/>
    <n v="9"/>
    <n v="33.601500000000001"/>
    <n v="705.63149999999996"/>
    <d v="2019-01-22T00:00:00"/>
    <d v="1900-01-02T15:08:00"/>
    <s v="Ewallet"/>
    <n v="672.03"/>
    <n v="4.7619047620000003"/>
    <n v="9.4"/>
    <x v="1"/>
    <x v="1"/>
    <x v="2"/>
    <x v="0"/>
    <x v="0"/>
    <x v="0"/>
    <x v="6"/>
    <n v="15"/>
    <x v="0"/>
  </r>
  <r>
    <s v="732-94-0499"/>
    <n v="41.65"/>
    <n v="10"/>
    <n v="20.824999999999999"/>
    <n v="437.32499999999999"/>
    <d v="2019-01-13T00:00:00"/>
    <d v="1900-01-02T16:08:00"/>
    <s v="Credit card"/>
    <n v="416.5"/>
    <n v="4.7619047620000003"/>
    <n v="5.4"/>
    <x v="1"/>
    <x v="0"/>
    <x v="1"/>
    <x v="1"/>
    <x v="1"/>
    <x v="0"/>
    <x v="2"/>
    <n v="16"/>
    <x v="0"/>
  </r>
  <r>
    <s v="263-10-3913"/>
    <n v="49.04"/>
    <n v="9"/>
    <n v="22.068000000000001"/>
    <n v="463.428"/>
    <d v="2019-01-09T00:00:00"/>
    <d v="1900-01-02T17:08:00"/>
    <s v="Credit card"/>
    <n v="441.36"/>
    <n v="4.7619047620000003"/>
    <n v="8.6"/>
    <x v="0"/>
    <x v="1"/>
    <x v="5"/>
    <x v="1"/>
    <x v="1"/>
    <x v="0"/>
    <x v="5"/>
    <n v="17"/>
    <x v="1"/>
  </r>
  <r>
    <s v="381-20-0914"/>
    <n v="20.010000000000002"/>
    <n v="9"/>
    <n v="9.0045000000000002"/>
    <n v="189.09450000000001"/>
    <d v="2019-01-12T00:00:00"/>
    <d v="1900-01-02T18:08:00"/>
    <s v="Credit card"/>
    <n v="180.09"/>
    <n v="4.7619047620000003"/>
    <n v="5.7"/>
    <x v="0"/>
    <x v="0"/>
    <x v="5"/>
    <x v="0"/>
    <x v="0"/>
    <x v="0"/>
    <x v="0"/>
    <n v="18"/>
    <x v="1"/>
  </r>
  <r>
    <s v="829-49-1914"/>
    <n v="78.31"/>
    <n v="10"/>
    <n v="39.155000000000001"/>
    <n v="822.255"/>
    <d v="2019-03-05T00:00:00"/>
    <d v="1900-01-02T19:08:00"/>
    <s v="Ewallet"/>
    <n v="783.1"/>
    <n v="4.7619047620000003"/>
    <n v="6.6"/>
    <x v="0"/>
    <x v="0"/>
    <x v="4"/>
    <x v="1"/>
    <x v="1"/>
    <x v="1"/>
    <x v="6"/>
    <n v="19"/>
    <x v="1"/>
  </r>
  <r>
    <s v="756-01-7507"/>
    <n v="20.38"/>
    <n v="5"/>
    <n v="5.0949999999999998"/>
    <n v="106.995"/>
    <d v="2019-01-22T00:00:00"/>
    <d v="1900-01-02T20:08:00"/>
    <s v="Cash"/>
    <n v="101.9"/>
    <n v="4.7619047620000003"/>
    <n v="6"/>
    <x v="1"/>
    <x v="0"/>
    <x v="0"/>
    <x v="1"/>
    <x v="1"/>
    <x v="0"/>
    <x v="6"/>
    <n v="20"/>
    <x v="1"/>
  </r>
  <r>
    <s v="870-72-4431"/>
    <n v="99.19"/>
    <n v="6"/>
    <n v="29.757000000000001"/>
    <n v="624.89700000000005"/>
    <d v="2019-01-21T00:00:00"/>
    <d v="1900-01-02T21:08:00"/>
    <s v="Credit card"/>
    <n v="595.14"/>
    <n v="4.7619047620000003"/>
    <n v="5.5"/>
    <x v="1"/>
    <x v="0"/>
    <x v="0"/>
    <x v="1"/>
    <x v="1"/>
    <x v="0"/>
    <x v="3"/>
    <n v="21"/>
    <x v="1"/>
  </r>
  <r>
    <s v="847-38-7188"/>
    <n v="96.68"/>
    <n v="3"/>
    <n v="14.502000000000001"/>
    <n v="304.54199999999997"/>
    <d v="2019-01-26T00:00:00"/>
    <d v="1900-01-02T22:08:00"/>
    <s v="Ewallet"/>
    <n v="290.04000000000002"/>
    <n v="4.7619047620000003"/>
    <n v="6.4"/>
    <x v="1"/>
    <x v="0"/>
    <x v="4"/>
    <x v="2"/>
    <x v="2"/>
    <x v="0"/>
    <x v="0"/>
    <n v="22"/>
    <x v="2"/>
  </r>
  <r>
    <s v="480-63-2856"/>
    <n v="19.25"/>
    <n v="8"/>
    <n v="7.7"/>
    <n v="161.69999999999999"/>
    <d v="2019-01-23T00:00:00"/>
    <d v="1900-01-02T23:08:00"/>
    <s v="Ewallet"/>
    <n v="154"/>
    <n v="4.7619047620000003"/>
    <n v="6.6"/>
    <x v="1"/>
    <x v="1"/>
    <x v="4"/>
    <x v="1"/>
    <x v="1"/>
    <x v="0"/>
    <x v="5"/>
    <n v="23"/>
    <x v="2"/>
  </r>
  <r>
    <s v="787-56-0757"/>
    <n v="80.36"/>
    <n v="4"/>
    <n v="16.071999999999999"/>
    <n v="337.512"/>
    <d v="2019-02-23T00:00:00"/>
    <d v="1900-01-03T00:08:00"/>
    <s v="Credit card"/>
    <n v="321.44"/>
    <n v="4.7619047620000003"/>
    <n v="8.3000000000000007"/>
    <x v="0"/>
    <x v="0"/>
    <x v="4"/>
    <x v="1"/>
    <x v="1"/>
    <x v="2"/>
    <x v="0"/>
    <n v="0"/>
    <x v="3"/>
  </r>
  <r>
    <s v="360-39-5055"/>
    <n v="48.91"/>
    <n v="5"/>
    <n v="12.227499999999999"/>
    <n v="256.77749999999997"/>
    <d v="2019-03-09T00:00:00"/>
    <d v="1900-01-03T01:08:00"/>
    <s v="Cash"/>
    <n v="244.55"/>
    <n v="4.7619047620000003"/>
    <n v="6.6"/>
    <x v="0"/>
    <x v="1"/>
    <x v="3"/>
    <x v="1"/>
    <x v="1"/>
    <x v="1"/>
    <x v="0"/>
    <n v="1"/>
    <x v="3"/>
  </r>
  <r>
    <s v="730-50-9884"/>
    <n v="83.06"/>
    <n v="7"/>
    <n v="29.071000000000002"/>
    <n v="610.49099999999999"/>
    <d v="2019-03-05T00:00:00"/>
    <d v="1900-01-03T02:08:00"/>
    <s v="Ewallet"/>
    <n v="581.41999999999996"/>
    <n v="4.7619047620000003"/>
    <n v="4"/>
    <x v="1"/>
    <x v="0"/>
    <x v="3"/>
    <x v="1"/>
    <x v="1"/>
    <x v="1"/>
    <x v="6"/>
    <n v="2"/>
    <x v="3"/>
  </r>
  <r>
    <s v="362-58-8315"/>
    <n v="76.52"/>
    <n v="5"/>
    <n v="19.13"/>
    <n v="401.73"/>
    <d v="2019-03-25T00:00:00"/>
    <d v="1900-01-03T03:08:00"/>
    <s v="Cash"/>
    <n v="382.6"/>
    <n v="4.7619047620000003"/>
    <n v="9.9"/>
    <x v="1"/>
    <x v="1"/>
    <x v="5"/>
    <x v="1"/>
    <x v="1"/>
    <x v="1"/>
    <x v="3"/>
    <n v="3"/>
    <x v="3"/>
  </r>
  <r>
    <s v="633-44-8566"/>
    <n v="49.38"/>
    <n v="7"/>
    <n v="17.283000000000001"/>
    <n v="362.94299999999998"/>
    <d v="2019-03-27T00:00:00"/>
    <d v="1900-01-03T04:08:00"/>
    <s v="Credit card"/>
    <n v="345.66"/>
    <n v="4.7619047620000003"/>
    <n v="7.3"/>
    <x v="0"/>
    <x v="1"/>
    <x v="4"/>
    <x v="0"/>
    <x v="0"/>
    <x v="1"/>
    <x v="5"/>
    <n v="4"/>
    <x v="3"/>
  </r>
  <r>
    <s v="504-35-8843"/>
    <n v="42.47"/>
    <n v="1"/>
    <n v="2.1234999999999999"/>
    <n v="44.593499999999999"/>
    <d v="2019-01-02T00:00:00"/>
    <d v="1900-01-03T05:08:00"/>
    <s v="Cash"/>
    <n v="42.47"/>
    <n v="4.7619047620000003"/>
    <n v="5.7"/>
    <x v="1"/>
    <x v="1"/>
    <x v="3"/>
    <x v="0"/>
    <x v="0"/>
    <x v="0"/>
    <x v="5"/>
    <n v="5"/>
    <x v="3"/>
  </r>
  <r>
    <s v="318-68-5053"/>
    <n v="76.989999999999995"/>
    <n v="6"/>
    <n v="23.097000000000001"/>
    <n v="485.03699999999998"/>
    <d v="2019-02-27T00:00:00"/>
    <d v="1900-01-03T06:08:00"/>
    <s v="Cash"/>
    <n v="461.94"/>
    <n v="4.7619047620000003"/>
    <n v="6.1"/>
    <x v="1"/>
    <x v="0"/>
    <x v="0"/>
    <x v="2"/>
    <x v="2"/>
    <x v="2"/>
    <x v="5"/>
    <n v="6"/>
    <x v="3"/>
  </r>
  <r>
    <s v="565-80-5980"/>
    <n v="47.38"/>
    <n v="4"/>
    <n v="9.4760000000000009"/>
    <n v="198.99600000000001"/>
    <d v="2019-01-23T00:00:00"/>
    <d v="1900-01-03T07:08:00"/>
    <s v="Cash"/>
    <n v="189.52"/>
    <n v="4.7619047620000003"/>
    <n v="7.1"/>
    <x v="0"/>
    <x v="0"/>
    <x v="2"/>
    <x v="1"/>
    <x v="1"/>
    <x v="0"/>
    <x v="5"/>
    <n v="7"/>
    <x v="3"/>
  </r>
  <r>
    <s v="225-32-0908"/>
    <n v="44.86"/>
    <n v="10"/>
    <n v="22.43"/>
    <n v="471.03"/>
    <d v="2019-01-26T00:00:00"/>
    <d v="1900-01-03T08:08:00"/>
    <s v="Ewallet"/>
    <n v="448.6"/>
    <n v="4.7619047620000003"/>
    <n v="8.1999999999999993"/>
    <x v="1"/>
    <x v="0"/>
    <x v="3"/>
    <x v="1"/>
    <x v="1"/>
    <x v="0"/>
    <x v="0"/>
    <n v="8"/>
    <x v="3"/>
  </r>
  <r>
    <s v="873-51-0671"/>
    <n v="21.98"/>
    <n v="7"/>
    <n v="7.6929999999999996"/>
    <n v="161.553"/>
    <d v="2019-01-10T00:00:00"/>
    <d v="1900-01-03T09:08:00"/>
    <s v="Ewallet"/>
    <n v="153.86000000000001"/>
    <n v="4.7619047620000003"/>
    <n v="5.0999999999999996"/>
    <x v="0"/>
    <x v="0"/>
    <x v="3"/>
    <x v="0"/>
    <x v="0"/>
    <x v="0"/>
    <x v="4"/>
    <n v="9"/>
    <x v="3"/>
  </r>
  <r>
    <s v="152-08-9985"/>
    <n v="64.36"/>
    <n v="9"/>
    <n v="28.962"/>
    <n v="608.202"/>
    <d v="2019-03-12T00:00:00"/>
    <d v="1900-01-03T10:08:00"/>
    <s v="Credit card"/>
    <n v="579.24"/>
    <n v="4.7619047620000003"/>
    <n v="8.6"/>
    <x v="0"/>
    <x v="1"/>
    <x v="0"/>
    <x v="2"/>
    <x v="2"/>
    <x v="1"/>
    <x v="6"/>
    <n v="10"/>
    <x v="3"/>
  </r>
  <r>
    <s v="512-91-0811"/>
    <n v="89.75"/>
    <n v="1"/>
    <n v="4.4874999999999998"/>
    <n v="94.237499999999997"/>
    <d v="2019-02-06T00:00:00"/>
    <d v="1900-01-03T11:08:00"/>
    <s v="Credit card"/>
    <n v="89.75"/>
    <n v="4.7619047620000003"/>
    <n v="6.6"/>
    <x v="1"/>
    <x v="1"/>
    <x v="0"/>
    <x v="1"/>
    <x v="1"/>
    <x v="2"/>
    <x v="5"/>
    <n v="11"/>
    <x v="3"/>
  </r>
  <r>
    <s v="594-34-4444"/>
    <n v="97.16"/>
    <n v="1"/>
    <n v="4.8579999999999997"/>
    <n v="102.018"/>
    <d v="2019-03-08T00:00:00"/>
    <d v="1900-01-03T12:08:00"/>
    <s v="Ewallet"/>
    <n v="97.16"/>
    <n v="4.7619047620000003"/>
    <n v="7.2"/>
    <x v="1"/>
    <x v="1"/>
    <x v="1"/>
    <x v="0"/>
    <x v="0"/>
    <x v="1"/>
    <x v="1"/>
    <n v="12"/>
    <x v="3"/>
  </r>
  <r>
    <s v="766-85-7061"/>
    <n v="87.87"/>
    <n v="10"/>
    <n v="43.935000000000002"/>
    <n v="922.63499999999999"/>
    <d v="2019-03-29T00:00:00"/>
    <d v="1900-01-03T13:08:00"/>
    <s v="Ewallet"/>
    <n v="878.7"/>
    <n v="4.7619047620000003"/>
    <n v="5.0999999999999996"/>
    <x v="1"/>
    <x v="1"/>
    <x v="0"/>
    <x v="2"/>
    <x v="2"/>
    <x v="1"/>
    <x v="1"/>
    <n v="13"/>
    <x v="0"/>
  </r>
  <r>
    <s v="871-39-9221"/>
    <n v="12.45"/>
    <n v="6"/>
    <n v="3.7349999999999999"/>
    <n v="78.435000000000002"/>
    <d v="2019-02-09T00:00:00"/>
    <d v="1900-01-03T14:08:00"/>
    <s v="Cash"/>
    <n v="74.7"/>
    <n v="4.7619047620000003"/>
    <n v="4.0999999999999996"/>
    <x v="1"/>
    <x v="0"/>
    <x v="1"/>
    <x v="1"/>
    <x v="1"/>
    <x v="2"/>
    <x v="0"/>
    <n v="14"/>
    <x v="0"/>
  </r>
  <r>
    <s v="865-92-6136"/>
    <n v="52.75"/>
    <n v="3"/>
    <n v="7.9124999999999996"/>
    <n v="166.16249999999999"/>
    <d v="2019-03-23T00:00:00"/>
    <d v="1900-01-03T15:08:00"/>
    <s v="Ewallet"/>
    <n v="158.25"/>
    <n v="4.7619047620000003"/>
    <n v="9.3000000000000007"/>
    <x v="1"/>
    <x v="1"/>
    <x v="4"/>
    <x v="0"/>
    <x v="0"/>
    <x v="1"/>
    <x v="0"/>
    <n v="15"/>
    <x v="0"/>
  </r>
  <r>
    <s v="733-01-9107"/>
    <n v="82.7"/>
    <n v="6"/>
    <n v="24.81"/>
    <n v="521.01"/>
    <d v="2019-03-05T00:00:00"/>
    <d v="1900-01-03T16:08:00"/>
    <s v="Cash"/>
    <n v="496.2"/>
    <n v="4.7619047620000003"/>
    <n v="7.4"/>
    <x v="1"/>
    <x v="1"/>
    <x v="2"/>
    <x v="2"/>
    <x v="2"/>
    <x v="1"/>
    <x v="6"/>
    <n v="16"/>
    <x v="0"/>
  </r>
  <r>
    <s v="163-56-7055"/>
    <n v="48.71"/>
    <n v="1"/>
    <n v="2.4355000000000002"/>
    <n v="51.145499999999998"/>
    <d v="2019-03-26T00:00:00"/>
    <d v="1900-01-03T17:08:00"/>
    <s v="Cash"/>
    <n v="48.71"/>
    <n v="4.7619047620000003"/>
    <n v="4.0999999999999996"/>
    <x v="0"/>
    <x v="1"/>
    <x v="5"/>
    <x v="1"/>
    <x v="1"/>
    <x v="1"/>
    <x v="6"/>
    <n v="17"/>
    <x v="1"/>
  </r>
  <r>
    <s v="189-98-2939"/>
    <n v="78.55"/>
    <n v="9"/>
    <n v="35.347499999999997"/>
    <n v="742.29750000000001"/>
    <d v="2019-03-01T00:00:00"/>
    <d v="1900-01-03T18:08:00"/>
    <s v="Cash"/>
    <n v="706.95"/>
    <n v="4.7619047620000003"/>
    <n v="7.2"/>
    <x v="1"/>
    <x v="1"/>
    <x v="5"/>
    <x v="1"/>
    <x v="1"/>
    <x v="1"/>
    <x v="1"/>
    <n v="18"/>
    <x v="1"/>
  </r>
  <r>
    <s v="551-21-3069"/>
    <n v="23.07"/>
    <n v="9"/>
    <n v="10.381500000000001"/>
    <n v="218.01150000000001"/>
    <d v="2019-02-01T00:00:00"/>
    <d v="1900-01-03T19:08:00"/>
    <s v="Cash"/>
    <n v="207.63"/>
    <n v="4.7619047620000003"/>
    <n v="4.9000000000000004"/>
    <x v="1"/>
    <x v="0"/>
    <x v="1"/>
    <x v="1"/>
    <x v="1"/>
    <x v="2"/>
    <x v="1"/>
    <n v="19"/>
    <x v="1"/>
  </r>
  <r>
    <s v="212-62-1842"/>
    <n v="58.26"/>
    <n v="6"/>
    <n v="17.478000000000002"/>
    <n v="367.03800000000001"/>
    <d v="2019-03-28T00:00:00"/>
    <d v="1900-01-03T20:08:00"/>
    <s v="Cash"/>
    <n v="349.56"/>
    <n v="4.7619047620000003"/>
    <n v="9.9"/>
    <x v="1"/>
    <x v="1"/>
    <x v="4"/>
    <x v="0"/>
    <x v="0"/>
    <x v="1"/>
    <x v="4"/>
    <n v="20"/>
    <x v="1"/>
  </r>
  <r>
    <s v="716-39-1409"/>
    <n v="30.35"/>
    <n v="7"/>
    <n v="10.6225"/>
    <n v="223.07249999999999"/>
    <d v="2019-03-19T00:00:00"/>
    <d v="1900-01-03T21:08:00"/>
    <s v="Cash"/>
    <n v="212.45"/>
    <n v="4.7619047620000003"/>
    <n v="8"/>
    <x v="1"/>
    <x v="1"/>
    <x v="0"/>
    <x v="2"/>
    <x v="2"/>
    <x v="1"/>
    <x v="6"/>
    <n v="21"/>
    <x v="1"/>
  </r>
  <r>
    <s v="704-48-3927"/>
    <n v="88.67"/>
    <n v="10"/>
    <n v="44.335000000000001"/>
    <n v="931.03499999999997"/>
    <d v="2019-01-12T00:00:00"/>
    <d v="1900-01-03T22:08:00"/>
    <s v="Ewallet"/>
    <n v="886.7"/>
    <n v="4.7619047620000003"/>
    <n v="7.3"/>
    <x v="0"/>
    <x v="1"/>
    <x v="1"/>
    <x v="0"/>
    <x v="0"/>
    <x v="0"/>
    <x v="0"/>
    <n v="22"/>
    <x v="2"/>
  </r>
  <r>
    <s v="628-34-3388"/>
    <n v="27.38"/>
    <n v="6"/>
    <n v="8.2140000000000004"/>
    <n v="172.494"/>
    <d v="2019-01-05T00:00:00"/>
    <d v="1900-01-03T23:08:00"/>
    <s v="Credit card"/>
    <n v="164.28"/>
    <n v="4.7619047620000003"/>
    <n v="7.9"/>
    <x v="1"/>
    <x v="1"/>
    <x v="5"/>
    <x v="1"/>
    <x v="1"/>
    <x v="0"/>
    <x v="0"/>
    <n v="23"/>
    <x v="2"/>
  </r>
  <r>
    <s v="630-74-5166"/>
    <n v="62.13"/>
    <n v="6"/>
    <n v="18.638999999999999"/>
    <n v="391.41899999999998"/>
    <d v="2019-03-22T00:00:00"/>
    <d v="1900-01-04T00:08:00"/>
    <s v="Cash"/>
    <n v="372.78"/>
    <n v="4.7619047620000003"/>
    <n v="7.4"/>
    <x v="1"/>
    <x v="1"/>
    <x v="3"/>
    <x v="0"/>
    <x v="0"/>
    <x v="1"/>
    <x v="1"/>
    <n v="0"/>
    <x v="3"/>
  </r>
  <r>
    <s v="588-01-7461"/>
    <n v="33.979999999999997"/>
    <n v="9"/>
    <n v="15.291"/>
    <n v="321.11099999999999"/>
    <d v="2019-03-24T00:00:00"/>
    <d v="1900-01-04T01:08:00"/>
    <s v="Cash"/>
    <n v="305.82"/>
    <n v="4.7619047620000003"/>
    <n v="4.2"/>
    <x v="1"/>
    <x v="0"/>
    <x v="4"/>
    <x v="1"/>
    <x v="1"/>
    <x v="1"/>
    <x v="2"/>
    <n v="1"/>
    <x v="3"/>
  </r>
  <r>
    <s v="861-77-0145"/>
    <n v="81.97"/>
    <n v="10"/>
    <n v="40.984999999999999"/>
    <n v="860.68499999999995"/>
    <d v="2019-03-03T00:00:00"/>
    <d v="1900-01-04T02:08:00"/>
    <s v="Cash"/>
    <n v="819.7"/>
    <n v="4.7619047620000003"/>
    <n v="9.1999999999999993"/>
    <x v="0"/>
    <x v="1"/>
    <x v="1"/>
    <x v="1"/>
    <x v="1"/>
    <x v="1"/>
    <x v="2"/>
    <n v="2"/>
    <x v="3"/>
  </r>
  <r>
    <s v="479-26-8945"/>
    <n v="16.489999999999998"/>
    <n v="2"/>
    <n v="1.649"/>
    <n v="34.628999999999998"/>
    <d v="2019-02-05T00:00:00"/>
    <d v="1900-01-04T03:08:00"/>
    <s v="Ewallet"/>
    <n v="32.979999999999997"/>
    <n v="4.7619047620000003"/>
    <n v="4.5999999999999996"/>
    <x v="0"/>
    <x v="0"/>
    <x v="3"/>
    <x v="2"/>
    <x v="2"/>
    <x v="2"/>
    <x v="6"/>
    <n v="3"/>
    <x v="3"/>
  </r>
  <r>
    <s v="210-67-5886"/>
    <n v="98.21"/>
    <n v="3"/>
    <n v="14.7315"/>
    <n v="309.36149999999998"/>
    <d v="2019-02-05T00:00:00"/>
    <d v="1900-01-04T04:08:00"/>
    <s v="Credit card"/>
    <n v="294.63"/>
    <n v="4.7619047620000003"/>
    <n v="7.8"/>
    <x v="0"/>
    <x v="0"/>
    <x v="0"/>
    <x v="1"/>
    <x v="1"/>
    <x v="2"/>
    <x v="6"/>
    <n v="4"/>
    <x v="3"/>
  </r>
  <r>
    <s v="227-78-1148"/>
    <n v="72.84"/>
    <n v="7"/>
    <n v="25.494"/>
    <n v="535.37400000000002"/>
    <d v="2019-02-15T00:00:00"/>
    <d v="1900-01-04T05:08:00"/>
    <s v="Cash"/>
    <n v="509.88"/>
    <n v="4.7619047620000003"/>
    <n v="8.4"/>
    <x v="1"/>
    <x v="0"/>
    <x v="5"/>
    <x v="2"/>
    <x v="2"/>
    <x v="2"/>
    <x v="1"/>
    <n v="5"/>
    <x v="3"/>
  </r>
  <r>
    <s v="645-44-1170"/>
    <n v="58.07"/>
    <n v="9"/>
    <n v="26.131499999999999"/>
    <n v="548.76149999999996"/>
    <d v="2019-01-19T00:00:00"/>
    <d v="1900-01-04T06:08:00"/>
    <s v="Ewallet"/>
    <n v="522.63"/>
    <n v="4.7619047620000003"/>
    <n v="4.3"/>
    <x v="0"/>
    <x v="1"/>
    <x v="2"/>
    <x v="0"/>
    <x v="0"/>
    <x v="0"/>
    <x v="0"/>
    <n v="6"/>
    <x v="3"/>
  </r>
  <r>
    <s v="237-01-6122"/>
    <n v="80.790000000000006"/>
    <n v="9"/>
    <n v="36.355499999999999"/>
    <n v="763.46550000000002"/>
    <d v="2019-02-01T00:00:00"/>
    <d v="1900-01-04T07:08:00"/>
    <s v="Credit card"/>
    <n v="727.11"/>
    <n v="4.7619047620000003"/>
    <n v="9.5"/>
    <x v="0"/>
    <x v="0"/>
    <x v="2"/>
    <x v="1"/>
    <x v="1"/>
    <x v="2"/>
    <x v="1"/>
    <n v="7"/>
    <x v="3"/>
  </r>
  <r>
    <s v="225-98-1496"/>
    <n v="27.02"/>
    <n v="3"/>
    <n v="4.0529999999999999"/>
    <n v="85.113"/>
    <d v="2019-03-02T00:00:00"/>
    <d v="1900-01-04T08:08:00"/>
    <s v="Credit card"/>
    <n v="81.06"/>
    <n v="4.7619047620000003"/>
    <n v="7.1"/>
    <x v="1"/>
    <x v="0"/>
    <x v="5"/>
    <x v="1"/>
    <x v="1"/>
    <x v="1"/>
    <x v="0"/>
    <n v="8"/>
    <x v="3"/>
  </r>
  <r>
    <s v="291-32-1427"/>
    <n v="21.94"/>
    <n v="5"/>
    <n v="5.4850000000000003"/>
    <n v="115.185"/>
    <d v="2019-03-05T00:00:00"/>
    <d v="1900-01-04T09:08:00"/>
    <s v="Ewallet"/>
    <n v="109.7"/>
    <n v="4.7619047620000003"/>
    <n v="5.3"/>
    <x v="0"/>
    <x v="1"/>
    <x v="5"/>
    <x v="2"/>
    <x v="2"/>
    <x v="1"/>
    <x v="6"/>
    <n v="9"/>
    <x v="3"/>
  </r>
  <r>
    <s v="659-65-8956"/>
    <n v="51.36"/>
    <n v="1"/>
    <n v="2.5680000000000001"/>
    <n v="53.927999999999997"/>
    <d v="2019-01-16T00:00:00"/>
    <d v="1900-01-04T10:08:00"/>
    <s v="Ewallet"/>
    <n v="51.36"/>
    <n v="4.7619047620000003"/>
    <n v="5.2"/>
    <x v="0"/>
    <x v="1"/>
    <x v="5"/>
    <x v="2"/>
    <x v="2"/>
    <x v="0"/>
    <x v="5"/>
    <n v="10"/>
    <x v="3"/>
  </r>
  <r>
    <s v="642-32-2990"/>
    <n v="10.96"/>
    <n v="10"/>
    <n v="5.48"/>
    <n v="115.08"/>
    <d v="2019-02-02T00:00:00"/>
    <d v="1900-01-04T11:08:00"/>
    <s v="Ewallet"/>
    <n v="109.6"/>
    <n v="4.7619047620000003"/>
    <n v="6"/>
    <x v="1"/>
    <x v="0"/>
    <x v="4"/>
    <x v="0"/>
    <x v="0"/>
    <x v="2"/>
    <x v="0"/>
    <n v="11"/>
    <x v="3"/>
  </r>
  <r>
    <s v="378-24-2715"/>
    <n v="53.44"/>
    <n v="2"/>
    <n v="5.3440000000000003"/>
    <n v="112.224"/>
    <d v="2019-01-20T00:00:00"/>
    <d v="1900-01-04T12:08:00"/>
    <s v="Ewallet"/>
    <n v="106.88"/>
    <n v="4.7619047620000003"/>
    <n v="4.0999999999999996"/>
    <x v="1"/>
    <x v="1"/>
    <x v="2"/>
    <x v="2"/>
    <x v="2"/>
    <x v="0"/>
    <x v="2"/>
    <n v="12"/>
    <x v="3"/>
  </r>
  <r>
    <s v="638-60-7125"/>
    <n v="99.56"/>
    <n v="8"/>
    <n v="39.823999999999998"/>
    <n v="836.30399999999997"/>
    <d v="2019-02-14T00:00:00"/>
    <d v="1900-01-04T13:08:00"/>
    <s v="Credit card"/>
    <n v="796.48"/>
    <n v="4.7619047620000003"/>
    <n v="5.2"/>
    <x v="1"/>
    <x v="0"/>
    <x v="1"/>
    <x v="0"/>
    <x v="0"/>
    <x v="2"/>
    <x v="4"/>
    <n v="13"/>
    <x v="0"/>
  </r>
  <r>
    <s v="659-36-1684"/>
    <n v="57.12"/>
    <n v="7"/>
    <n v="19.992000000000001"/>
    <n v="419.83199999999999"/>
    <d v="2019-01-12T00:00:00"/>
    <d v="1900-01-04T14:08:00"/>
    <s v="Credit card"/>
    <n v="399.84"/>
    <n v="4.7619047620000003"/>
    <n v="6.5"/>
    <x v="0"/>
    <x v="1"/>
    <x v="3"/>
    <x v="1"/>
    <x v="1"/>
    <x v="0"/>
    <x v="0"/>
    <n v="14"/>
    <x v="0"/>
  </r>
  <r>
    <s v="219-22-9386"/>
    <n v="99.96"/>
    <n v="9"/>
    <n v="44.981999999999999"/>
    <n v="944.62199999999996"/>
    <d v="2019-03-09T00:00:00"/>
    <d v="1900-01-04T15:08:00"/>
    <s v="Credit card"/>
    <n v="899.64"/>
    <n v="4.7619047620000003"/>
    <n v="4.2"/>
    <x v="0"/>
    <x v="1"/>
    <x v="3"/>
    <x v="2"/>
    <x v="2"/>
    <x v="1"/>
    <x v="0"/>
    <n v="15"/>
    <x v="0"/>
  </r>
  <r>
    <s v="336-78-2147"/>
    <n v="63.91"/>
    <n v="8"/>
    <n v="25.564"/>
    <n v="536.84400000000005"/>
    <d v="2019-03-13T00:00:00"/>
    <d v="1900-01-04T16:08:00"/>
    <s v="Credit card"/>
    <n v="511.28"/>
    <n v="4.7619047620000003"/>
    <n v="4.5999999999999996"/>
    <x v="0"/>
    <x v="1"/>
    <x v="2"/>
    <x v="1"/>
    <x v="1"/>
    <x v="1"/>
    <x v="5"/>
    <n v="16"/>
    <x v="0"/>
  </r>
  <r>
    <s v="268-27-6179"/>
    <n v="56.47"/>
    <n v="8"/>
    <n v="22.588000000000001"/>
    <n v="474.34800000000001"/>
    <d v="2019-03-09T00:00:00"/>
    <d v="1900-01-04T17:08:00"/>
    <s v="Ewallet"/>
    <n v="451.76"/>
    <n v="4.7619047620000003"/>
    <n v="7.3"/>
    <x v="0"/>
    <x v="0"/>
    <x v="5"/>
    <x v="2"/>
    <x v="2"/>
    <x v="1"/>
    <x v="0"/>
    <n v="17"/>
    <x v="1"/>
  </r>
  <r>
    <s v="668-90-8900"/>
    <n v="93.69"/>
    <n v="7"/>
    <n v="32.791499999999999"/>
    <n v="688.62149999999997"/>
    <d v="2019-03-10T00:00:00"/>
    <d v="1900-01-04T18:08:00"/>
    <s v="Credit card"/>
    <n v="655.83"/>
    <n v="4.7619047620000003"/>
    <n v="4.5"/>
    <x v="1"/>
    <x v="0"/>
    <x v="2"/>
    <x v="0"/>
    <x v="0"/>
    <x v="1"/>
    <x v="2"/>
    <n v="18"/>
    <x v="1"/>
  </r>
  <r>
    <s v="870-54-3162"/>
    <n v="32.25"/>
    <n v="5"/>
    <n v="8.0625"/>
    <n v="169.3125"/>
    <d v="2019-01-27T00:00:00"/>
    <d v="1900-01-04T19:08:00"/>
    <s v="Cash"/>
    <n v="161.25"/>
    <n v="4.7619047620000003"/>
    <n v="9"/>
    <x v="1"/>
    <x v="0"/>
    <x v="3"/>
    <x v="0"/>
    <x v="0"/>
    <x v="0"/>
    <x v="2"/>
    <n v="19"/>
    <x v="1"/>
  </r>
  <r>
    <s v="189-08-9157"/>
    <n v="31.73"/>
    <n v="9"/>
    <n v="14.278499999999999"/>
    <n v="299.8485"/>
    <d v="2019-01-08T00:00:00"/>
    <d v="1900-01-04T20:08:00"/>
    <s v="Credit card"/>
    <n v="285.57"/>
    <n v="4.7619047620000003"/>
    <n v="5.9"/>
    <x v="1"/>
    <x v="0"/>
    <x v="5"/>
    <x v="1"/>
    <x v="1"/>
    <x v="0"/>
    <x v="6"/>
    <n v="20"/>
    <x v="1"/>
  </r>
  <r>
    <s v="663-86-9076"/>
    <n v="68.540000000000006"/>
    <n v="8"/>
    <n v="27.416"/>
    <n v="575.73599999999999"/>
    <d v="2019-01-08T00:00:00"/>
    <d v="1900-01-04T21:08:00"/>
    <s v="Ewallet"/>
    <n v="548.32000000000005"/>
    <n v="4.7619047620000003"/>
    <n v="8.5"/>
    <x v="0"/>
    <x v="0"/>
    <x v="4"/>
    <x v="1"/>
    <x v="1"/>
    <x v="0"/>
    <x v="6"/>
    <n v="21"/>
    <x v="1"/>
  </r>
  <r>
    <s v="549-84-7482"/>
    <n v="90.28"/>
    <n v="9"/>
    <n v="40.625999999999998"/>
    <n v="853.14599999999996"/>
    <d v="2019-02-08T00:00:00"/>
    <d v="1900-01-04T22:08:00"/>
    <s v="Ewallet"/>
    <n v="812.52"/>
    <n v="4.7619047620000003"/>
    <n v="7.2"/>
    <x v="1"/>
    <x v="0"/>
    <x v="3"/>
    <x v="2"/>
    <x v="2"/>
    <x v="2"/>
    <x v="1"/>
    <n v="22"/>
    <x v="2"/>
  </r>
  <r>
    <s v="191-10-6171"/>
    <n v="39.619999999999997"/>
    <n v="7"/>
    <n v="13.867000000000001"/>
    <n v="291.20699999999999"/>
    <d v="2019-01-25T00:00:00"/>
    <d v="1900-01-04T23:08:00"/>
    <s v="Cash"/>
    <n v="277.33999999999997"/>
    <n v="4.7619047620000003"/>
    <n v="7.5"/>
    <x v="1"/>
    <x v="0"/>
    <x v="5"/>
    <x v="2"/>
    <x v="2"/>
    <x v="0"/>
    <x v="1"/>
    <n v="23"/>
    <x v="2"/>
  </r>
  <r>
    <s v="802-70-5316"/>
    <n v="92.13"/>
    <n v="6"/>
    <n v="27.638999999999999"/>
    <n v="580.41899999999998"/>
    <d v="2019-03-06T00:00:00"/>
    <d v="1900-01-05T00:08:00"/>
    <s v="Cash"/>
    <n v="552.78"/>
    <n v="4.7619047620000003"/>
    <n v="8.3000000000000007"/>
    <x v="0"/>
    <x v="0"/>
    <x v="3"/>
    <x v="0"/>
    <x v="0"/>
    <x v="1"/>
    <x v="5"/>
    <n v="0"/>
    <x v="3"/>
  </r>
  <r>
    <s v="695-51-0018"/>
    <n v="34.840000000000003"/>
    <n v="4"/>
    <n v="6.968"/>
    <n v="146.328"/>
    <d v="2019-02-10T00:00:00"/>
    <d v="1900-01-05T01:08:00"/>
    <s v="Cash"/>
    <n v="139.36000000000001"/>
    <n v="4.7619047620000003"/>
    <n v="7.4"/>
    <x v="1"/>
    <x v="0"/>
    <x v="3"/>
    <x v="2"/>
    <x v="2"/>
    <x v="2"/>
    <x v="2"/>
    <n v="1"/>
    <x v="3"/>
  </r>
  <r>
    <s v="590-83-4591"/>
    <n v="87.45"/>
    <n v="6"/>
    <n v="26.234999999999999"/>
    <n v="550.93499999999995"/>
    <d v="2019-02-17T00:00:00"/>
    <d v="1900-01-05T02:08:00"/>
    <s v="Credit card"/>
    <n v="524.70000000000005"/>
    <n v="4.7619047620000003"/>
    <n v="8.8000000000000007"/>
    <x v="0"/>
    <x v="1"/>
    <x v="1"/>
    <x v="2"/>
    <x v="2"/>
    <x v="2"/>
    <x v="2"/>
    <n v="2"/>
    <x v="3"/>
  </r>
  <r>
    <s v="483-71-1164"/>
    <n v="81.3"/>
    <n v="6"/>
    <n v="24.39"/>
    <n v="512.19000000000005"/>
    <d v="2019-03-08T00:00:00"/>
    <d v="1900-01-05T03:08:00"/>
    <s v="Ewallet"/>
    <n v="487.8"/>
    <n v="4.7619047620000003"/>
    <n v="5.3"/>
    <x v="1"/>
    <x v="0"/>
    <x v="0"/>
    <x v="1"/>
    <x v="1"/>
    <x v="1"/>
    <x v="1"/>
    <n v="3"/>
    <x v="3"/>
  </r>
  <r>
    <s v="597-78-7908"/>
    <n v="90.22"/>
    <n v="3"/>
    <n v="13.532999999999999"/>
    <n v="284.19299999999998"/>
    <d v="2019-02-18T00:00:00"/>
    <d v="1900-01-05T04:08:00"/>
    <s v="Cash"/>
    <n v="270.66000000000003"/>
    <n v="4.7619047620000003"/>
    <n v="6.2"/>
    <x v="1"/>
    <x v="1"/>
    <x v="5"/>
    <x v="1"/>
    <x v="1"/>
    <x v="2"/>
    <x v="3"/>
    <n v="4"/>
    <x v="3"/>
  </r>
  <r>
    <s v="700-81-1757"/>
    <n v="26.31"/>
    <n v="5"/>
    <n v="6.5774999999999997"/>
    <n v="138.1275"/>
    <d v="2019-01-18T00:00:00"/>
    <d v="1900-01-05T05:08:00"/>
    <s v="Credit card"/>
    <n v="131.55000000000001"/>
    <n v="4.7619047620000003"/>
    <n v="8.8000000000000007"/>
    <x v="1"/>
    <x v="0"/>
    <x v="1"/>
    <x v="0"/>
    <x v="0"/>
    <x v="0"/>
    <x v="1"/>
    <n v="5"/>
    <x v="3"/>
  </r>
  <r>
    <s v="354-39-5160"/>
    <n v="34.42"/>
    <n v="6"/>
    <n v="10.326000000000001"/>
    <n v="216.846"/>
    <d v="2019-02-18T00:00:00"/>
    <d v="1900-01-05T06:08:00"/>
    <s v="Cash"/>
    <n v="206.52"/>
    <n v="4.7619047620000003"/>
    <n v="9.8000000000000007"/>
    <x v="0"/>
    <x v="0"/>
    <x v="2"/>
    <x v="0"/>
    <x v="0"/>
    <x v="2"/>
    <x v="3"/>
    <n v="6"/>
    <x v="3"/>
  </r>
  <r>
    <s v="241-72-9525"/>
    <n v="51.91"/>
    <n v="10"/>
    <n v="25.954999999999998"/>
    <n v="545.05499999999995"/>
    <d v="2019-02-16T00:00:00"/>
    <d v="1900-01-05T07:08:00"/>
    <s v="Cash"/>
    <n v="519.1"/>
    <n v="4.7619047620000003"/>
    <n v="8.1999999999999993"/>
    <x v="1"/>
    <x v="1"/>
    <x v="3"/>
    <x v="2"/>
    <x v="2"/>
    <x v="2"/>
    <x v="0"/>
    <n v="7"/>
    <x v="3"/>
  </r>
  <r>
    <s v="575-30-8091"/>
    <n v="72.5"/>
    <n v="8"/>
    <n v="29"/>
    <n v="609"/>
    <d v="2019-03-16T00:00:00"/>
    <d v="1900-01-05T08:08:00"/>
    <s v="Ewallet"/>
    <n v="580"/>
    <n v="4.7619047620000003"/>
    <n v="9.1999999999999993"/>
    <x v="1"/>
    <x v="1"/>
    <x v="3"/>
    <x v="0"/>
    <x v="0"/>
    <x v="1"/>
    <x v="0"/>
    <n v="8"/>
    <x v="3"/>
  </r>
  <r>
    <s v="731-81-9469"/>
    <n v="89.8"/>
    <n v="10"/>
    <n v="44.9"/>
    <n v="942.9"/>
    <d v="2019-01-23T00:00:00"/>
    <d v="1900-01-05T09:08:00"/>
    <s v="Credit card"/>
    <n v="898"/>
    <n v="4.7619047620000003"/>
    <n v="5.4"/>
    <x v="0"/>
    <x v="0"/>
    <x v="3"/>
    <x v="1"/>
    <x v="1"/>
    <x v="0"/>
    <x v="5"/>
    <n v="9"/>
    <x v="3"/>
  </r>
  <r>
    <s v="280-17-4359"/>
    <n v="90.5"/>
    <n v="10"/>
    <n v="45.25"/>
    <n v="950.25"/>
    <d v="2019-01-25T00:00:00"/>
    <d v="1900-01-05T10:08:00"/>
    <s v="Cash"/>
    <n v="905"/>
    <n v="4.7619047620000003"/>
    <n v="8.1"/>
    <x v="0"/>
    <x v="1"/>
    <x v="0"/>
    <x v="1"/>
    <x v="1"/>
    <x v="0"/>
    <x v="1"/>
    <n v="10"/>
    <x v="3"/>
  </r>
  <r>
    <s v="338-65-2210"/>
    <n v="68.599999999999994"/>
    <n v="10"/>
    <n v="34.299999999999997"/>
    <n v="720.3"/>
    <d v="2019-02-05T00:00:00"/>
    <d v="1900-01-05T11:08:00"/>
    <s v="Cash"/>
    <n v="686"/>
    <n v="4.7619047620000003"/>
    <n v="9.1"/>
    <x v="0"/>
    <x v="0"/>
    <x v="0"/>
    <x v="1"/>
    <x v="1"/>
    <x v="2"/>
    <x v="6"/>
    <n v="11"/>
    <x v="3"/>
  </r>
  <r>
    <s v="488-25-4221"/>
    <n v="30.41"/>
    <n v="1"/>
    <n v="1.5205"/>
    <n v="31.930499999999999"/>
    <d v="2019-02-22T00:00:00"/>
    <d v="1900-01-05T12:08:00"/>
    <s v="Credit card"/>
    <n v="30.41"/>
    <n v="4.7619047620000003"/>
    <n v="8.4"/>
    <x v="0"/>
    <x v="0"/>
    <x v="4"/>
    <x v="1"/>
    <x v="1"/>
    <x v="2"/>
    <x v="1"/>
    <n v="12"/>
    <x v="3"/>
  </r>
  <r>
    <s v="239-10-7476"/>
    <n v="77.95"/>
    <n v="6"/>
    <n v="23.385000000000002"/>
    <n v="491.08499999999998"/>
    <d v="2019-01-21T00:00:00"/>
    <d v="1900-01-05T13:08:00"/>
    <s v="Ewallet"/>
    <n v="467.7"/>
    <n v="4.7619047620000003"/>
    <n v="8"/>
    <x v="1"/>
    <x v="0"/>
    <x v="2"/>
    <x v="0"/>
    <x v="0"/>
    <x v="0"/>
    <x v="3"/>
    <n v="13"/>
    <x v="0"/>
  </r>
  <r>
    <s v="458-41-1477"/>
    <n v="46.26"/>
    <n v="6"/>
    <n v="13.878"/>
    <n v="291.43799999999999"/>
    <d v="2019-03-08T00:00:00"/>
    <d v="1900-01-05T14:08:00"/>
    <s v="Credit card"/>
    <n v="277.56"/>
    <n v="4.7619047620000003"/>
    <n v="9.5"/>
    <x v="1"/>
    <x v="0"/>
    <x v="0"/>
    <x v="1"/>
    <x v="1"/>
    <x v="1"/>
    <x v="1"/>
    <n v="14"/>
    <x v="0"/>
  </r>
  <r>
    <s v="685-64-1609"/>
    <n v="30.14"/>
    <n v="10"/>
    <n v="15.07"/>
    <n v="316.47000000000003"/>
    <d v="2019-02-10T00:00:00"/>
    <d v="1900-01-05T15:08:00"/>
    <s v="Ewallet"/>
    <n v="301.39999999999998"/>
    <n v="4.7619047620000003"/>
    <n v="9.1999999999999993"/>
    <x v="0"/>
    <x v="0"/>
    <x v="5"/>
    <x v="0"/>
    <x v="0"/>
    <x v="2"/>
    <x v="2"/>
    <n v="15"/>
    <x v="0"/>
  </r>
  <r>
    <s v="568-90-5112"/>
    <n v="66.14"/>
    <n v="4"/>
    <n v="13.228"/>
    <n v="277.78800000000001"/>
    <d v="2019-03-19T00:00:00"/>
    <d v="1900-01-05T16:08:00"/>
    <s v="Credit card"/>
    <n v="264.56"/>
    <n v="4.7619047620000003"/>
    <n v="5.6"/>
    <x v="1"/>
    <x v="1"/>
    <x v="0"/>
    <x v="1"/>
    <x v="1"/>
    <x v="1"/>
    <x v="6"/>
    <n v="16"/>
    <x v="0"/>
  </r>
  <r>
    <s v="262-47-2794"/>
    <n v="71.86"/>
    <n v="8"/>
    <n v="28.744"/>
    <n v="603.62400000000002"/>
    <d v="2019-03-06T00:00:00"/>
    <d v="1900-01-05T17:08:00"/>
    <s v="Credit card"/>
    <n v="574.88"/>
    <n v="4.7619047620000003"/>
    <n v="6.2"/>
    <x v="0"/>
    <x v="1"/>
    <x v="2"/>
    <x v="2"/>
    <x v="2"/>
    <x v="1"/>
    <x v="5"/>
    <n v="17"/>
    <x v="1"/>
  </r>
  <r>
    <s v="238-49-0436"/>
    <n v="32.46"/>
    <n v="8"/>
    <n v="12.984"/>
    <n v="272.66399999999999"/>
    <d v="2019-03-27T00:00:00"/>
    <d v="1900-01-05T18:08:00"/>
    <s v="Credit card"/>
    <n v="259.68"/>
    <n v="4.7619047620000003"/>
    <n v="4.9000000000000004"/>
    <x v="1"/>
    <x v="1"/>
    <x v="0"/>
    <x v="0"/>
    <x v="0"/>
    <x v="1"/>
    <x v="5"/>
    <n v="18"/>
    <x v="1"/>
  </r>
  <r>
    <s v="608-96-3517"/>
    <n v="91.54"/>
    <n v="4"/>
    <n v="18.308"/>
    <n v="384.46800000000002"/>
    <d v="2019-03-23T00:00:00"/>
    <d v="1900-01-05T19:08:00"/>
    <s v="Credit card"/>
    <n v="366.16"/>
    <n v="4.7619047620000003"/>
    <n v="4.8"/>
    <x v="0"/>
    <x v="0"/>
    <x v="5"/>
    <x v="2"/>
    <x v="2"/>
    <x v="1"/>
    <x v="0"/>
    <n v="19"/>
    <x v="1"/>
  </r>
  <r>
    <s v="584-86-7256"/>
    <n v="34.56"/>
    <n v="7"/>
    <n v="12.096"/>
    <n v="254.01599999999999"/>
    <d v="2019-03-11T00:00:00"/>
    <d v="1900-01-05T20:08:00"/>
    <s v="Credit card"/>
    <n v="241.92"/>
    <n v="4.7619047620000003"/>
    <n v="7.3"/>
    <x v="0"/>
    <x v="1"/>
    <x v="3"/>
    <x v="1"/>
    <x v="1"/>
    <x v="1"/>
    <x v="3"/>
    <n v="20"/>
    <x v="1"/>
  </r>
  <r>
    <s v="746-94-0204"/>
    <n v="83.24"/>
    <n v="9"/>
    <n v="37.457999999999998"/>
    <n v="786.61800000000005"/>
    <d v="2019-01-29T00:00:00"/>
    <d v="1900-01-05T21:08:00"/>
    <s v="Credit card"/>
    <n v="749.16"/>
    <n v="4.7619047620000003"/>
    <n v="7.4"/>
    <x v="1"/>
    <x v="1"/>
    <x v="5"/>
    <x v="0"/>
    <x v="0"/>
    <x v="0"/>
    <x v="6"/>
    <n v="21"/>
    <x v="1"/>
  </r>
  <r>
    <s v="214-17-6927"/>
    <n v="16.48"/>
    <n v="6"/>
    <n v="4.944"/>
    <n v="103.824"/>
    <d v="2019-02-07T00:00:00"/>
    <d v="1900-01-05T22:08:00"/>
    <s v="Ewallet"/>
    <n v="98.88"/>
    <n v="4.7619047620000003"/>
    <n v="9.9"/>
    <x v="1"/>
    <x v="0"/>
    <x v="4"/>
    <x v="1"/>
    <x v="1"/>
    <x v="2"/>
    <x v="4"/>
    <n v="22"/>
    <x v="2"/>
  </r>
  <r>
    <s v="400-89-4171"/>
    <n v="80.97"/>
    <n v="8"/>
    <n v="32.387999999999998"/>
    <n v="680.14800000000002"/>
    <d v="2019-01-28T00:00:00"/>
    <d v="1900-01-05T23:08:00"/>
    <s v="Cash"/>
    <n v="647.76"/>
    <n v="4.7619047620000003"/>
    <n v="9.3000000000000007"/>
    <x v="1"/>
    <x v="0"/>
    <x v="3"/>
    <x v="1"/>
    <x v="1"/>
    <x v="0"/>
    <x v="3"/>
    <n v="23"/>
    <x v="2"/>
  </r>
  <r>
    <s v="782-95-9291"/>
    <n v="92.29"/>
    <n v="5"/>
    <n v="23.072500000000002"/>
    <n v="484.52249999999998"/>
    <d v="2019-02-20T00:00:00"/>
    <d v="1900-01-06T00:08:00"/>
    <s v="Credit card"/>
    <n v="461.45"/>
    <n v="4.7619047620000003"/>
    <n v="9"/>
    <x v="0"/>
    <x v="1"/>
    <x v="4"/>
    <x v="0"/>
    <x v="0"/>
    <x v="2"/>
    <x v="5"/>
    <n v="0"/>
    <x v="3"/>
  </r>
  <r>
    <s v="279-74-2924"/>
    <n v="72.17"/>
    <n v="1"/>
    <n v="3.6084999999999998"/>
    <n v="75.778499999999994"/>
    <d v="2019-01-04T00:00:00"/>
    <d v="1900-01-06T01:08:00"/>
    <s v="Cash"/>
    <n v="72.17"/>
    <n v="4.7619047620000003"/>
    <n v="6.1"/>
    <x v="0"/>
    <x v="1"/>
    <x v="1"/>
    <x v="2"/>
    <x v="2"/>
    <x v="0"/>
    <x v="1"/>
    <n v="1"/>
    <x v="3"/>
  </r>
  <r>
    <s v="307-85-2293"/>
    <n v="50.28"/>
    <n v="5"/>
    <n v="12.57"/>
    <n v="263.97000000000003"/>
    <d v="2019-03-07T00:00:00"/>
    <d v="1900-01-06T02:08:00"/>
    <s v="Ewallet"/>
    <n v="251.4"/>
    <n v="4.7619047620000003"/>
    <n v="9.6999999999999993"/>
    <x v="1"/>
    <x v="1"/>
    <x v="2"/>
    <x v="2"/>
    <x v="2"/>
    <x v="1"/>
    <x v="4"/>
    <n v="2"/>
    <x v="3"/>
  </r>
  <r>
    <s v="743-04-1105"/>
    <n v="97.22"/>
    <n v="9"/>
    <n v="43.749000000000002"/>
    <n v="918.72900000000004"/>
    <d v="2019-03-30T00:00:00"/>
    <d v="1900-01-06T03:08:00"/>
    <s v="Ewallet"/>
    <n v="874.98"/>
    <n v="4.7619047620000003"/>
    <n v="6"/>
    <x v="0"/>
    <x v="1"/>
    <x v="0"/>
    <x v="2"/>
    <x v="2"/>
    <x v="1"/>
    <x v="0"/>
    <n v="3"/>
    <x v="3"/>
  </r>
  <r>
    <s v="423-57-2993"/>
    <n v="93.39"/>
    <n v="6"/>
    <n v="28.016999999999999"/>
    <n v="588.35699999999997"/>
    <d v="2019-03-27T00:00:00"/>
    <d v="1900-01-06T04:08:00"/>
    <s v="Ewallet"/>
    <n v="560.34"/>
    <n v="4.7619047620000003"/>
    <n v="10"/>
    <x v="1"/>
    <x v="1"/>
    <x v="3"/>
    <x v="2"/>
    <x v="2"/>
    <x v="1"/>
    <x v="5"/>
    <n v="4"/>
    <x v="3"/>
  </r>
  <r>
    <s v="894-41-5205"/>
    <n v="43.18"/>
    <n v="8"/>
    <n v="17.271999999999998"/>
    <n v="362.71199999999999"/>
    <d v="2019-01-19T00:00:00"/>
    <d v="1900-01-06T05:08:00"/>
    <s v="Credit card"/>
    <n v="345.44"/>
    <n v="4.7619047620000003"/>
    <n v="8.3000000000000007"/>
    <x v="1"/>
    <x v="0"/>
    <x v="4"/>
    <x v="1"/>
    <x v="1"/>
    <x v="0"/>
    <x v="0"/>
    <n v="5"/>
    <x v="3"/>
  </r>
  <r>
    <s v="275-28-0149"/>
    <n v="63.69"/>
    <n v="1"/>
    <n v="3.1844999999999999"/>
    <n v="66.874499999999998"/>
    <d v="2019-02-25T00:00:00"/>
    <d v="1900-01-06T06:08:00"/>
    <s v="Cash"/>
    <n v="63.69"/>
    <n v="4.7619047620000003"/>
    <n v="6"/>
    <x v="1"/>
    <x v="1"/>
    <x v="3"/>
    <x v="0"/>
    <x v="0"/>
    <x v="2"/>
    <x v="3"/>
    <n v="6"/>
    <x v="3"/>
  </r>
  <r>
    <s v="101-17-6199"/>
    <n v="45.79"/>
    <n v="7"/>
    <n v="16.026499999999999"/>
    <n v="336.55650000000003"/>
    <d v="2019-03-13T00:00:00"/>
    <d v="1900-01-06T07:08:00"/>
    <s v="Credit card"/>
    <n v="320.52999999999997"/>
    <n v="4.7619047620000003"/>
    <n v="7"/>
    <x v="1"/>
    <x v="1"/>
    <x v="4"/>
    <x v="0"/>
    <x v="0"/>
    <x v="1"/>
    <x v="5"/>
    <n v="7"/>
    <x v="3"/>
  </r>
  <r>
    <s v="423-80-0988"/>
    <n v="76.400000000000006"/>
    <n v="2"/>
    <n v="7.64"/>
    <n v="160.44"/>
    <d v="2019-01-30T00:00:00"/>
    <d v="1900-01-06T08:08:00"/>
    <s v="Ewallet"/>
    <n v="152.80000000000001"/>
    <n v="4.7619047620000003"/>
    <n v="6.5"/>
    <x v="1"/>
    <x v="1"/>
    <x v="3"/>
    <x v="1"/>
    <x v="1"/>
    <x v="0"/>
    <x v="5"/>
    <n v="8"/>
    <x v="3"/>
  </r>
  <r>
    <s v="548-46-9322"/>
    <n v="39.9"/>
    <n v="10"/>
    <n v="19.95"/>
    <n v="418.95"/>
    <d v="2019-02-20T00:00:00"/>
    <d v="1900-01-06T09:08:00"/>
    <s v="Credit card"/>
    <n v="399"/>
    <n v="4.7619047620000003"/>
    <n v="5.9"/>
    <x v="1"/>
    <x v="1"/>
    <x v="4"/>
    <x v="2"/>
    <x v="2"/>
    <x v="2"/>
    <x v="5"/>
    <n v="9"/>
    <x v="3"/>
  </r>
  <r>
    <s v="505-02-0892"/>
    <n v="42.57"/>
    <n v="8"/>
    <n v="17.027999999999999"/>
    <n v="357.58800000000002"/>
    <d v="2019-02-25T00:00:00"/>
    <d v="1900-01-06T10:08:00"/>
    <s v="Ewallet"/>
    <n v="340.56"/>
    <n v="4.7619047620000003"/>
    <n v="5.6"/>
    <x v="0"/>
    <x v="1"/>
    <x v="0"/>
    <x v="2"/>
    <x v="2"/>
    <x v="2"/>
    <x v="3"/>
    <n v="10"/>
    <x v="3"/>
  </r>
  <r>
    <s v="234-65-2137"/>
    <n v="95.58"/>
    <n v="10"/>
    <n v="47.79"/>
    <n v="1003.59"/>
    <d v="2019-01-16T00:00:00"/>
    <d v="1900-01-06T11:08:00"/>
    <s v="Cash"/>
    <n v="955.8"/>
    <n v="4.7619047620000003"/>
    <n v="4.8"/>
    <x v="1"/>
    <x v="1"/>
    <x v="2"/>
    <x v="1"/>
    <x v="1"/>
    <x v="0"/>
    <x v="5"/>
    <n v="11"/>
    <x v="3"/>
  </r>
  <r>
    <s v="687-47-8271"/>
    <n v="98.98"/>
    <n v="10"/>
    <n v="49.49"/>
    <n v="1039.29"/>
    <d v="2019-02-08T00:00:00"/>
    <d v="1900-01-06T12:08:00"/>
    <s v="Credit card"/>
    <n v="989.8"/>
    <n v="4.7619047620000003"/>
    <n v="8.6999999999999993"/>
    <x v="1"/>
    <x v="1"/>
    <x v="5"/>
    <x v="0"/>
    <x v="0"/>
    <x v="2"/>
    <x v="1"/>
    <n v="12"/>
    <x v="3"/>
  </r>
  <r>
    <s v="796-32-9050"/>
    <n v="51.28"/>
    <n v="6"/>
    <n v="15.384"/>
    <n v="323.06400000000002"/>
    <d v="2019-01-19T00:00:00"/>
    <d v="1900-01-06T13:08:00"/>
    <s v="Cash"/>
    <n v="307.68"/>
    <n v="4.7619047620000003"/>
    <n v="6.5"/>
    <x v="1"/>
    <x v="1"/>
    <x v="4"/>
    <x v="0"/>
    <x v="0"/>
    <x v="0"/>
    <x v="0"/>
    <n v="13"/>
    <x v="0"/>
  </r>
  <r>
    <s v="105-31-1824"/>
    <n v="69.52"/>
    <n v="7"/>
    <n v="24.332000000000001"/>
    <n v="510.97199999999998"/>
    <d v="2019-02-01T00:00:00"/>
    <d v="1900-01-06T14:08:00"/>
    <s v="Credit card"/>
    <n v="486.64"/>
    <n v="4.7619047620000003"/>
    <n v="8.5"/>
    <x v="0"/>
    <x v="1"/>
    <x v="3"/>
    <x v="0"/>
    <x v="0"/>
    <x v="2"/>
    <x v="1"/>
    <n v="14"/>
    <x v="0"/>
  </r>
  <r>
    <s v="249-42-3782"/>
    <n v="70.010000000000005"/>
    <n v="5"/>
    <n v="17.502500000000001"/>
    <n v="367.55250000000001"/>
    <d v="2019-01-03T00:00:00"/>
    <d v="1900-01-06T15:08:00"/>
    <s v="Ewallet"/>
    <n v="350.05"/>
    <n v="4.7619047620000003"/>
    <n v="5.5"/>
    <x v="1"/>
    <x v="1"/>
    <x v="0"/>
    <x v="0"/>
    <x v="0"/>
    <x v="0"/>
    <x v="4"/>
    <n v="15"/>
    <x v="0"/>
  </r>
  <r>
    <s v="316-55-4634"/>
    <n v="80.05"/>
    <n v="5"/>
    <n v="20.012499999999999"/>
    <n v="420.26249999999999"/>
    <d v="2019-01-26T00:00:00"/>
    <d v="1900-01-06T16:08:00"/>
    <s v="Credit card"/>
    <n v="400.25"/>
    <n v="4.7619047620000003"/>
    <n v="9.4"/>
    <x v="0"/>
    <x v="1"/>
    <x v="4"/>
    <x v="2"/>
    <x v="2"/>
    <x v="0"/>
    <x v="0"/>
    <n v="16"/>
    <x v="0"/>
  </r>
  <r>
    <s v="733-33-4967"/>
    <n v="20.85"/>
    <n v="8"/>
    <n v="8.34"/>
    <n v="175.14"/>
    <d v="2019-03-03T00:00:00"/>
    <d v="1900-01-06T17:08:00"/>
    <s v="Cash"/>
    <n v="166.8"/>
    <n v="4.7619047620000003"/>
    <n v="6.3"/>
    <x v="1"/>
    <x v="1"/>
    <x v="1"/>
    <x v="1"/>
    <x v="1"/>
    <x v="1"/>
    <x v="2"/>
    <n v="17"/>
    <x v="1"/>
  </r>
  <r>
    <s v="608-27-6295"/>
    <n v="52.89"/>
    <n v="6"/>
    <n v="15.867000000000001"/>
    <n v="333.20699999999999"/>
    <d v="2019-01-19T00:00:00"/>
    <d v="1900-01-06T18:08:00"/>
    <s v="Credit card"/>
    <n v="317.33999999999997"/>
    <n v="4.7619047620000003"/>
    <n v="9.8000000000000007"/>
    <x v="0"/>
    <x v="1"/>
    <x v="1"/>
    <x v="2"/>
    <x v="2"/>
    <x v="0"/>
    <x v="0"/>
    <n v="18"/>
    <x v="1"/>
  </r>
  <r>
    <s v="414-12-7047"/>
    <n v="19.79"/>
    <n v="8"/>
    <n v="7.9160000000000004"/>
    <n v="166.23599999999999"/>
    <d v="2019-01-18T00:00:00"/>
    <d v="1900-01-06T19:08:00"/>
    <s v="Ewallet"/>
    <n v="158.32"/>
    <n v="4.7619047620000003"/>
    <n v="8.6999999999999993"/>
    <x v="1"/>
    <x v="1"/>
    <x v="4"/>
    <x v="2"/>
    <x v="2"/>
    <x v="0"/>
    <x v="1"/>
    <n v="19"/>
    <x v="1"/>
  </r>
  <r>
    <s v="827-26-2100"/>
    <n v="33.840000000000003"/>
    <n v="9"/>
    <n v="15.228"/>
    <n v="319.78800000000001"/>
    <d v="2019-03-21T00:00:00"/>
    <d v="1900-01-06T20:08:00"/>
    <s v="Ewallet"/>
    <n v="304.56"/>
    <n v="4.7619047620000003"/>
    <n v="8.8000000000000007"/>
    <x v="0"/>
    <x v="1"/>
    <x v="2"/>
    <x v="0"/>
    <x v="0"/>
    <x v="1"/>
    <x v="4"/>
    <n v="20"/>
    <x v="1"/>
  </r>
  <r>
    <s v="175-54-2529"/>
    <n v="22.17"/>
    <n v="8"/>
    <n v="8.8680000000000003"/>
    <n v="186.22800000000001"/>
    <d v="2019-03-03T00:00:00"/>
    <d v="1900-01-06T21:08:00"/>
    <s v="Credit card"/>
    <n v="177.36"/>
    <n v="4.7619047620000003"/>
    <n v="9.6"/>
    <x v="0"/>
    <x v="1"/>
    <x v="4"/>
    <x v="0"/>
    <x v="0"/>
    <x v="1"/>
    <x v="2"/>
    <n v="21"/>
    <x v="1"/>
  </r>
  <r>
    <s v="139-52-2867"/>
    <n v="22.51"/>
    <n v="7"/>
    <n v="7.8784999999999998"/>
    <n v="165.4485"/>
    <d v="2019-02-13T00:00:00"/>
    <d v="1900-01-06T22:08:00"/>
    <s v="Credit card"/>
    <n v="157.57"/>
    <n v="4.7619047620000003"/>
    <n v="4.8"/>
    <x v="1"/>
    <x v="0"/>
    <x v="5"/>
    <x v="1"/>
    <x v="1"/>
    <x v="2"/>
    <x v="5"/>
    <n v="22"/>
    <x v="2"/>
  </r>
  <r>
    <s v="407-63-8975"/>
    <n v="73.88"/>
    <n v="6"/>
    <n v="22.164000000000001"/>
    <n v="465.44400000000002"/>
    <d v="2019-03-23T00:00:00"/>
    <d v="1900-01-06T23:08:00"/>
    <s v="Ewallet"/>
    <n v="443.28"/>
    <n v="4.7619047620000003"/>
    <n v="4.4000000000000004"/>
    <x v="1"/>
    <x v="1"/>
    <x v="4"/>
    <x v="0"/>
    <x v="0"/>
    <x v="1"/>
    <x v="0"/>
    <n v="23"/>
    <x v="2"/>
  </r>
  <r>
    <s v="342-65-4817"/>
    <n v="86.8"/>
    <n v="3"/>
    <n v="13.02"/>
    <n v="273.42"/>
    <d v="2019-01-28T00:00:00"/>
    <d v="1900-01-07T00:08:00"/>
    <s v="Ewallet"/>
    <n v="260.39999999999998"/>
    <n v="4.7619047620000003"/>
    <n v="9.9"/>
    <x v="0"/>
    <x v="1"/>
    <x v="0"/>
    <x v="1"/>
    <x v="1"/>
    <x v="0"/>
    <x v="3"/>
    <n v="0"/>
    <x v="3"/>
  </r>
  <r>
    <s v="130-98-8941"/>
    <n v="64.260000000000005"/>
    <n v="7"/>
    <n v="22.491"/>
    <n v="472.31099999999998"/>
    <d v="2019-02-09T00:00:00"/>
    <d v="1900-01-07T01:08:00"/>
    <s v="Cash"/>
    <n v="449.82"/>
    <n v="4.7619047620000003"/>
    <n v="5.7"/>
    <x v="1"/>
    <x v="1"/>
    <x v="5"/>
    <x v="1"/>
    <x v="1"/>
    <x v="2"/>
    <x v="0"/>
    <n v="1"/>
    <x v="3"/>
  </r>
  <r>
    <s v="434-83-9547"/>
    <n v="38.47"/>
    <n v="8"/>
    <n v="15.388"/>
    <n v="323.14800000000002"/>
    <d v="2019-01-23T00:00:00"/>
    <d v="1900-01-07T02:08:00"/>
    <s v="Cash"/>
    <n v="307.76"/>
    <n v="4.7619047620000003"/>
    <n v="7.7"/>
    <x v="0"/>
    <x v="1"/>
    <x v="4"/>
    <x v="1"/>
    <x v="1"/>
    <x v="0"/>
    <x v="5"/>
    <n v="2"/>
    <x v="3"/>
  </r>
  <r>
    <s v="851-28-6367"/>
    <n v="15.5"/>
    <n v="10"/>
    <n v="7.75"/>
    <n v="162.75"/>
    <d v="2019-03-23T00:00:00"/>
    <d v="1900-01-07T03:08:00"/>
    <s v="Ewallet"/>
    <n v="155"/>
    <n v="4.7619047620000003"/>
    <n v="8"/>
    <x v="0"/>
    <x v="1"/>
    <x v="3"/>
    <x v="0"/>
    <x v="0"/>
    <x v="1"/>
    <x v="0"/>
    <n v="3"/>
    <x v="3"/>
  </r>
  <r>
    <s v="824-88-3614"/>
    <n v="34.31"/>
    <n v="8"/>
    <n v="13.724"/>
    <n v="288.20400000000001"/>
    <d v="2019-01-25T00:00:00"/>
    <d v="1900-01-07T04:08:00"/>
    <s v="Ewallet"/>
    <n v="274.48"/>
    <n v="4.7619047620000003"/>
    <n v="5.7"/>
    <x v="1"/>
    <x v="1"/>
    <x v="0"/>
    <x v="1"/>
    <x v="1"/>
    <x v="0"/>
    <x v="1"/>
    <n v="4"/>
    <x v="3"/>
  </r>
  <r>
    <s v="586-25-0848"/>
    <n v="12.34"/>
    <n v="7"/>
    <n v="4.319"/>
    <n v="90.698999999999998"/>
    <d v="2019-03-04T00:00:00"/>
    <d v="1900-01-07T05:08:00"/>
    <s v="Credit card"/>
    <n v="86.38"/>
    <n v="4.7619047620000003"/>
    <n v="6.7"/>
    <x v="1"/>
    <x v="0"/>
    <x v="3"/>
    <x v="0"/>
    <x v="0"/>
    <x v="1"/>
    <x v="3"/>
    <n v="5"/>
    <x v="3"/>
  </r>
  <r>
    <s v="895-66-0685"/>
    <n v="18.079999999999998"/>
    <n v="3"/>
    <n v="2.7120000000000002"/>
    <n v="56.951999999999998"/>
    <d v="2019-03-05T00:00:00"/>
    <d v="1900-01-07T06:08:00"/>
    <s v="Ewallet"/>
    <n v="54.24"/>
    <n v="4.7619047620000003"/>
    <n v="8"/>
    <x v="0"/>
    <x v="1"/>
    <x v="4"/>
    <x v="2"/>
    <x v="2"/>
    <x v="1"/>
    <x v="6"/>
    <n v="6"/>
    <x v="3"/>
  </r>
  <r>
    <s v="305-14-0245"/>
    <n v="94.49"/>
    <n v="8"/>
    <n v="37.795999999999999"/>
    <n v="793.71600000000001"/>
    <d v="2019-03-03T00:00:00"/>
    <d v="1900-01-07T07:08:00"/>
    <s v="Ewallet"/>
    <n v="755.92"/>
    <n v="4.7619047620000003"/>
    <n v="7.5"/>
    <x v="0"/>
    <x v="0"/>
    <x v="2"/>
    <x v="2"/>
    <x v="2"/>
    <x v="1"/>
    <x v="2"/>
    <n v="7"/>
    <x v="3"/>
  </r>
  <r>
    <s v="732-04-5373"/>
    <n v="46.47"/>
    <n v="4"/>
    <n v="9.2940000000000005"/>
    <n v="195.17400000000001"/>
    <d v="2019-02-08T00:00:00"/>
    <d v="1900-01-07T08:08:00"/>
    <s v="Cash"/>
    <n v="185.88"/>
    <n v="4.7619047620000003"/>
    <n v="7"/>
    <x v="0"/>
    <x v="1"/>
    <x v="2"/>
    <x v="2"/>
    <x v="2"/>
    <x v="2"/>
    <x v="1"/>
    <n v="8"/>
    <x v="3"/>
  </r>
  <r>
    <s v="400-60-7251"/>
    <n v="74.069999999999993"/>
    <n v="1"/>
    <n v="3.7035"/>
    <n v="77.773499999999999"/>
    <d v="2019-02-10T00:00:00"/>
    <d v="1900-01-07T09:08:00"/>
    <s v="Ewallet"/>
    <n v="74.069999999999993"/>
    <n v="4.7619047620000003"/>
    <n v="9.9"/>
    <x v="1"/>
    <x v="1"/>
    <x v="2"/>
    <x v="0"/>
    <x v="0"/>
    <x v="2"/>
    <x v="2"/>
    <n v="9"/>
    <x v="3"/>
  </r>
  <r>
    <s v="593-65-1552"/>
    <n v="69.81"/>
    <n v="4"/>
    <n v="13.962"/>
    <n v="293.202"/>
    <d v="2019-01-28T00:00:00"/>
    <d v="1900-01-07T10:08:00"/>
    <s v="Credit card"/>
    <n v="279.24"/>
    <n v="4.7619047620000003"/>
    <n v="5.9"/>
    <x v="1"/>
    <x v="0"/>
    <x v="2"/>
    <x v="1"/>
    <x v="1"/>
    <x v="0"/>
    <x v="3"/>
    <n v="10"/>
    <x v="3"/>
  </r>
  <r>
    <s v="284-34-9626"/>
    <n v="77.040000000000006"/>
    <n v="3"/>
    <n v="11.555999999999999"/>
    <n v="242.67599999999999"/>
    <d v="2019-02-11T00:00:00"/>
    <d v="1900-01-07T11:08:00"/>
    <s v="Credit card"/>
    <n v="231.12"/>
    <n v="4.7619047620000003"/>
    <n v="7.2"/>
    <x v="1"/>
    <x v="0"/>
    <x v="2"/>
    <x v="2"/>
    <x v="2"/>
    <x v="2"/>
    <x v="3"/>
    <n v="11"/>
    <x v="3"/>
  </r>
  <r>
    <s v="437-58-8131"/>
    <n v="73.52"/>
    <n v="2"/>
    <n v="7.3520000000000003"/>
    <n v="154.392"/>
    <d v="2019-01-15T00:00:00"/>
    <d v="1900-01-07T12:08:00"/>
    <s v="Ewallet"/>
    <n v="147.04"/>
    <n v="4.7619047620000003"/>
    <n v="4.5999999999999996"/>
    <x v="1"/>
    <x v="0"/>
    <x v="5"/>
    <x v="2"/>
    <x v="2"/>
    <x v="0"/>
    <x v="6"/>
    <n v="12"/>
    <x v="3"/>
  </r>
  <r>
    <s v="286-43-6208"/>
    <n v="87.8"/>
    <n v="9"/>
    <n v="39.51"/>
    <n v="829.71"/>
    <d v="2019-03-16T00:00:00"/>
    <d v="1900-01-07T13:08:00"/>
    <s v="Cash"/>
    <n v="790.2"/>
    <n v="4.7619047620000003"/>
    <n v="9.1999999999999993"/>
    <x v="1"/>
    <x v="0"/>
    <x v="4"/>
    <x v="1"/>
    <x v="1"/>
    <x v="1"/>
    <x v="0"/>
    <n v="13"/>
    <x v="0"/>
  </r>
  <r>
    <s v="641-43-2399"/>
    <n v="25.55"/>
    <n v="4"/>
    <n v="5.1100000000000003"/>
    <n v="107.31"/>
    <d v="2019-01-26T00:00:00"/>
    <d v="1900-01-07T14:08:00"/>
    <s v="Ewallet"/>
    <n v="102.2"/>
    <n v="4.7619047620000003"/>
    <n v="5.7"/>
    <x v="1"/>
    <x v="1"/>
    <x v="2"/>
    <x v="2"/>
    <x v="2"/>
    <x v="0"/>
    <x v="0"/>
    <n v="14"/>
    <x v="0"/>
  </r>
  <r>
    <s v="831-07-6050"/>
    <n v="32.71"/>
    <n v="5"/>
    <n v="8.1775000000000002"/>
    <n v="171.72749999999999"/>
    <d v="2019-03-19T00:00:00"/>
    <d v="1900-01-07T15:08:00"/>
    <s v="Credit card"/>
    <n v="163.55000000000001"/>
    <n v="4.7619047620000003"/>
    <n v="9.9"/>
    <x v="1"/>
    <x v="1"/>
    <x v="1"/>
    <x v="0"/>
    <x v="0"/>
    <x v="1"/>
    <x v="6"/>
    <n v="15"/>
    <x v="0"/>
  </r>
  <r>
    <s v="556-86-3144"/>
    <n v="74.290000000000006"/>
    <n v="1"/>
    <n v="3.7145000000000001"/>
    <n v="78.004499999999993"/>
    <d v="2019-01-13T00:00:00"/>
    <d v="1900-01-07T16:08:00"/>
    <s v="Cash"/>
    <n v="74.290000000000006"/>
    <n v="4.7619047620000003"/>
    <n v="5"/>
    <x v="0"/>
    <x v="0"/>
    <x v="5"/>
    <x v="1"/>
    <x v="1"/>
    <x v="0"/>
    <x v="2"/>
    <n v="16"/>
    <x v="0"/>
  </r>
  <r>
    <s v="848-24-9445"/>
    <n v="43.7"/>
    <n v="2"/>
    <n v="4.37"/>
    <n v="91.77"/>
    <d v="2019-03-26T00:00:00"/>
    <d v="1900-01-07T17:08:00"/>
    <s v="Cash"/>
    <n v="87.4"/>
    <n v="4.7619047620000003"/>
    <n v="4.9000000000000004"/>
    <x v="0"/>
    <x v="1"/>
    <x v="0"/>
    <x v="1"/>
    <x v="1"/>
    <x v="1"/>
    <x v="6"/>
    <n v="17"/>
    <x v="1"/>
  </r>
  <r>
    <s v="856-22-8149"/>
    <n v="25.29"/>
    <n v="1"/>
    <n v="1.2645"/>
    <n v="26.554500000000001"/>
    <d v="2019-03-23T00:00:00"/>
    <d v="1900-01-07T18:08:00"/>
    <s v="Ewallet"/>
    <n v="25.29"/>
    <n v="4.7619047620000003"/>
    <n v="6.1"/>
    <x v="1"/>
    <x v="0"/>
    <x v="2"/>
    <x v="0"/>
    <x v="0"/>
    <x v="1"/>
    <x v="0"/>
    <n v="18"/>
    <x v="1"/>
  </r>
  <r>
    <s v="699-01-4164"/>
    <n v="41.5"/>
    <n v="4"/>
    <n v="8.3000000000000007"/>
    <n v="174.3"/>
    <d v="2019-03-12T00:00:00"/>
    <d v="1900-01-07T19:08:00"/>
    <s v="Credit card"/>
    <n v="166"/>
    <n v="4.7619047620000003"/>
    <n v="8.1999999999999993"/>
    <x v="1"/>
    <x v="1"/>
    <x v="0"/>
    <x v="1"/>
    <x v="1"/>
    <x v="1"/>
    <x v="6"/>
    <n v="19"/>
    <x v="1"/>
  </r>
  <r>
    <s v="420-11-4919"/>
    <n v="71.39"/>
    <n v="5"/>
    <n v="17.8475"/>
    <n v="374.79750000000001"/>
    <d v="2019-02-17T00:00:00"/>
    <d v="1900-01-07T20:08:00"/>
    <s v="Credit card"/>
    <n v="356.95"/>
    <n v="4.7619047620000003"/>
    <n v="5.5"/>
    <x v="0"/>
    <x v="0"/>
    <x v="4"/>
    <x v="1"/>
    <x v="1"/>
    <x v="2"/>
    <x v="2"/>
    <n v="20"/>
    <x v="1"/>
  </r>
  <r>
    <s v="606-80-4905"/>
    <n v="19.149999999999999"/>
    <n v="6"/>
    <n v="5.7450000000000001"/>
    <n v="120.645"/>
    <d v="2019-01-29T00:00:00"/>
    <d v="1900-01-07T21:08:00"/>
    <s v="Credit card"/>
    <n v="114.9"/>
    <n v="4.7619047620000003"/>
    <n v="6.8"/>
    <x v="0"/>
    <x v="0"/>
    <x v="3"/>
    <x v="1"/>
    <x v="1"/>
    <x v="0"/>
    <x v="6"/>
    <n v="21"/>
    <x v="1"/>
  </r>
  <r>
    <s v="542-41-0513"/>
    <n v="57.49"/>
    <n v="4"/>
    <n v="11.497999999999999"/>
    <n v="241.458"/>
    <d v="2019-03-15T00:00:00"/>
    <d v="1900-01-07T22:08:00"/>
    <s v="Cash"/>
    <n v="229.96"/>
    <n v="4.7619047620000003"/>
    <n v="6.6"/>
    <x v="0"/>
    <x v="0"/>
    <x v="1"/>
    <x v="2"/>
    <x v="2"/>
    <x v="1"/>
    <x v="1"/>
    <n v="22"/>
    <x v="2"/>
  </r>
  <r>
    <s v="426-39-2418"/>
    <n v="61.41"/>
    <n v="7"/>
    <n v="21.493500000000001"/>
    <n v="451.36349999999999"/>
    <d v="2019-01-14T00:00:00"/>
    <d v="1900-01-07T23:08:00"/>
    <s v="Cash"/>
    <n v="429.87"/>
    <n v="4.7619047620000003"/>
    <n v="9.8000000000000007"/>
    <x v="1"/>
    <x v="1"/>
    <x v="1"/>
    <x v="1"/>
    <x v="1"/>
    <x v="0"/>
    <x v="3"/>
    <n v="23"/>
    <x v="2"/>
  </r>
  <r>
    <s v="875-46-5808"/>
    <n v="25.9"/>
    <n v="10"/>
    <n v="12.95"/>
    <n v="271.95"/>
    <d v="2019-02-06T00:00:00"/>
    <d v="1900-01-08T00:08:00"/>
    <s v="Ewallet"/>
    <n v="259"/>
    <n v="4.7619047620000003"/>
    <n v="8.6999999999999993"/>
    <x v="0"/>
    <x v="1"/>
    <x v="0"/>
    <x v="2"/>
    <x v="2"/>
    <x v="2"/>
    <x v="5"/>
    <n v="0"/>
    <x v="3"/>
  </r>
  <r>
    <s v="394-43-4238"/>
    <n v="17.77"/>
    <n v="5"/>
    <n v="4.4424999999999999"/>
    <n v="93.292500000000004"/>
    <d v="2019-02-15T00:00:00"/>
    <d v="1900-01-08T01:08:00"/>
    <s v="Credit card"/>
    <n v="88.85"/>
    <n v="4.7619047620000003"/>
    <n v="5.4"/>
    <x v="0"/>
    <x v="1"/>
    <x v="2"/>
    <x v="2"/>
    <x v="2"/>
    <x v="2"/>
    <x v="1"/>
    <n v="1"/>
    <x v="3"/>
  </r>
  <r>
    <s v="749-24-1565"/>
    <n v="23.03"/>
    <n v="9"/>
    <n v="10.3635"/>
    <n v="217.6335"/>
    <d v="2019-01-03T00:00:00"/>
    <d v="1900-01-08T02:08:00"/>
    <s v="Ewallet"/>
    <n v="207.27"/>
    <n v="4.7619047620000003"/>
    <n v="7.9"/>
    <x v="1"/>
    <x v="0"/>
    <x v="0"/>
    <x v="0"/>
    <x v="0"/>
    <x v="0"/>
    <x v="4"/>
    <n v="2"/>
    <x v="3"/>
  </r>
  <r>
    <s v="672-51-8681"/>
    <n v="66.650000000000006"/>
    <n v="9"/>
    <n v="29.9925"/>
    <n v="629.84249999999997"/>
    <d v="2019-01-04T00:00:00"/>
    <d v="1900-01-08T03:08:00"/>
    <s v="Credit card"/>
    <n v="599.85"/>
    <n v="4.7619047620000003"/>
    <n v="9.6999999999999993"/>
    <x v="0"/>
    <x v="0"/>
    <x v="1"/>
    <x v="1"/>
    <x v="1"/>
    <x v="0"/>
    <x v="1"/>
    <n v="3"/>
    <x v="3"/>
  </r>
  <r>
    <s v="263-87-5680"/>
    <n v="28.53"/>
    <n v="10"/>
    <n v="14.265000000000001"/>
    <n v="299.565"/>
    <d v="2019-03-18T00:00:00"/>
    <d v="1900-01-08T04:08:00"/>
    <s v="Ewallet"/>
    <n v="285.3"/>
    <n v="4.7619047620000003"/>
    <n v="7.8"/>
    <x v="0"/>
    <x v="0"/>
    <x v="2"/>
    <x v="1"/>
    <x v="1"/>
    <x v="1"/>
    <x v="3"/>
    <n v="4"/>
    <x v="3"/>
  </r>
  <r>
    <s v="573-58-9734"/>
    <n v="30.37"/>
    <n v="3"/>
    <n v="4.5555000000000003"/>
    <n v="95.665499999999994"/>
    <d v="2019-03-28T00:00:00"/>
    <d v="1900-01-08T05:08:00"/>
    <s v="Ewallet"/>
    <n v="91.11"/>
    <n v="4.7619047620000003"/>
    <n v="5.0999999999999996"/>
    <x v="1"/>
    <x v="0"/>
    <x v="5"/>
    <x v="2"/>
    <x v="2"/>
    <x v="1"/>
    <x v="4"/>
    <n v="5"/>
    <x v="3"/>
  </r>
  <r>
    <s v="817-69-8206"/>
    <n v="99.73"/>
    <n v="9"/>
    <n v="44.878500000000003"/>
    <n v="942.44849999999997"/>
    <d v="2019-03-02T00:00:00"/>
    <d v="1900-01-08T06:08:00"/>
    <s v="Credit card"/>
    <n v="897.57"/>
    <n v="4.7619047620000003"/>
    <n v="6.5"/>
    <x v="1"/>
    <x v="0"/>
    <x v="1"/>
    <x v="2"/>
    <x v="2"/>
    <x v="1"/>
    <x v="0"/>
    <n v="6"/>
    <x v="3"/>
  </r>
  <r>
    <s v="888-02-0338"/>
    <n v="26.23"/>
    <n v="9"/>
    <n v="11.8035"/>
    <n v="247.87350000000001"/>
    <d v="2019-01-25T00:00:00"/>
    <d v="1900-01-08T07:08:00"/>
    <s v="Ewallet"/>
    <n v="236.07"/>
    <n v="4.7619047620000003"/>
    <n v="5.9"/>
    <x v="1"/>
    <x v="1"/>
    <x v="1"/>
    <x v="0"/>
    <x v="0"/>
    <x v="0"/>
    <x v="1"/>
    <n v="7"/>
    <x v="3"/>
  </r>
  <r>
    <s v="677-11-0152"/>
    <n v="93.26"/>
    <n v="9"/>
    <n v="41.966999999999999"/>
    <n v="881.30700000000002"/>
    <d v="2019-01-16T00:00:00"/>
    <d v="1900-01-08T08:08:00"/>
    <s v="Cash"/>
    <n v="839.34"/>
    <n v="4.7619047620000003"/>
    <n v="8.8000000000000007"/>
    <x v="1"/>
    <x v="0"/>
    <x v="4"/>
    <x v="1"/>
    <x v="1"/>
    <x v="0"/>
    <x v="5"/>
    <n v="8"/>
    <x v="3"/>
  </r>
  <r>
    <s v="142-63-6033"/>
    <n v="92.36"/>
    <n v="5"/>
    <n v="23.09"/>
    <n v="484.89"/>
    <d v="2019-03-20T00:00:00"/>
    <d v="1900-01-08T09:08:00"/>
    <s v="Ewallet"/>
    <n v="461.8"/>
    <n v="4.7619047620000003"/>
    <n v="4.9000000000000004"/>
    <x v="1"/>
    <x v="1"/>
    <x v="2"/>
    <x v="2"/>
    <x v="2"/>
    <x v="1"/>
    <x v="5"/>
    <n v="9"/>
    <x v="3"/>
  </r>
  <r>
    <s v="656-16-1063"/>
    <n v="46.42"/>
    <n v="3"/>
    <n v="6.9630000000000001"/>
    <n v="146.22300000000001"/>
    <d v="2019-01-04T00:00:00"/>
    <d v="1900-01-08T10:08:00"/>
    <s v="Credit card"/>
    <n v="139.26"/>
    <n v="4.7619047620000003"/>
    <n v="4.4000000000000004"/>
    <x v="1"/>
    <x v="1"/>
    <x v="3"/>
    <x v="2"/>
    <x v="2"/>
    <x v="0"/>
    <x v="1"/>
    <n v="10"/>
    <x v="3"/>
  </r>
  <r>
    <s v="891-58-8335"/>
    <n v="29.61"/>
    <n v="7"/>
    <n v="10.3635"/>
    <n v="217.6335"/>
    <d v="2019-03-11T00:00:00"/>
    <d v="1900-01-08T11:08:00"/>
    <s v="Cash"/>
    <n v="207.27"/>
    <n v="4.7619047620000003"/>
    <n v="6.5"/>
    <x v="0"/>
    <x v="0"/>
    <x v="3"/>
    <x v="2"/>
    <x v="2"/>
    <x v="1"/>
    <x v="3"/>
    <n v="11"/>
    <x v="3"/>
  </r>
  <r>
    <s v="802-43-8934"/>
    <n v="18.28"/>
    <n v="1"/>
    <n v="0.91400000000000003"/>
    <n v="19.193999999999999"/>
    <d v="2019-03-22T00:00:00"/>
    <d v="1900-01-08T12:08:00"/>
    <s v="Credit card"/>
    <n v="18.28"/>
    <n v="4.7619047620000003"/>
    <n v="8.3000000000000007"/>
    <x v="1"/>
    <x v="1"/>
    <x v="2"/>
    <x v="0"/>
    <x v="0"/>
    <x v="1"/>
    <x v="1"/>
    <n v="12"/>
    <x v="3"/>
  </r>
  <r>
    <s v="560-30-5617"/>
    <n v="24.77"/>
    <n v="5"/>
    <n v="6.1924999999999999"/>
    <n v="130.04249999999999"/>
    <d v="2019-03-24T00:00:00"/>
    <d v="1900-01-08T13:08:00"/>
    <s v="Cash"/>
    <n v="123.85"/>
    <n v="4.7619047620000003"/>
    <n v="8.5"/>
    <x v="1"/>
    <x v="0"/>
    <x v="3"/>
    <x v="2"/>
    <x v="2"/>
    <x v="1"/>
    <x v="2"/>
    <n v="13"/>
    <x v="0"/>
  </r>
  <r>
    <s v="319-74-2561"/>
    <n v="94.64"/>
    <n v="3"/>
    <n v="14.196"/>
    <n v="298.11599999999999"/>
    <d v="2019-02-21T00:00:00"/>
    <d v="1900-01-08T14:08:00"/>
    <s v="Cash"/>
    <n v="283.92"/>
    <n v="4.7619047620000003"/>
    <n v="5.5"/>
    <x v="0"/>
    <x v="0"/>
    <x v="1"/>
    <x v="0"/>
    <x v="0"/>
    <x v="2"/>
    <x v="4"/>
    <n v="14"/>
    <x v="0"/>
  </r>
  <r>
    <s v="549-03-9315"/>
    <n v="94.87"/>
    <n v="8"/>
    <n v="37.948"/>
    <n v="796.90800000000002"/>
    <d v="2019-02-12T00:00:00"/>
    <d v="1900-01-08T15:08:00"/>
    <s v="Ewallet"/>
    <n v="758.96"/>
    <n v="4.7619047620000003"/>
    <n v="8.6999999999999993"/>
    <x v="1"/>
    <x v="1"/>
    <x v="5"/>
    <x v="2"/>
    <x v="2"/>
    <x v="2"/>
    <x v="6"/>
    <n v="15"/>
    <x v="0"/>
  </r>
  <r>
    <s v="790-29-1172"/>
    <n v="57.34"/>
    <n v="3"/>
    <n v="8.6010000000000009"/>
    <n v="180.62100000000001"/>
    <d v="2019-03-10T00:00:00"/>
    <d v="1900-01-08T16:08:00"/>
    <s v="Credit card"/>
    <n v="172.02"/>
    <n v="4.7619047620000003"/>
    <n v="7.9"/>
    <x v="1"/>
    <x v="0"/>
    <x v="4"/>
    <x v="2"/>
    <x v="2"/>
    <x v="1"/>
    <x v="2"/>
    <n v="16"/>
    <x v="0"/>
  </r>
  <r>
    <s v="239-36-3640"/>
    <n v="45.35"/>
    <n v="6"/>
    <n v="13.605"/>
    <n v="285.70499999999998"/>
    <d v="2019-01-31T00:00:00"/>
    <d v="1900-01-08T17:08:00"/>
    <s v="Ewallet"/>
    <n v="272.10000000000002"/>
    <n v="4.7619047620000003"/>
    <n v="6.1"/>
    <x v="1"/>
    <x v="1"/>
    <x v="1"/>
    <x v="2"/>
    <x v="2"/>
    <x v="0"/>
    <x v="4"/>
    <n v="17"/>
    <x v="1"/>
  </r>
  <r>
    <s v="468-01-2051"/>
    <n v="62.08"/>
    <n v="7"/>
    <n v="21.728000000000002"/>
    <n v="456.28800000000001"/>
    <d v="2019-03-06T00:00:00"/>
    <d v="1900-01-08T18:08:00"/>
    <s v="Ewallet"/>
    <n v="434.56"/>
    <n v="4.7619047620000003"/>
    <n v="5.4"/>
    <x v="1"/>
    <x v="1"/>
    <x v="4"/>
    <x v="2"/>
    <x v="2"/>
    <x v="1"/>
    <x v="5"/>
    <n v="18"/>
    <x v="1"/>
  </r>
  <r>
    <s v="389-25-3394"/>
    <n v="11.81"/>
    <n v="5"/>
    <n v="2.9525000000000001"/>
    <n v="62.002499999999998"/>
    <d v="2019-02-17T00:00:00"/>
    <d v="1900-01-08T19:08:00"/>
    <s v="Cash"/>
    <n v="59.05"/>
    <n v="4.7619047620000003"/>
    <n v="9.4"/>
    <x v="1"/>
    <x v="1"/>
    <x v="1"/>
    <x v="1"/>
    <x v="1"/>
    <x v="2"/>
    <x v="2"/>
    <n v="19"/>
    <x v="1"/>
  </r>
  <r>
    <s v="279-62-1445"/>
    <n v="12.54"/>
    <n v="1"/>
    <n v="0.627"/>
    <n v="13.167"/>
    <d v="2019-02-21T00:00:00"/>
    <d v="1900-01-08T20:08:00"/>
    <s v="Cash"/>
    <n v="12.54"/>
    <n v="4.7619047620000003"/>
    <n v="8.1999999999999993"/>
    <x v="0"/>
    <x v="0"/>
    <x v="5"/>
    <x v="1"/>
    <x v="1"/>
    <x v="2"/>
    <x v="4"/>
    <n v="20"/>
    <x v="1"/>
  </r>
  <r>
    <s v="213-72-6612"/>
    <n v="43.25"/>
    <n v="2"/>
    <n v="4.3250000000000002"/>
    <n v="90.825000000000003"/>
    <d v="2019-03-20T00:00:00"/>
    <d v="1900-01-08T21:08:00"/>
    <s v="Cash"/>
    <n v="86.5"/>
    <n v="4.7619047620000003"/>
    <n v="6.2"/>
    <x v="1"/>
    <x v="1"/>
    <x v="4"/>
    <x v="0"/>
    <x v="0"/>
    <x v="1"/>
    <x v="5"/>
    <n v="21"/>
    <x v="1"/>
  </r>
  <r>
    <s v="746-68-6593"/>
    <n v="87.16"/>
    <n v="2"/>
    <n v="8.7159999999999993"/>
    <n v="183.036"/>
    <d v="2019-01-11T00:00:00"/>
    <d v="1900-01-08T22:08:00"/>
    <s v="Credit card"/>
    <n v="174.32"/>
    <n v="4.7619047620000003"/>
    <n v="9.6999999999999993"/>
    <x v="0"/>
    <x v="0"/>
    <x v="3"/>
    <x v="1"/>
    <x v="1"/>
    <x v="0"/>
    <x v="1"/>
    <n v="22"/>
    <x v="2"/>
  </r>
  <r>
    <s v="836-82-5858"/>
    <n v="69.37"/>
    <n v="9"/>
    <n v="31.2165"/>
    <n v="655.54650000000004"/>
    <d v="2019-01-26T00:00:00"/>
    <d v="1900-01-08T23:08:00"/>
    <s v="Ewallet"/>
    <n v="624.33000000000004"/>
    <n v="4.7619047620000003"/>
    <n v="4"/>
    <x v="0"/>
    <x v="1"/>
    <x v="0"/>
    <x v="2"/>
    <x v="2"/>
    <x v="0"/>
    <x v="0"/>
    <n v="23"/>
    <x v="2"/>
  </r>
  <r>
    <s v="583-72-1480"/>
    <n v="37.06"/>
    <n v="4"/>
    <n v="7.4119999999999999"/>
    <n v="155.65199999999999"/>
    <d v="2019-01-31T00:00:00"/>
    <d v="1900-01-09T00:08:00"/>
    <s v="Ewallet"/>
    <n v="148.24"/>
    <n v="4.7619047620000003"/>
    <n v="9.6999999999999993"/>
    <x v="0"/>
    <x v="1"/>
    <x v="1"/>
    <x v="1"/>
    <x v="1"/>
    <x v="0"/>
    <x v="4"/>
    <n v="0"/>
    <x v="3"/>
  </r>
  <r>
    <s v="466-61-5506"/>
    <n v="90.7"/>
    <n v="6"/>
    <n v="27.21"/>
    <n v="571.41"/>
    <d v="2019-02-26T00:00:00"/>
    <d v="1900-01-09T01:08:00"/>
    <s v="Cash"/>
    <n v="544.20000000000005"/>
    <n v="4.7619047620000003"/>
    <n v="5.3"/>
    <x v="0"/>
    <x v="0"/>
    <x v="1"/>
    <x v="2"/>
    <x v="2"/>
    <x v="2"/>
    <x v="6"/>
    <n v="1"/>
    <x v="3"/>
  </r>
  <r>
    <s v="721-86-6247"/>
    <n v="63.42"/>
    <n v="8"/>
    <n v="25.367999999999999"/>
    <n v="532.72799999999995"/>
    <d v="2019-03-11T00:00:00"/>
    <d v="1900-01-09T02:08:00"/>
    <s v="Ewallet"/>
    <n v="507.36"/>
    <n v="4.7619047620000003"/>
    <n v="7.4"/>
    <x v="1"/>
    <x v="0"/>
    <x v="2"/>
    <x v="0"/>
    <x v="0"/>
    <x v="1"/>
    <x v="3"/>
    <n v="2"/>
    <x v="3"/>
  </r>
  <r>
    <s v="289-65-5721"/>
    <n v="81.37"/>
    <n v="2"/>
    <n v="8.1370000000000005"/>
    <n v="170.87700000000001"/>
    <d v="2019-01-26T00:00:00"/>
    <d v="1900-01-09T03:08:00"/>
    <s v="Cash"/>
    <n v="162.74"/>
    <n v="4.7619047620000003"/>
    <n v="6.5"/>
    <x v="1"/>
    <x v="0"/>
    <x v="5"/>
    <x v="2"/>
    <x v="2"/>
    <x v="0"/>
    <x v="0"/>
    <n v="3"/>
    <x v="3"/>
  </r>
  <r>
    <s v="545-46-3100"/>
    <n v="10.59"/>
    <n v="3"/>
    <n v="1.5885"/>
    <n v="33.358499999999999"/>
    <d v="2019-03-12T00:00:00"/>
    <d v="1900-01-09T04:08:00"/>
    <s v="Credit card"/>
    <n v="31.77"/>
    <n v="4.7619047620000003"/>
    <n v="8.6999999999999993"/>
    <x v="0"/>
    <x v="0"/>
    <x v="1"/>
    <x v="2"/>
    <x v="2"/>
    <x v="1"/>
    <x v="6"/>
    <n v="4"/>
    <x v="3"/>
  </r>
  <r>
    <s v="418-02-5978"/>
    <n v="84.09"/>
    <n v="9"/>
    <n v="37.840499999999999"/>
    <n v="794.65049999999997"/>
    <d v="2019-02-11T00:00:00"/>
    <d v="1900-01-09T05:08:00"/>
    <s v="Cash"/>
    <n v="756.81"/>
    <n v="4.7619047620000003"/>
    <n v="8"/>
    <x v="1"/>
    <x v="0"/>
    <x v="0"/>
    <x v="2"/>
    <x v="2"/>
    <x v="2"/>
    <x v="3"/>
    <n v="5"/>
    <x v="3"/>
  </r>
  <r>
    <s v="269-04-5750"/>
    <n v="73.819999999999993"/>
    <n v="4"/>
    <n v="14.763999999999999"/>
    <n v="310.04399999999998"/>
    <d v="2019-02-21T00:00:00"/>
    <d v="1900-01-09T06:08:00"/>
    <s v="Cash"/>
    <n v="295.27999999999997"/>
    <n v="4.7619047620000003"/>
    <n v="6.7"/>
    <x v="0"/>
    <x v="1"/>
    <x v="5"/>
    <x v="2"/>
    <x v="2"/>
    <x v="2"/>
    <x v="4"/>
    <n v="6"/>
    <x v="3"/>
  </r>
  <r>
    <s v="157-13-5295"/>
    <n v="51.94"/>
    <n v="10"/>
    <n v="25.97"/>
    <n v="545.37"/>
    <d v="2019-03-09T00:00:00"/>
    <d v="1900-01-09T07:08:00"/>
    <s v="Ewallet"/>
    <n v="519.4"/>
    <n v="4.7619047620000003"/>
    <n v="6.5"/>
    <x v="0"/>
    <x v="1"/>
    <x v="0"/>
    <x v="0"/>
    <x v="0"/>
    <x v="1"/>
    <x v="0"/>
    <n v="7"/>
    <x v="3"/>
  </r>
  <r>
    <s v="645-78-8093"/>
    <n v="93.14"/>
    <n v="2"/>
    <n v="9.3140000000000001"/>
    <n v="195.59399999999999"/>
    <d v="2019-01-20T00:00:00"/>
    <d v="1900-01-09T08:08:00"/>
    <s v="Ewallet"/>
    <n v="186.28"/>
    <n v="4.7619047620000003"/>
    <n v="4.0999999999999996"/>
    <x v="1"/>
    <x v="0"/>
    <x v="3"/>
    <x v="0"/>
    <x v="0"/>
    <x v="0"/>
    <x v="2"/>
    <n v="8"/>
    <x v="3"/>
  </r>
  <r>
    <s v="211-30-9270"/>
    <n v="17.41"/>
    <n v="5"/>
    <n v="4.3525"/>
    <n v="91.402500000000003"/>
    <d v="2019-01-28T00:00:00"/>
    <d v="1900-01-09T09:08:00"/>
    <s v="Credit card"/>
    <n v="87.05"/>
    <n v="4.7619047620000003"/>
    <n v="4.9000000000000004"/>
    <x v="1"/>
    <x v="1"/>
    <x v="0"/>
    <x v="1"/>
    <x v="1"/>
    <x v="0"/>
    <x v="3"/>
    <n v="9"/>
    <x v="3"/>
  </r>
  <r>
    <s v="755-12-3214"/>
    <n v="44.22"/>
    <n v="5"/>
    <n v="11.055"/>
    <n v="232.155"/>
    <d v="2019-03-05T00:00:00"/>
    <d v="1900-01-09T10:08:00"/>
    <s v="Credit card"/>
    <n v="221.1"/>
    <n v="4.7619047620000003"/>
    <n v="8.6"/>
    <x v="0"/>
    <x v="0"/>
    <x v="5"/>
    <x v="1"/>
    <x v="1"/>
    <x v="1"/>
    <x v="6"/>
    <n v="10"/>
    <x v="3"/>
  </r>
  <r>
    <s v="346-84-3103"/>
    <n v="13.22"/>
    <n v="5"/>
    <n v="3.3050000000000002"/>
    <n v="69.405000000000001"/>
    <d v="2019-03-02T00:00:00"/>
    <d v="1900-01-09T11:08:00"/>
    <s v="Cash"/>
    <n v="66.099999999999994"/>
    <n v="4.7619047620000003"/>
    <n v="4.3"/>
    <x v="0"/>
    <x v="0"/>
    <x v="1"/>
    <x v="2"/>
    <x v="2"/>
    <x v="1"/>
    <x v="0"/>
    <n v="11"/>
    <x v="3"/>
  </r>
  <r>
    <s v="478-06-7835"/>
    <n v="89.69"/>
    <n v="1"/>
    <n v="4.4844999999999997"/>
    <n v="94.174499999999995"/>
    <d v="2019-01-11T00:00:00"/>
    <d v="1900-01-09T12:08:00"/>
    <s v="Ewallet"/>
    <n v="89.69"/>
    <n v="4.7619047620000003"/>
    <n v="4.9000000000000004"/>
    <x v="1"/>
    <x v="1"/>
    <x v="5"/>
    <x v="0"/>
    <x v="0"/>
    <x v="0"/>
    <x v="1"/>
    <n v="12"/>
    <x v="3"/>
  </r>
  <r>
    <s v="540-11-4336"/>
    <n v="24.94"/>
    <n v="9"/>
    <n v="11.223000000000001"/>
    <n v="235.68299999999999"/>
    <d v="2019-01-11T00:00:00"/>
    <d v="1900-01-09T13:08:00"/>
    <s v="Credit card"/>
    <n v="224.46"/>
    <n v="4.7619047620000003"/>
    <n v="5.6"/>
    <x v="1"/>
    <x v="1"/>
    <x v="4"/>
    <x v="0"/>
    <x v="0"/>
    <x v="0"/>
    <x v="1"/>
    <n v="13"/>
    <x v="0"/>
  </r>
  <r>
    <s v="448-81-5016"/>
    <n v="59.77"/>
    <n v="2"/>
    <n v="5.9770000000000003"/>
    <n v="125.517"/>
    <d v="2019-03-11T00:00:00"/>
    <d v="1900-01-09T14:08:00"/>
    <s v="Credit card"/>
    <n v="119.54"/>
    <n v="4.7619047620000003"/>
    <n v="5.8"/>
    <x v="1"/>
    <x v="1"/>
    <x v="0"/>
    <x v="0"/>
    <x v="0"/>
    <x v="1"/>
    <x v="3"/>
    <n v="14"/>
    <x v="0"/>
  </r>
  <r>
    <s v="142-72-4741"/>
    <n v="93.2"/>
    <n v="2"/>
    <n v="9.32"/>
    <n v="195.72"/>
    <d v="2019-02-28T00:00:00"/>
    <d v="1900-01-09T15:08:00"/>
    <s v="Credit card"/>
    <n v="186.4"/>
    <n v="4.7619047620000003"/>
    <n v="6"/>
    <x v="0"/>
    <x v="1"/>
    <x v="5"/>
    <x v="1"/>
    <x v="1"/>
    <x v="2"/>
    <x v="4"/>
    <n v="15"/>
    <x v="0"/>
  </r>
  <r>
    <s v="217-58-1179"/>
    <n v="62.65"/>
    <n v="4"/>
    <n v="12.53"/>
    <n v="263.13"/>
    <d v="2019-01-05T00:00:00"/>
    <d v="1900-01-09T16:08:00"/>
    <s v="Cash"/>
    <n v="250.6"/>
    <n v="4.7619047620000003"/>
    <n v="4.2"/>
    <x v="0"/>
    <x v="1"/>
    <x v="2"/>
    <x v="0"/>
    <x v="0"/>
    <x v="0"/>
    <x v="0"/>
    <n v="16"/>
    <x v="0"/>
  </r>
  <r>
    <s v="376-02-8238"/>
    <n v="93.87"/>
    <n v="8"/>
    <n v="37.548000000000002"/>
    <n v="788.50800000000004"/>
    <d v="2019-02-02T00:00:00"/>
    <d v="1900-01-09T17:08:00"/>
    <s v="Credit card"/>
    <n v="750.96"/>
    <n v="4.7619047620000003"/>
    <n v="8.3000000000000007"/>
    <x v="1"/>
    <x v="1"/>
    <x v="2"/>
    <x v="2"/>
    <x v="2"/>
    <x v="2"/>
    <x v="0"/>
    <n v="17"/>
    <x v="1"/>
  </r>
  <r>
    <s v="530-90-9855"/>
    <n v="47.59"/>
    <n v="8"/>
    <n v="19.036000000000001"/>
    <n v="399.75599999999997"/>
    <d v="2019-01-01T00:00:00"/>
    <d v="1900-01-09T18:08:00"/>
    <s v="Cash"/>
    <n v="380.72"/>
    <n v="4.7619047620000003"/>
    <n v="5.7"/>
    <x v="0"/>
    <x v="1"/>
    <x v="2"/>
    <x v="0"/>
    <x v="0"/>
    <x v="0"/>
    <x v="6"/>
    <n v="18"/>
    <x v="1"/>
  </r>
  <r>
    <s v="866-05-7563"/>
    <n v="81.400000000000006"/>
    <n v="3"/>
    <n v="12.21"/>
    <n v="256.41000000000003"/>
    <d v="2019-02-09T00:00:00"/>
    <d v="1900-01-09T19:08:00"/>
    <s v="Cash"/>
    <n v="244.2"/>
    <n v="4.7619047620000003"/>
    <n v="4.8"/>
    <x v="0"/>
    <x v="0"/>
    <x v="1"/>
    <x v="2"/>
    <x v="2"/>
    <x v="2"/>
    <x v="0"/>
    <n v="19"/>
    <x v="1"/>
  </r>
  <r>
    <s v="604-70-6476"/>
    <n v="17.940000000000001"/>
    <n v="5"/>
    <n v="4.4850000000000003"/>
    <n v="94.185000000000002"/>
    <d v="2019-01-23T00:00:00"/>
    <d v="1900-01-09T20:08:00"/>
    <s v="Ewallet"/>
    <n v="89.7"/>
    <n v="4.7619047620000003"/>
    <n v="6.8"/>
    <x v="0"/>
    <x v="1"/>
    <x v="5"/>
    <x v="0"/>
    <x v="0"/>
    <x v="0"/>
    <x v="5"/>
    <n v="20"/>
    <x v="1"/>
  </r>
  <r>
    <s v="799-71-1548"/>
    <n v="77.72"/>
    <n v="4"/>
    <n v="15.544"/>
    <n v="326.42399999999998"/>
    <d v="2019-01-07T00:00:00"/>
    <d v="1900-01-09T21:08:00"/>
    <s v="Credit card"/>
    <n v="310.88"/>
    <n v="4.7619047620000003"/>
    <n v="8.8000000000000007"/>
    <x v="0"/>
    <x v="1"/>
    <x v="1"/>
    <x v="0"/>
    <x v="0"/>
    <x v="0"/>
    <x v="3"/>
    <n v="21"/>
    <x v="1"/>
  </r>
  <r>
    <s v="785-13-7708"/>
    <n v="73.06"/>
    <n v="7"/>
    <n v="25.571000000000002"/>
    <n v="536.99099999999999"/>
    <d v="2019-01-14T00:00:00"/>
    <d v="1900-01-09T22:08:00"/>
    <s v="Credit card"/>
    <n v="511.42"/>
    <n v="4.7619047620000003"/>
    <n v="4.2"/>
    <x v="1"/>
    <x v="1"/>
    <x v="4"/>
    <x v="2"/>
    <x v="2"/>
    <x v="0"/>
    <x v="3"/>
    <n v="22"/>
    <x v="2"/>
  </r>
  <r>
    <s v="845-51-0542"/>
    <n v="46.55"/>
    <n v="9"/>
    <n v="20.947500000000002"/>
    <n v="439.89749999999998"/>
    <d v="2019-02-02T00:00:00"/>
    <d v="1900-01-09T23:08:00"/>
    <s v="Ewallet"/>
    <n v="418.95"/>
    <n v="4.7619047620000003"/>
    <n v="6.4"/>
    <x v="0"/>
    <x v="1"/>
    <x v="4"/>
    <x v="2"/>
    <x v="2"/>
    <x v="2"/>
    <x v="0"/>
    <n v="23"/>
    <x v="2"/>
  </r>
  <r>
    <s v="662-47-5456"/>
    <n v="35.19"/>
    <n v="10"/>
    <n v="17.594999999999999"/>
    <n v="369.495"/>
    <d v="2019-03-17T00:00:00"/>
    <d v="1900-01-10T00:08:00"/>
    <s v="Credit card"/>
    <n v="351.9"/>
    <n v="4.7619047620000003"/>
    <n v="8.4"/>
    <x v="0"/>
    <x v="1"/>
    <x v="5"/>
    <x v="1"/>
    <x v="1"/>
    <x v="1"/>
    <x v="2"/>
    <n v="0"/>
    <x v="3"/>
  </r>
  <r>
    <s v="883-17-4236"/>
    <n v="14.39"/>
    <n v="2"/>
    <n v="1.4390000000000001"/>
    <n v="30.219000000000001"/>
    <d v="2019-03-02T00:00:00"/>
    <d v="1900-01-10T01:08:00"/>
    <s v="Credit card"/>
    <n v="28.78"/>
    <n v="4.7619047620000003"/>
    <n v="7.2"/>
    <x v="1"/>
    <x v="0"/>
    <x v="3"/>
    <x v="1"/>
    <x v="1"/>
    <x v="1"/>
    <x v="0"/>
    <n v="1"/>
    <x v="3"/>
  </r>
  <r>
    <s v="290-68-2984"/>
    <n v="23.75"/>
    <n v="4"/>
    <n v="4.75"/>
    <n v="99.75"/>
    <d v="2019-03-16T00:00:00"/>
    <d v="1900-01-10T02:08:00"/>
    <s v="Cash"/>
    <n v="95"/>
    <n v="4.7619047620000003"/>
    <n v="5.2"/>
    <x v="1"/>
    <x v="1"/>
    <x v="2"/>
    <x v="0"/>
    <x v="0"/>
    <x v="1"/>
    <x v="0"/>
    <n v="2"/>
    <x v="3"/>
  </r>
  <r>
    <s v="704-11-6354"/>
    <n v="58.9"/>
    <n v="8"/>
    <n v="23.56"/>
    <n v="494.76"/>
    <d v="2019-01-06T00:00:00"/>
    <d v="1900-01-10T03:08:00"/>
    <s v="Cash"/>
    <n v="471.2"/>
    <n v="4.7619047620000003"/>
    <n v="8.9"/>
    <x v="0"/>
    <x v="1"/>
    <x v="2"/>
    <x v="0"/>
    <x v="0"/>
    <x v="0"/>
    <x v="2"/>
    <n v="3"/>
    <x v="3"/>
  </r>
  <r>
    <s v="110-48-7033"/>
    <n v="32.619999999999997"/>
    <n v="4"/>
    <n v="6.524"/>
    <n v="137.00399999999999"/>
    <d v="2019-01-29T00:00:00"/>
    <d v="1900-01-10T04:08:00"/>
    <s v="Cash"/>
    <n v="130.47999999999999"/>
    <n v="4.7619047620000003"/>
    <n v="9"/>
    <x v="0"/>
    <x v="1"/>
    <x v="5"/>
    <x v="2"/>
    <x v="2"/>
    <x v="0"/>
    <x v="6"/>
    <n v="4"/>
    <x v="3"/>
  </r>
  <r>
    <s v="366-93-0948"/>
    <n v="66.349999999999994"/>
    <n v="1"/>
    <n v="3.3174999999999999"/>
    <n v="69.667500000000004"/>
    <d v="2019-01-31T00:00:00"/>
    <d v="1900-01-10T05:08:00"/>
    <s v="Credit card"/>
    <n v="66.349999999999994"/>
    <n v="4.7619047620000003"/>
    <n v="9.6999999999999993"/>
    <x v="0"/>
    <x v="1"/>
    <x v="1"/>
    <x v="0"/>
    <x v="0"/>
    <x v="0"/>
    <x v="4"/>
    <n v="5"/>
    <x v="3"/>
  </r>
  <r>
    <s v="729-09-9681"/>
    <n v="25.91"/>
    <n v="6"/>
    <n v="7.7729999999999997"/>
    <n v="163.233"/>
    <d v="2019-02-05T00:00:00"/>
    <d v="1900-01-10T06:08:00"/>
    <s v="Ewallet"/>
    <n v="155.46"/>
    <n v="4.7619047620000003"/>
    <n v="8.6999999999999993"/>
    <x v="0"/>
    <x v="1"/>
    <x v="2"/>
    <x v="0"/>
    <x v="0"/>
    <x v="2"/>
    <x v="6"/>
    <n v="6"/>
    <x v="3"/>
  </r>
  <r>
    <s v="151-16-1484"/>
    <n v="32.25"/>
    <n v="4"/>
    <n v="6.45"/>
    <n v="135.44999999999999"/>
    <d v="2019-02-13T00:00:00"/>
    <d v="1900-01-10T07:08:00"/>
    <s v="Ewallet"/>
    <n v="129"/>
    <n v="4.7619047620000003"/>
    <n v="6.5"/>
    <x v="0"/>
    <x v="1"/>
    <x v="1"/>
    <x v="0"/>
    <x v="0"/>
    <x v="2"/>
    <x v="5"/>
    <n v="7"/>
    <x v="3"/>
  </r>
  <r>
    <s v="380-94-4661"/>
    <n v="65.94"/>
    <n v="4"/>
    <n v="13.188000000000001"/>
    <n v="276.94799999999998"/>
    <d v="2019-02-07T00:00:00"/>
    <d v="1900-01-10T08:08:00"/>
    <s v="Credit card"/>
    <n v="263.76"/>
    <n v="4.7619047620000003"/>
    <n v="6.9"/>
    <x v="0"/>
    <x v="1"/>
    <x v="1"/>
    <x v="1"/>
    <x v="1"/>
    <x v="2"/>
    <x v="4"/>
    <n v="8"/>
    <x v="3"/>
  </r>
  <r>
    <s v="850-41-9669"/>
    <n v="75.06"/>
    <n v="9"/>
    <n v="33.777000000000001"/>
    <n v="709.31700000000001"/>
    <d v="2019-03-19T00:00:00"/>
    <d v="1900-01-10T09:08:00"/>
    <s v="Ewallet"/>
    <n v="675.54"/>
    <n v="4.7619047620000003"/>
    <n v="6.2"/>
    <x v="1"/>
    <x v="0"/>
    <x v="1"/>
    <x v="0"/>
    <x v="0"/>
    <x v="1"/>
    <x v="6"/>
    <n v="9"/>
    <x v="3"/>
  </r>
  <r>
    <s v="821-07-3596"/>
    <n v="16.45"/>
    <n v="4"/>
    <n v="3.29"/>
    <n v="69.09"/>
    <d v="2019-03-07T00:00:00"/>
    <d v="1900-01-10T10:08:00"/>
    <s v="Ewallet"/>
    <n v="65.8"/>
    <n v="4.7619047620000003"/>
    <n v="5.6"/>
    <x v="1"/>
    <x v="0"/>
    <x v="5"/>
    <x v="1"/>
    <x v="1"/>
    <x v="1"/>
    <x v="4"/>
    <n v="10"/>
    <x v="3"/>
  </r>
  <r>
    <s v="655-85-5130"/>
    <n v="38.299999999999997"/>
    <n v="4"/>
    <n v="7.66"/>
    <n v="160.86000000000001"/>
    <d v="2019-03-13T00:00:00"/>
    <d v="1900-01-10T11:08:00"/>
    <s v="Cash"/>
    <n v="153.19999999999999"/>
    <n v="4.7619047620000003"/>
    <n v="5.7"/>
    <x v="0"/>
    <x v="0"/>
    <x v="5"/>
    <x v="2"/>
    <x v="2"/>
    <x v="1"/>
    <x v="5"/>
    <n v="11"/>
    <x v="3"/>
  </r>
  <r>
    <s v="447-15-7839"/>
    <n v="22.24"/>
    <n v="10"/>
    <n v="11.12"/>
    <n v="233.52"/>
    <d v="2019-02-09T00:00:00"/>
    <d v="1900-01-10T12:08:00"/>
    <s v="Cash"/>
    <n v="222.4"/>
    <n v="4.7619047620000003"/>
    <n v="4.2"/>
    <x v="0"/>
    <x v="0"/>
    <x v="3"/>
    <x v="0"/>
    <x v="0"/>
    <x v="2"/>
    <x v="0"/>
    <n v="12"/>
    <x v="3"/>
  </r>
  <r>
    <s v="154-74-7179"/>
    <n v="54.45"/>
    <n v="1"/>
    <n v="2.7225000000000001"/>
    <n v="57.172499999999999"/>
    <d v="2019-02-26T00:00:00"/>
    <d v="1900-01-10T13:08:00"/>
    <s v="Ewallet"/>
    <n v="54.45"/>
    <n v="4.7619047620000003"/>
    <n v="7.9"/>
    <x v="1"/>
    <x v="1"/>
    <x v="3"/>
    <x v="2"/>
    <x v="2"/>
    <x v="2"/>
    <x v="6"/>
    <n v="13"/>
    <x v="0"/>
  </r>
  <r>
    <s v="253-12-6086"/>
    <n v="98.4"/>
    <n v="7"/>
    <n v="34.44"/>
    <n v="723.24"/>
    <d v="2019-03-12T00:00:00"/>
    <d v="1900-01-10T14:08:00"/>
    <s v="Credit card"/>
    <n v="688.8"/>
    <n v="4.7619047620000003"/>
    <n v="8.6999999999999993"/>
    <x v="0"/>
    <x v="0"/>
    <x v="3"/>
    <x v="0"/>
    <x v="0"/>
    <x v="1"/>
    <x v="6"/>
    <n v="14"/>
    <x v="0"/>
  </r>
  <r>
    <s v="808-65-0703"/>
    <n v="35.47"/>
    <n v="4"/>
    <n v="7.0940000000000003"/>
    <n v="148.97399999999999"/>
    <d v="2019-03-14T00:00:00"/>
    <d v="1900-01-10T15:08:00"/>
    <s v="Credit card"/>
    <n v="141.88"/>
    <n v="4.7619047620000003"/>
    <n v="6.9"/>
    <x v="1"/>
    <x v="1"/>
    <x v="2"/>
    <x v="1"/>
    <x v="1"/>
    <x v="1"/>
    <x v="4"/>
    <n v="15"/>
    <x v="0"/>
  </r>
  <r>
    <s v="571-94-0759"/>
    <n v="74.599999999999994"/>
    <n v="10"/>
    <n v="37.299999999999997"/>
    <n v="783.3"/>
    <d v="2019-01-08T00:00:00"/>
    <d v="1900-01-10T16:08:00"/>
    <s v="Cash"/>
    <n v="746"/>
    <n v="4.7619047620000003"/>
    <n v="9.5"/>
    <x v="0"/>
    <x v="0"/>
    <x v="4"/>
    <x v="2"/>
    <x v="2"/>
    <x v="0"/>
    <x v="6"/>
    <n v="16"/>
    <x v="0"/>
  </r>
  <r>
    <s v="144-51-6085"/>
    <n v="70.739999999999995"/>
    <n v="4"/>
    <n v="14.148"/>
    <n v="297.108"/>
    <d v="2019-01-05T00:00:00"/>
    <d v="1900-01-10T17:08:00"/>
    <s v="Credit card"/>
    <n v="282.95999999999998"/>
    <n v="4.7619047620000003"/>
    <n v="4.4000000000000004"/>
    <x v="0"/>
    <x v="1"/>
    <x v="2"/>
    <x v="0"/>
    <x v="0"/>
    <x v="0"/>
    <x v="0"/>
    <n v="17"/>
    <x v="1"/>
  </r>
  <r>
    <s v="731-14-2199"/>
    <n v="35.54"/>
    <n v="10"/>
    <n v="17.77"/>
    <n v="373.17"/>
    <d v="2019-01-04T00:00:00"/>
    <d v="1900-01-10T18:08:00"/>
    <s v="Ewallet"/>
    <n v="355.4"/>
    <n v="4.7619047620000003"/>
    <n v="7"/>
    <x v="0"/>
    <x v="0"/>
    <x v="2"/>
    <x v="0"/>
    <x v="0"/>
    <x v="0"/>
    <x v="1"/>
    <n v="18"/>
    <x v="1"/>
  </r>
  <r>
    <s v="783-09-1637"/>
    <n v="67.430000000000007"/>
    <n v="5"/>
    <n v="16.857500000000002"/>
    <n v="354.00749999999999"/>
    <d v="2019-03-06T00:00:00"/>
    <d v="1900-01-10T19:08:00"/>
    <s v="Ewallet"/>
    <n v="337.15"/>
    <n v="4.7619047620000003"/>
    <n v="6.3"/>
    <x v="1"/>
    <x v="0"/>
    <x v="3"/>
    <x v="2"/>
    <x v="2"/>
    <x v="1"/>
    <x v="5"/>
    <n v="19"/>
    <x v="1"/>
  </r>
  <r>
    <s v="687-15-1097"/>
    <n v="21.12"/>
    <n v="2"/>
    <n v="2.1120000000000001"/>
    <n v="44.351999999999997"/>
    <d v="2019-01-03T00:00:00"/>
    <d v="1900-01-10T20:08:00"/>
    <s v="Cash"/>
    <n v="42.24"/>
    <n v="4.7619047620000003"/>
    <n v="9.6999999999999993"/>
    <x v="0"/>
    <x v="0"/>
    <x v="0"/>
    <x v="1"/>
    <x v="1"/>
    <x v="0"/>
    <x v="4"/>
    <n v="20"/>
    <x v="1"/>
  </r>
  <r>
    <s v="126-54-1082"/>
    <n v="21.54"/>
    <n v="9"/>
    <n v="9.6929999999999996"/>
    <n v="203.553"/>
    <d v="2019-01-07T00:00:00"/>
    <d v="1900-01-10T21:08:00"/>
    <s v="Credit card"/>
    <n v="193.86"/>
    <n v="4.7619047620000003"/>
    <n v="8.8000000000000007"/>
    <x v="0"/>
    <x v="0"/>
    <x v="2"/>
    <x v="0"/>
    <x v="0"/>
    <x v="0"/>
    <x v="3"/>
    <n v="21"/>
    <x v="1"/>
  </r>
  <r>
    <s v="633-91-1052"/>
    <n v="12.03"/>
    <n v="2"/>
    <n v="1.2030000000000001"/>
    <n v="25.263000000000002"/>
    <d v="2019-01-27T00:00:00"/>
    <d v="1900-01-10T22:08:00"/>
    <s v="Cash"/>
    <n v="24.06"/>
    <n v="4.7619047620000003"/>
    <n v="5.0999999999999996"/>
    <x v="1"/>
    <x v="0"/>
    <x v="2"/>
    <x v="0"/>
    <x v="0"/>
    <x v="0"/>
    <x v="2"/>
    <n v="22"/>
    <x v="2"/>
  </r>
  <r>
    <s v="477-24-6490"/>
    <n v="99.71"/>
    <n v="6"/>
    <n v="29.913"/>
    <n v="628.173"/>
    <d v="2019-02-26T00:00:00"/>
    <d v="1900-01-10T23:08:00"/>
    <s v="Ewallet"/>
    <n v="598.26"/>
    <n v="4.7619047620000003"/>
    <n v="7.9"/>
    <x v="1"/>
    <x v="0"/>
    <x v="0"/>
    <x v="2"/>
    <x v="2"/>
    <x v="2"/>
    <x v="6"/>
    <n v="23"/>
    <x v="2"/>
  </r>
  <r>
    <s v="566-19-5475"/>
    <n v="47.97"/>
    <n v="7"/>
    <n v="16.7895"/>
    <n v="352.5795"/>
    <d v="2019-01-07T00:00:00"/>
    <d v="1900-01-11T00:08:00"/>
    <s v="Cash"/>
    <n v="335.79"/>
    <n v="4.7619047620000003"/>
    <n v="6.2"/>
    <x v="1"/>
    <x v="1"/>
    <x v="5"/>
    <x v="2"/>
    <x v="2"/>
    <x v="0"/>
    <x v="3"/>
    <n v="0"/>
    <x v="3"/>
  </r>
  <r>
    <s v="526-86-8552"/>
    <n v="21.82"/>
    <n v="10"/>
    <n v="10.91"/>
    <n v="229.11"/>
    <d v="2019-01-07T00:00:00"/>
    <d v="1900-01-11T01:08:00"/>
    <s v="Cash"/>
    <n v="218.2"/>
    <n v="4.7619047620000003"/>
    <n v="7.1"/>
    <x v="0"/>
    <x v="0"/>
    <x v="2"/>
    <x v="1"/>
    <x v="1"/>
    <x v="0"/>
    <x v="3"/>
    <n v="1"/>
    <x v="3"/>
  </r>
  <r>
    <s v="376-56-3573"/>
    <n v="95.42"/>
    <n v="4"/>
    <n v="19.084"/>
    <n v="400.76400000000001"/>
    <d v="2019-02-02T00:00:00"/>
    <d v="1900-01-11T02:08:00"/>
    <s v="Ewallet"/>
    <n v="381.68"/>
    <n v="4.7619047620000003"/>
    <n v="6.4"/>
    <x v="1"/>
    <x v="0"/>
    <x v="5"/>
    <x v="1"/>
    <x v="1"/>
    <x v="2"/>
    <x v="0"/>
    <n v="2"/>
    <x v="3"/>
  </r>
  <r>
    <s v="537-72-0426"/>
    <n v="70.989999999999995"/>
    <n v="10"/>
    <n v="35.494999999999997"/>
    <n v="745.39499999999998"/>
    <d v="2019-03-20T00:00:00"/>
    <d v="1900-01-11T03:08:00"/>
    <s v="Cash"/>
    <n v="709.9"/>
    <n v="4.7619047620000003"/>
    <n v="5.7"/>
    <x v="0"/>
    <x v="1"/>
    <x v="5"/>
    <x v="1"/>
    <x v="1"/>
    <x v="1"/>
    <x v="5"/>
    <n v="3"/>
    <x v="3"/>
  </r>
  <r>
    <s v="828-61-5674"/>
    <n v="44.02"/>
    <n v="10"/>
    <n v="22.01"/>
    <n v="462.21"/>
    <d v="2019-03-20T00:00:00"/>
    <d v="1900-01-11T04:08:00"/>
    <s v="Credit card"/>
    <n v="440.2"/>
    <n v="4.7619047620000003"/>
    <n v="9.6"/>
    <x v="0"/>
    <x v="1"/>
    <x v="3"/>
    <x v="0"/>
    <x v="0"/>
    <x v="1"/>
    <x v="5"/>
    <n v="4"/>
    <x v="3"/>
  </r>
  <r>
    <s v="136-08-6195"/>
    <n v="69.959999999999994"/>
    <n v="8"/>
    <n v="27.984000000000002"/>
    <n v="587.66399999999999"/>
    <d v="2019-02-15T00:00:00"/>
    <d v="1900-01-11T05:08:00"/>
    <s v="Credit card"/>
    <n v="559.67999999999995"/>
    <n v="4.7619047620000003"/>
    <n v="6.4"/>
    <x v="1"/>
    <x v="0"/>
    <x v="2"/>
    <x v="0"/>
    <x v="0"/>
    <x v="2"/>
    <x v="1"/>
    <n v="5"/>
    <x v="3"/>
  </r>
  <r>
    <s v="523-38-0215"/>
    <n v="37"/>
    <n v="1"/>
    <n v="1.85"/>
    <n v="38.85"/>
    <d v="2019-03-06T00:00:00"/>
    <d v="1900-01-11T06:08:00"/>
    <s v="Credit card"/>
    <n v="37"/>
    <n v="4.7619047620000003"/>
    <n v="7.9"/>
    <x v="1"/>
    <x v="1"/>
    <x v="2"/>
    <x v="1"/>
    <x v="1"/>
    <x v="1"/>
    <x v="5"/>
    <n v="6"/>
    <x v="3"/>
  </r>
  <r>
    <s v="490-29-1201"/>
    <n v="15.34"/>
    <n v="1"/>
    <n v="0.76700000000000002"/>
    <n v="16.106999999999999"/>
    <d v="2019-01-06T00:00:00"/>
    <d v="1900-01-11T07:08:00"/>
    <s v="Cash"/>
    <n v="15.34"/>
    <n v="4.7619047620000003"/>
    <n v="6.5"/>
    <x v="1"/>
    <x v="0"/>
    <x v="3"/>
    <x v="0"/>
    <x v="0"/>
    <x v="0"/>
    <x v="2"/>
    <n v="7"/>
    <x v="3"/>
  </r>
  <r>
    <s v="667-92-0055"/>
    <n v="99.83"/>
    <n v="6"/>
    <n v="29.949000000000002"/>
    <n v="628.92899999999997"/>
    <d v="2019-03-04T00:00:00"/>
    <d v="1900-01-11T08:08:00"/>
    <s v="Ewallet"/>
    <n v="598.98"/>
    <n v="4.7619047620000003"/>
    <n v="8.5"/>
    <x v="0"/>
    <x v="1"/>
    <x v="0"/>
    <x v="0"/>
    <x v="0"/>
    <x v="1"/>
    <x v="3"/>
    <n v="8"/>
    <x v="3"/>
  </r>
  <r>
    <s v="565-17-3836"/>
    <n v="47.67"/>
    <n v="4"/>
    <n v="9.5340000000000007"/>
    <n v="200.214"/>
    <d v="2019-03-12T00:00:00"/>
    <d v="1900-01-11T09:08:00"/>
    <s v="Cash"/>
    <n v="190.68"/>
    <n v="4.7619047620000003"/>
    <n v="9.1"/>
    <x v="0"/>
    <x v="0"/>
    <x v="0"/>
    <x v="0"/>
    <x v="0"/>
    <x v="1"/>
    <x v="6"/>
    <n v="9"/>
    <x v="3"/>
  </r>
  <r>
    <s v="498-41-1961"/>
    <n v="66.680000000000007"/>
    <n v="5"/>
    <n v="16.670000000000002"/>
    <n v="350.07"/>
    <d v="2019-02-20T00:00:00"/>
    <d v="1900-01-11T10:08:00"/>
    <s v="Cash"/>
    <n v="333.4"/>
    <n v="4.7619047620000003"/>
    <n v="7.6"/>
    <x v="1"/>
    <x v="1"/>
    <x v="0"/>
    <x v="2"/>
    <x v="2"/>
    <x v="2"/>
    <x v="5"/>
    <n v="10"/>
    <x v="3"/>
  </r>
  <r>
    <s v="593-95-4461"/>
    <n v="74.86"/>
    <n v="1"/>
    <n v="3.7429999999999999"/>
    <n v="78.602999999999994"/>
    <d v="2019-03-24T00:00:00"/>
    <d v="1900-01-11T11:08:00"/>
    <s v="Cash"/>
    <n v="74.86"/>
    <n v="4.7619047620000003"/>
    <n v="6.9"/>
    <x v="0"/>
    <x v="1"/>
    <x v="2"/>
    <x v="1"/>
    <x v="1"/>
    <x v="1"/>
    <x v="2"/>
    <n v="11"/>
    <x v="3"/>
  </r>
  <r>
    <s v="226-71-3580"/>
    <n v="23.75"/>
    <n v="9"/>
    <n v="10.6875"/>
    <n v="224.4375"/>
    <d v="2019-01-31T00:00:00"/>
    <d v="1900-01-11T12:08:00"/>
    <s v="Cash"/>
    <n v="213.75"/>
    <n v="4.7619047620000003"/>
    <n v="9.5"/>
    <x v="1"/>
    <x v="0"/>
    <x v="3"/>
    <x v="1"/>
    <x v="1"/>
    <x v="0"/>
    <x v="4"/>
    <n v="12"/>
    <x v="3"/>
  </r>
  <r>
    <s v="283-79-9594"/>
    <n v="48.51"/>
    <n v="7"/>
    <n v="16.9785"/>
    <n v="356.54849999999999"/>
    <d v="2019-01-25T00:00:00"/>
    <d v="1900-01-11T13:08:00"/>
    <s v="Credit card"/>
    <n v="339.57"/>
    <n v="4.7619047620000003"/>
    <n v="5.2"/>
    <x v="1"/>
    <x v="0"/>
    <x v="4"/>
    <x v="2"/>
    <x v="2"/>
    <x v="0"/>
    <x v="1"/>
    <n v="13"/>
    <x v="0"/>
  </r>
  <r>
    <s v="430-60-3493"/>
    <n v="94.88"/>
    <n v="7"/>
    <n v="33.207999999999998"/>
    <n v="697.36800000000005"/>
    <d v="2019-02-03T00:00:00"/>
    <d v="1900-01-11T14:08:00"/>
    <s v="Cash"/>
    <n v="664.16"/>
    <n v="4.7619047620000003"/>
    <n v="4.2"/>
    <x v="0"/>
    <x v="0"/>
    <x v="2"/>
    <x v="0"/>
    <x v="0"/>
    <x v="2"/>
    <x v="2"/>
    <n v="14"/>
    <x v="0"/>
  </r>
  <r>
    <s v="139-20-0155"/>
    <n v="40.299999999999997"/>
    <n v="10"/>
    <n v="20.149999999999999"/>
    <n v="423.15"/>
    <d v="2019-01-24T00:00:00"/>
    <d v="1900-01-11T15:08:00"/>
    <s v="Credit card"/>
    <n v="403"/>
    <n v="4.7619047620000003"/>
    <n v="7"/>
    <x v="0"/>
    <x v="1"/>
    <x v="1"/>
    <x v="2"/>
    <x v="2"/>
    <x v="0"/>
    <x v="4"/>
    <n v="15"/>
    <x v="0"/>
  </r>
  <r>
    <s v="558-80-4082"/>
    <n v="27.85"/>
    <n v="7"/>
    <n v="9.7475000000000005"/>
    <n v="204.69749999999999"/>
    <d v="2019-03-14T00:00:00"/>
    <d v="1900-01-11T16:08:00"/>
    <s v="Ewallet"/>
    <n v="194.95"/>
    <n v="4.7619047620000003"/>
    <n v="6"/>
    <x v="1"/>
    <x v="1"/>
    <x v="1"/>
    <x v="1"/>
    <x v="1"/>
    <x v="1"/>
    <x v="4"/>
    <n v="16"/>
    <x v="0"/>
  </r>
  <r>
    <s v="278-97-7759"/>
    <n v="62.48"/>
    <n v="1"/>
    <n v="3.1240000000000001"/>
    <n v="65.603999999999999"/>
    <d v="2019-02-18T00:00:00"/>
    <d v="1900-01-11T17:08:00"/>
    <s v="Cash"/>
    <n v="62.48"/>
    <n v="4.7619047620000003"/>
    <n v="4.7"/>
    <x v="0"/>
    <x v="0"/>
    <x v="1"/>
    <x v="0"/>
    <x v="0"/>
    <x v="2"/>
    <x v="3"/>
    <n v="17"/>
    <x v="1"/>
  </r>
  <r>
    <s v="316-68-6352"/>
    <n v="36.36"/>
    <n v="2"/>
    <n v="3.6360000000000001"/>
    <n v="76.355999999999995"/>
    <d v="2019-01-21T00:00:00"/>
    <d v="1900-01-11T18:08:00"/>
    <s v="Cash"/>
    <n v="72.72"/>
    <n v="4.7619047620000003"/>
    <n v="7.1"/>
    <x v="0"/>
    <x v="0"/>
    <x v="4"/>
    <x v="0"/>
    <x v="0"/>
    <x v="0"/>
    <x v="3"/>
    <n v="18"/>
    <x v="1"/>
  </r>
  <r>
    <s v="585-03-5943"/>
    <n v="18.11"/>
    <n v="10"/>
    <n v="9.0549999999999997"/>
    <n v="190.155"/>
    <d v="2019-03-13T00:00:00"/>
    <d v="1900-01-11T19:08:00"/>
    <s v="Ewallet"/>
    <n v="181.1"/>
    <n v="4.7619047620000003"/>
    <n v="5.9"/>
    <x v="1"/>
    <x v="1"/>
    <x v="0"/>
    <x v="2"/>
    <x v="2"/>
    <x v="1"/>
    <x v="5"/>
    <n v="19"/>
    <x v="1"/>
  </r>
  <r>
    <s v="211-05-0490"/>
    <n v="51.92"/>
    <n v="5"/>
    <n v="12.98"/>
    <n v="272.58"/>
    <d v="2019-03-03T00:00:00"/>
    <d v="1900-01-11T20:08:00"/>
    <s v="Cash"/>
    <n v="259.60000000000002"/>
    <n v="4.7619047620000003"/>
    <n v="7.5"/>
    <x v="0"/>
    <x v="0"/>
    <x v="1"/>
    <x v="1"/>
    <x v="1"/>
    <x v="1"/>
    <x v="2"/>
    <n v="20"/>
    <x v="1"/>
  </r>
  <r>
    <s v="727-75-6477"/>
    <n v="28.84"/>
    <n v="4"/>
    <n v="5.7679999999999998"/>
    <n v="121.128"/>
    <d v="2019-03-29T00:00:00"/>
    <d v="1900-01-11T21:08:00"/>
    <s v="Cash"/>
    <n v="115.36"/>
    <n v="4.7619047620000003"/>
    <n v="6.4"/>
    <x v="1"/>
    <x v="1"/>
    <x v="1"/>
    <x v="1"/>
    <x v="1"/>
    <x v="1"/>
    <x v="1"/>
    <n v="21"/>
    <x v="1"/>
  </r>
  <r>
    <s v="744-02-5987"/>
    <n v="78.38"/>
    <n v="6"/>
    <n v="23.513999999999999"/>
    <n v="493.79399999999998"/>
    <d v="2019-01-10T00:00:00"/>
    <d v="1900-01-11T22:08:00"/>
    <s v="Ewallet"/>
    <n v="470.28"/>
    <n v="4.7619047620000003"/>
    <n v="5.8"/>
    <x v="0"/>
    <x v="1"/>
    <x v="2"/>
    <x v="0"/>
    <x v="0"/>
    <x v="0"/>
    <x v="4"/>
    <n v="22"/>
    <x v="2"/>
  </r>
  <r>
    <s v="307-83-9164"/>
    <n v="60.01"/>
    <n v="4"/>
    <n v="12.002000000000001"/>
    <n v="252.042"/>
    <d v="2019-01-25T00:00:00"/>
    <d v="1900-01-11T23:08:00"/>
    <s v="Cash"/>
    <n v="240.04"/>
    <n v="4.7619047620000003"/>
    <n v="4.5"/>
    <x v="0"/>
    <x v="1"/>
    <x v="2"/>
    <x v="0"/>
    <x v="0"/>
    <x v="0"/>
    <x v="1"/>
    <n v="23"/>
    <x v="2"/>
  </r>
  <r>
    <s v="779-06-0012"/>
    <n v="88.61"/>
    <n v="1"/>
    <n v="4.4305000000000003"/>
    <n v="93.040499999999994"/>
    <d v="2019-01-19T00:00:00"/>
    <d v="1900-01-12T00:08:00"/>
    <s v="Cash"/>
    <n v="88.61"/>
    <n v="4.7619047620000003"/>
    <n v="7.7"/>
    <x v="0"/>
    <x v="0"/>
    <x v="2"/>
    <x v="1"/>
    <x v="1"/>
    <x v="0"/>
    <x v="0"/>
    <n v="0"/>
    <x v="3"/>
  </r>
  <r>
    <s v="446-47-6729"/>
    <n v="99.82"/>
    <n v="2"/>
    <n v="9.9819999999999993"/>
    <n v="209.62200000000001"/>
    <d v="2019-01-02T00:00:00"/>
    <d v="1900-01-12T01:08:00"/>
    <s v="Credit card"/>
    <n v="199.64"/>
    <n v="4.7619047620000003"/>
    <n v="6.7"/>
    <x v="1"/>
    <x v="1"/>
    <x v="5"/>
    <x v="1"/>
    <x v="1"/>
    <x v="0"/>
    <x v="5"/>
    <n v="1"/>
    <x v="3"/>
  </r>
  <r>
    <s v="573-10-3877"/>
    <n v="39.01"/>
    <n v="1"/>
    <n v="1.9504999999999999"/>
    <n v="40.960500000000003"/>
    <d v="2019-03-12T00:00:00"/>
    <d v="1900-01-12T02:08:00"/>
    <s v="Credit card"/>
    <n v="39.01"/>
    <n v="4.7619047620000003"/>
    <n v="4.7"/>
    <x v="0"/>
    <x v="1"/>
    <x v="0"/>
    <x v="2"/>
    <x v="2"/>
    <x v="1"/>
    <x v="6"/>
    <n v="2"/>
    <x v="3"/>
  </r>
  <r>
    <s v="735-06-4124"/>
    <n v="48.61"/>
    <n v="1"/>
    <n v="2.4304999999999999"/>
    <n v="51.040500000000002"/>
    <d v="2019-02-25T00:00:00"/>
    <d v="1900-01-12T03:08:00"/>
    <s v="Cash"/>
    <n v="48.61"/>
    <n v="4.7619047620000003"/>
    <n v="4.4000000000000004"/>
    <x v="1"/>
    <x v="1"/>
    <x v="4"/>
    <x v="1"/>
    <x v="1"/>
    <x v="2"/>
    <x v="3"/>
    <n v="3"/>
    <x v="3"/>
  </r>
  <r>
    <s v="439-54-7422"/>
    <n v="51.19"/>
    <n v="4"/>
    <n v="10.238"/>
    <n v="214.99799999999999"/>
    <d v="2019-03-18T00:00:00"/>
    <d v="1900-01-12T04:08:00"/>
    <s v="Credit card"/>
    <n v="204.76"/>
    <n v="4.7619047620000003"/>
    <n v="4.7"/>
    <x v="1"/>
    <x v="0"/>
    <x v="1"/>
    <x v="0"/>
    <x v="0"/>
    <x v="1"/>
    <x v="3"/>
    <n v="4"/>
    <x v="3"/>
  </r>
  <r>
    <s v="396-90-2219"/>
    <n v="14.96"/>
    <n v="8"/>
    <n v="5.984"/>
    <n v="125.664"/>
    <d v="2019-02-23T00:00:00"/>
    <d v="1900-01-12T05:08:00"/>
    <s v="Cash"/>
    <n v="119.68"/>
    <n v="4.7619047620000003"/>
    <n v="8.6"/>
    <x v="1"/>
    <x v="0"/>
    <x v="1"/>
    <x v="2"/>
    <x v="2"/>
    <x v="2"/>
    <x v="0"/>
    <n v="5"/>
    <x v="3"/>
  </r>
  <r>
    <s v="411-77-0180"/>
    <n v="72.2"/>
    <n v="7"/>
    <n v="25.27"/>
    <n v="530.66999999999996"/>
    <d v="2019-03-26T00:00:00"/>
    <d v="1900-01-12T06:08:00"/>
    <s v="Ewallet"/>
    <n v="505.4"/>
    <n v="4.7619047620000003"/>
    <n v="4.3"/>
    <x v="0"/>
    <x v="1"/>
    <x v="1"/>
    <x v="0"/>
    <x v="0"/>
    <x v="1"/>
    <x v="6"/>
    <n v="6"/>
    <x v="3"/>
  </r>
  <r>
    <s v="286-01-5402"/>
    <n v="40.229999999999997"/>
    <n v="7"/>
    <n v="14.080500000000001"/>
    <n v="295.69049999999999"/>
    <d v="2019-03-30T00:00:00"/>
    <d v="1900-01-12T07:08:00"/>
    <s v="Cash"/>
    <n v="281.61"/>
    <n v="4.7619047620000003"/>
    <n v="9.6"/>
    <x v="1"/>
    <x v="0"/>
    <x v="3"/>
    <x v="0"/>
    <x v="0"/>
    <x v="1"/>
    <x v="0"/>
    <n v="7"/>
    <x v="3"/>
  </r>
  <r>
    <s v="803-17-8013"/>
    <n v="88.79"/>
    <n v="8"/>
    <n v="35.515999999999998"/>
    <n v="745.83600000000001"/>
    <d v="2019-02-17T00:00:00"/>
    <d v="1900-01-12T08:08:00"/>
    <s v="Cash"/>
    <n v="710.32"/>
    <n v="4.7619047620000003"/>
    <n v="4.0999999999999996"/>
    <x v="0"/>
    <x v="0"/>
    <x v="2"/>
    <x v="0"/>
    <x v="0"/>
    <x v="2"/>
    <x v="2"/>
    <n v="8"/>
    <x v="3"/>
  </r>
  <r>
    <s v="512-98-1403"/>
    <n v="26.48"/>
    <n v="3"/>
    <n v="3.972"/>
    <n v="83.412000000000006"/>
    <d v="2019-03-21T00:00:00"/>
    <d v="1900-01-12T09:08:00"/>
    <s v="Ewallet"/>
    <n v="79.44"/>
    <n v="4.7619047620000003"/>
    <n v="4.7"/>
    <x v="0"/>
    <x v="0"/>
    <x v="1"/>
    <x v="0"/>
    <x v="0"/>
    <x v="1"/>
    <x v="4"/>
    <n v="9"/>
    <x v="3"/>
  </r>
  <r>
    <s v="848-42-2560"/>
    <n v="81.91"/>
    <n v="2"/>
    <n v="8.1910000000000007"/>
    <n v="172.011"/>
    <d v="2019-03-05T00:00:00"/>
    <d v="1900-01-12T10:08:00"/>
    <s v="Cash"/>
    <n v="163.82"/>
    <n v="4.7619047620000003"/>
    <n v="7.8"/>
    <x v="1"/>
    <x v="0"/>
    <x v="5"/>
    <x v="0"/>
    <x v="0"/>
    <x v="1"/>
    <x v="6"/>
    <n v="10"/>
    <x v="3"/>
  </r>
  <r>
    <s v="532-59-7201"/>
    <n v="79.930000000000007"/>
    <n v="6"/>
    <n v="23.978999999999999"/>
    <n v="503.55900000000003"/>
    <d v="2019-01-31T00:00:00"/>
    <d v="1900-01-12T11:08:00"/>
    <s v="Cash"/>
    <n v="479.58"/>
    <n v="4.7619047620000003"/>
    <n v="5.5"/>
    <x v="0"/>
    <x v="1"/>
    <x v="3"/>
    <x v="2"/>
    <x v="2"/>
    <x v="0"/>
    <x v="4"/>
    <n v="11"/>
    <x v="3"/>
  </r>
  <r>
    <s v="181-94-6432"/>
    <n v="69.33"/>
    <n v="2"/>
    <n v="6.9329999999999998"/>
    <n v="145.59299999999999"/>
    <d v="2019-02-05T00:00:00"/>
    <d v="1900-01-12T12:08:00"/>
    <s v="Ewallet"/>
    <n v="138.66"/>
    <n v="4.7619047620000003"/>
    <n v="9.6999999999999993"/>
    <x v="0"/>
    <x v="1"/>
    <x v="5"/>
    <x v="1"/>
    <x v="1"/>
    <x v="2"/>
    <x v="6"/>
    <n v="12"/>
    <x v="3"/>
  </r>
  <r>
    <s v="870-76-1733"/>
    <n v="14.23"/>
    <n v="5"/>
    <n v="3.5575000000000001"/>
    <n v="74.707499999999996"/>
    <d v="2019-02-01T00:00:00"/>
    <d v="1900-01-12T13:08:00"/>
    <s v="Credit card"/>
    <n v="71.150000000000006"/>
    <n v="4.7619047620000003"/>
    <n v="4.4000000000000004"/>
    <x v="0"/>
    <x v="0"/>
    <x v="4"/>
    <x v="0"/>
    <x v="0"/>
    <x v="2"/>
    <x v="1"/>
    <n v="13"/>
    <x v="0"/>
  </r>
  <r>
    <s v="423-64-4619"/>
    <n v="15.55"/>
    <n v="9"/>
    <n v="6.9974999999999996"/>
    <n v="146.94749999999999"/>
    <d v="2019-03-07T00:00:00"/>
    <d v="1900-01-12T14:08:00"/>
    <s v="Cash"/>
    <n v="139.94999999999999"/>
    <n v="4.7619047620000003"/>
    <n v="5"/>
    <x v="0"/>
    <x v="0"/>
    <x v="0"/>
    <x v="0"/>
    <x v="0"/>
    <x v="1"/>
    <x v="4"/>
    <n v="14"/>
    <x v="0"/>
  </r>
  <r>
    <s v="227-07-4446"/>
    <n v="78.13"/>
    <n v="10"/>
    <n v="39.064999999999998"/>
    <n v="820.36500000000001"/>
    <d v="2019-02-10T00:00:00"/>
    <d v="1900-01-12T15:08:00"/>
    <s v="Cash"/>
    <n v="781.3"/>
    <n v="4.7619047620000003"/>
    <n v="4.4000000000000004"/>
    <x v="0"/>
    <x v="0"/>
    <x v="1"/>
    <x v="1"/>
    <x v="1"/>
    <x v="2"/>
    <x v="2"/>
    <n v="15"/>
    <x v="0"/>
  </r>
  <r>
    <s v="174-36-3675"/>
    <n v="99.37"/>
    <n v="2"/>
    <n v="9.9369999999999994"/>
    <n v="208.67699999999999"/>
    <d v="2019-02-14T00:00:00"/>
    <d v="1900-01-12T16:08:00"/>
    <s v="Cash"/>
    <n v="198.74"/>
    <n v="4.7619047620000003"/>
    <n v="5.2"/>
    <x v="0"/>
    <x v="1"/>
    <x v="4"/>
    <x v="1"/>
    <x v="1"/>
    <x v="2"/>
    <x v="4"/>
    <n v="16"/>
    <x v="0"/>
  </r>
  <r>
    <s v="428-83-5800"/>
    <n v="21.08"/>
    <n v="3"/>
    <n v="3.1619999999999999"/>
    <n v="66.402000000000001"/>
    <d v="2019-02-09T00:00:00"/>
    <d v="1900-01-12T17:08:00"/>
    <s v="Cash"/>
    <n v="63.24"/>
    <n v="4.7619047620000003"/>
    <n v="7.3"/>
    <x v="0"/>
    <x v="0"/>
    <x v="4"/>
    <x v="1"/>
    <x v="1"/>
    <x v="2"/>
    <x v="0"/>
    <n v="17"/>
    <x v="1"/>
  </r>
  <r>
    <s v="603-07-0961"/>
    <n v="74.790000000000006"/>
    <n v="5"/>
    <n v="18.697500000000002"/>
    <n v="392.64749999999998"/>
    <d v="2019-01-10T00:00:00"/>
    <d v="1900-01-12T18:08:00"/>
    <s v="Cash"/>
    <n v="373.95"/>
    <n v="4.7619047620000003"/>
    <n v="4.9000000000000004"/>
    <x v="0"/>
    <x v="1"/>
    <x v="1"/>
    <x v="1"/>
    <x v="1"/>
    <x v="0"/>
    <x v="4"/>
    <n v="18"/>
    <x v="1"/>
  </r>
  <r>
    <s v="704-20-4138"/>
    <n v="29.67"/>
    <n v="7"/>
    <n v="10.384499999999999"/>
    <n v="218.0745"/>
    <d v="2019-03-11T00:00:00"/>
    <d v="1900-01-12T19:08:00"/>
    <s v="Credit card"/>
    <n v="207.69"/>
    <n v="4.7619047620000003"/>
    <n v="8.1"/>
    <x v="0"/>
    <x v="0"/>
    <x v="0"/>
    <x v="1"/>
    <x v="1"/>
    <x v="1"/>
    <x v="3"/>
    <n v="19"/>
    <x v="1"/>
  </r>
  <r>
    <s v="787-15-1757"/>
    <n v="44.07"/>
    <n v="4"/>
    <n v="8.8140000000000001"/>
    <n v="185.09399999999999"/>
    <d v="2019-02-18T00:00:00"/>
    <d v="1900-01-12T20:08:00"/>
    <s v="Ewallet"/>
    <n v="176.28"/>
    <n v="4.7619047620000003"/>
    <n v="8.4"/>
    <x v="0"/>
    <x v="1"/>
    <x v="0"/>
    <x v="1"/>
    <x v="1"/>
    <x v="2"/>
    <x v="3"/>
    <n v="20"/>
    <x v="1"/>
  </r>
  <r>
    <s v="649-11-3678"/>
    <n v="22.93"/>
    <n v="9"/>
    <n v="10.3185"/>
    <n v="216.6885"/>
    <d v="2019-02-26T00:00:00"/>
    <d v="1900-01-12T21:08:00"/>
    <s v="Cash"/>
    <n v="206.37"/>
    <n v="4.7619047620000003"/>
    <n v="5.5"/>
    <x v="1"/>
    <x v="0"/>
    <x v="4"/>
    <x v="1"/>
    <x v="1"/>
    <x v="2"/>
    <x v="6"/>
    <n v="21"/>
    <x v="1"/>
  </r>
  <r>
    <s v="622-20-1945"/>
    <n v="39.42"/>
    <n v="1"/>
    <n v="1.9710000000000001"/>
    <n v="41.390999999999998"/>
    <d v="2019-01-18T00:00:00"/>
    <d v="1900-01-12T22:08:00"/>
    <s v="Cash"/>
    <n v="39.42"/>
    <n v="4.7619047620000003"/>
    <n v="8.4"/>
    <x v="1"/>
    <x v="0"/>
    <x v="0"/>
    <x v="1"/>
    <x v="1"/>
    <x v="0"/>
    <x v="1"/>
    <n v="22"/>
    <x v="2"/>
  </r>
  <r>
    <s v="372-94-8041"/>
    <n v="15.26"/>
    <n v="6"/>
    <n v="4.5780000000000003"/>
    <n v="96.138000000000005"/>
    <d v="2019-02-15T00:00:00"/>
    <d v="1900-01-12T23:08:00"/>
    <s v="Ewallet"/>
    <n v="91.56"/>
    <n v="4.7619047620000003"/>
    <n v="9.8000000000000007"/>
    <x v="1"/>
    <x v="1"/>
    <x v="0"/>
    <x v="0"/>
    <x v="0"/>
    <x v="2"/>
    <x v="1"/>
    <n v="23"/>
    <x v="2"/>
  </r>
  <r>
    <s v="563-91-7120"/>
    <n v="61.77"/>
    <n v="5"/>
    <n v="15.442500000000001"/>
    <n v="324.29250000000002"/>
    <d v="2019-03-08T00:00:00"/>
    <d v="1900-01-13T00:08:00"/>
    <s v="Cash"/>
    <n v="308.85000000000002"/>
    <n v="4.7619047620000003"/>
    <n v="6.7"/>
    <x v="1"/>
    <x v="0"/>
    <x v="5"/>
    <x v="0"/>
    <x v="0"/>
    <x v="1"/>
    <x v="1"/>
    <n v="0"/>
    <x v="3"/>
  </r>
  <r>
    <s v="746-54-5508"/>
    <n v="21.52"/>
    <n v="6"/>
    <n v="6.4560000000000004"/>
    <n v="135.57599999999999"/>
    <d v="2019-01-17T00:00:00"/>
    <d v="1900-01-13T01:08:00"/>
    <s v="Credit card"/>
    <n v="129.12"/>
    <n v="4.7619047620000003"/>
    <n v="9.4"/>
    <x v="1"/>
    <x v="1"/>
    <x v="2"/>
    <x v="0"/>
    <x v="0"/>
    <x v="0"/>
    <x v="4"/>
    <n v="1"/>
    <x v="3"/>
  </r>
  <r>
    <s v="276-54-0879"/>
    <n v="97.74"/>
    <n v="4"/>
    <n v="19.547999999999998"/>
    <n v="410.50799999999998"/>
    <d v="2019-03-12T00:00:00"/>
    <d v="1900-01-13T02:08:00"/>
    <s v="Ewallet"/>
    <n v="390.96"/>
    <n v="4.7619047620000003"/>
    <n v="6.4"/>
    <x v="1"/>
    <x v="1"/>
    <x v="3"/>
    <x v="2"/>
    <x v="2"/>
    <x v="1"/>
    <x v="6"/>
    <n v="2"/>
    <x v="3"/>
  </r>
  <r>
    <s v="815-11-1168"/>
    <n v="99.78"/>
    <n v="5"/>
    <n v="24.945"/>
    <n v="523.84500000000003"/>
    <d v="2019-03-09T00:00:00"/>
    <d v="1900-01-13T03:08:00"/>
    <s v="Cash"/>
    <n v="498.9"/>
    <n v="4.7619047620000003"/>
    <n v="5.4"/>
    <x v="0"/>
    <x v="1"/>
    <x v="4"/>
    <x v="0"/>
    <x v="0"/>
    <x v="1"/>
    <x v="0"/>
    <n v="3"/>
    <x v="3"/>
  </r>
  <r>
    <s v="719-76-3868"/>
    <n v="94.26"/>
    <n v="4"/>
    <n v="18.852"/>
    <n v="395.892"/>
    <d v="2019-03-12T00:00:00"/>
    <d v="1900-01-13T04:08:00"/>
    <s v="Cash"/>
    <n v="377.04"/>
    <n v="4.7619047620000003"/>
    <n v="8.6"/>
    <x v="0"/>
    <x v="1"/>
    <x v="4"/>
    <x v="1"/>
    <x v="1"/>
    <x v="1"/>
    <x v="6"/>
    <n v="4"/>
    <x v="3"/>
  </r>
  <r>
    <s v="730-61-8757"/>
    <n v="51.13"/>
    <n v="4"/>
    <n v="10.226000000000001"/>
    <n v="214.74600000000001"/>
    <d v="2019-01-25T00:00:00"/>
    <d v="1900-01-13T05:08:00"/>
    <s v="Credit card"/>
    <n v="204.52"/>
    <n v="4.7619047620000003"/>
    <n v="4"/>
    <x v="0"/>
    <x v="1"/>
    <x v="0"/>
    <x v="2"/>
    <x v="2"/>
    <x v="0"/>
    <x v="1"/>
    <n v="5"/>
    <x v="3"/>
  </r>
  <r>
    <s v="340-66-0321"/>
    <n v="36.36"/>
    <n v="4"/>
    <n v="7.2720000000000002"/>
    <n v="152.71199999999999"/>
    <d v="2019-03-25T00:00:00"/>
    <d v="1900-01-13T06:08:00"/>
    <s v="Cash"/>
    <n v="145.44"/>
    <n v="4.7619047620000003"/>
    <n v="7.6"/>
    <x v="0"/>
    <x v="1"/>
    <x v="1"/>
    <x v="0"/>
    <x v="0"/>
    <x v="1"/>
    <x v="3"/>
    <n v="6"/>
    <x v="3"/>
  </r>
  <r>
    <s v="868-81-1752"/>
    <n v="22.02"/>
    <n v="9"/>
    <n v="9.9090000000000007"/>
    <n v="208.089"/>
    <d v="2019-02-07T00:00:00"/>
    <d v="1900-01-13T07:08:00"/>
    <s v="Cash"/>
    <n v="198.18"/>
    <n v="4.7619047620000003"/>
    <n v="6.8"/>
    <x v="1"/>
    <x v="1"/>
    <x v="2"/>
    <x v="2"/>
    <x v="2"/>
    <x v="2"/>
    <x v="4"/>
    <n v="7"/>
    <x v="3"/>
  </r>
  <r>
    <s v="634-97-8956"/>
    <n v="32.9"/>
    <n v="3"/>
    <n v="4.9349999999999996"/>
    <n v="103.63500000000001"/>
    <d v="2019-02-17T00:00:00"/>
    <d v="1900-01-13T08:08:00"/>
    <s v="Credit card"/>
    <n v="98.7"/>
    <n v="4.7619047620000003"/>
    <n v="9.1"/>
    <x v="1"/>
    <x v="1"/>
    <x v="4"/>
    <x v="0"/>
    <x v="0"/>
    <x v="2"/>
    <x v="2"/>
    <n v="8"/>
    <x v="3"/>
  </r>
  <r>
    <s v="566-71-1091"/>
    <n v="77.02"/>
    <n v="5"/>
    <n v="19.254999999999999"/>
    <n v="404.35500000000002"/>
    <d v="2019-02-03T00:00:00"/>
    <d v="1900-01-13T09:08:00"/>
    <s v="Cash"/>
    <n v="385.1"/>
    <n v="4.7619047620000003"/>
    <n v="5.5"/>
    <x v="1"/>
    <x v="1"/>
    <x v="5"/>
    <x v="0"/>
    <x v="0"/>
    <x v="2"/>
    <x v="2"/>
    <n v="9"/>
    <x v="3"/>
  </r>
  <r>
    <s v="442-48-3607"/>
    <n v="23.48"/>
    <n v="2"/>
    <n v="2.3479999999999999"/>
    <n v="49.308"/>
    <d v="2019-03-14T00:00:00"/>
    <d v="1900-01-13T10:08:00"/>
    <s v="Credit card"/>
    <n v="46.96"/>
    <n v="4.7619047620000003"/>
    <n v="7.9"/>
    <x v="0"/>
    <x v="1"/>
    <x v="4"/>
    <x v="0"/>
    <x v="0"/>
    <x v="1"/>
    <x v="4"/>
    <n v="10"/>
    <x v="3"/>
  </r>
  <r>
    <s v="835-16-0096"/>
    <n v="14.7"/>
    <n v="5"/>
    <n v="3.6749999999999998"/>
    <n v="77.174999999999997"/>
    <d v="2019-03-24T00:00:00"/>
    <d v="1900-01-13T11:08:00"/>
    <s v="Ewallet"/>
    <n v="73.5"/>
    <n v="4.7619047620000003"/>
    <n v="8.5"/>
    <x v="0"/>
    <x v="1"/>
    <x v="3"/>
    <x v="1"/>
    <x v="1"/>
    <x v="1"/>
    <x v="2"/>
    <n v="11"/>
    <x v="3"/>
  </r>
  <r>
    <s v="527-09-6272"/>
    <n v="28.45"/>
    <n v="5"/>
    <n v="7.1124999999999998"/>
    <n v="149.36250000000001"/>
    <d v="2019-03-21T00:00:00"/>
    <d v="1900-01-13T12:08:00"/>
    <s v="Credit card"/>
    <n v="142.25"/>
    <n v="4.7619047620000003"/>
    <n v="9.1"/>
    <x v="0"/>
    <x v="0"/>
    <x v="1"/>
    <x v="0"/>
    <x v="0"/>
    <x v="1"/>
    <x v="4"/>
    <n v="12"/>
    <x v="3"/>
  </r>
  <r>
    <s v="898-04-2717"/>
    <n v="76.400000000000006"/>
    <n v="9"/>
    <n v="34.380000000000003"/>
    <n v="721.98"/>
    <d v="2019-03-19T00:00:00"/>
    <d v="1900-01-13T13:08:00"/>
    <s v="Ewallet"/>
    <n v="687.6"/>
    <n v="4.7619047620000003"/>
    <n v="7.5"/>
    <x v="1"/>
    <x v="1"/>
    <x v="5"/>
    <x v="0"/>
    <x v="0"/>
    <x v="1"/>
    <x v="6"/>
    <n v="13"/>
    <x v="0"/>
  </r>
  <r>
    <s v="692-27-8933"/>
    <n v="57.95"/>
    <n v="6"/>
    <n v="17.385000000000002"/>
    <n v="365.08499999999998"/>
    <d v="2019-02-24T00:00:00"/>
    <d v="1900-01-13T14:08:00"/>
    <s v="Cash"/>
    <n v="347.7"/>
    <n v="4.7619047620000003"/>
    <n v="5.2"/>
    <x v="1"/>
    <x v="0"/>
    <x v="3"/>
    <x v="2"/>
    <x v="2"/>
    <x v="2"/>
    <x v="2"/>
    <n v="14"/>
    <x v="0"/>
  </r>
  <r>
    <s v="633-09-3463"/>
    <n v="47.65"/>
    <n v="3"/>
    <n v="7.1475"/>
    <n v="150.0975"/>
    <d v="2019-03-28T00:00:00"/>
    <d v="1900-01-13T15:08:00"/>
    <s v="Credit card"/>
    <n v="142.94999999999999"/>
    <n v="4.7619047620000003"/>
    <n v="9.5"/>
    <x v="1"/>
    <x v="0"/>
    <x v="1"/>
    <x v="1"/>
    <x v="1"/>
    <x v="1"/>
    <x v="4"/>
    <n v="15"/>
    <x v="0"/>
  </r>
  <r>
    <s v="374-17-3652"/>
    <n v="42.82"/>
    <n v="9"/>
    <n v="19.268999999999998"/>
    <n v="404.649"/>
    <d v="2019-02-05T00:00:00"/>
    <d v="1900-01-13T16:08:00"/>
    <s v="Credit card"/>
    <n v="385.38"/>
    <n v="4.7619047620000003"/>
    <n v="8.9"/>
    <x v="0"/>
    <x v="0"/>
    <x v="4"/>
    <x v="2"/>
    <x v="2"/>
    <x v="2"/>
    <x v="6"/>
    <n v="16"/>
    <x v="0"/>
  </r>
  <r>
    <s v="378-07-7001"/>
    <n v="48.09"/>
    <n v="3"/>
    <n v="7.2134999999999998"/>
    <n v="151.48349999999999"/>
    <d v="2019-02-10T00:00:00"/>
    <d v="1900-01-13T17:08:00"/>
    <s v="Credit card"/>
    <n v="144.27000000000001"/>
    <n v="4.7619047620000003"/>
    <n v="7.8"/>
    <x v="0"/>
    <x v="1"/>
    <x v="1"/>
    <x v="2"/>
    <x v="2"/>
    <x v="2"/>
    <x v="2"/>
    <n v="17"/>
    <x v="1"/>
  </r>
  <r>
    <s v="433-75-6987"/>
    <n v="55.97"/>
    <n v="7"/>
    <n v="19.589500000000001"/>
    <n v="411.37950000000001"/>
    <d v="2019-03-05T00:00:00"/>
    <d v="1900-01-13T18:08:00"/>
    <s v="Ewallet"/>
    <n v="391.79"/>
    <n v="4.7619047620000003"/>
    <n v="8.9"/>
    <x v="0"/>
    <x v="0"/>
    <x v="0"/>
    <x v="2"/>
    <x v="2"/>
    <x v="1"/>
    <x v="6"/>
    <n v="18"/>
    <x v="1"/>
  </r>
  <r>
    <s v="873-95-4984"/>
    <n v="76.900000000000006"/>
    <n v="7"/>
    <n v="26.914999999999999"/>
    <n v="565.21500000000003"/>
    <d v="2019-02-15T00:00:00"/>
    <d v="1900-01-13T19:08:00"/>
    <s v="Cash"/>
    <n v="538.29999999999995"/>
    <n v="4.7619047620000003"/>
    <n v="7.7"/>
    <x v="0"/>
    <x v="0"/>
    <x v="0"/>
    <x v="2"/>
    <x v="2"/>
    <x v="2"/>
    <x v="1"/>
    <n v="19"/>
    <x v="1"/>
  </r>
  <r>
    <s v="416-13-5917"/>
    <n v="97.03"/>
    <n v="5"/>
    <n v="24.2575"/>
    <n v="509.40750000000003"/>
    <d v="2019-01-30T00:00:00"/>
    <d v="1900-01-13T20:08:00"/>
    <s v="Ewallet"/>
    <n v="485.15"/>
    <n v="4.7619047620000003"/>
    <n v="9.3000000000000007"/>
    <x v="1"/>
    <x v="0"/>
    <x v="4"/>
    <x v="1"/>
    <x v="1"/>
    <x v="0"/>
    <x v="5"/>
    <n v="20"/>
    <x v="1"/>
  </r>
  <r>
    <s v="150-89-8043"/>
    <n v="44.65"/>
    <n v="3"/>
    <n v="6.6974999999999998"/>
    <n v="140.64750000000001"/>
    <d v="2019-02-14T00:00:00"/>
    <d v="1900-01-13T21:08:00"/>
    <s v="Cash"/>
    <n v="133.94999999999999"/>
    <n v="4.7619047620000003"/>
    <n v="6.2"/>
    <x v="1"/>
    <x v="1"/>
    <x v="3"/>
    <x v="0"/>
    <x v="0"/>
    <x v="2"/>
    <x v="4"/>
    <n v="21"/>
    <x v="1"/>
  </r>
  <r>
    <s v="135-84-8019"/>
    <n v="77.930000000000007"/>
    <n v="9"/>
    <n v="35.0685"/>
    <n v="736.43849999999998"/>
    <d v="2019-02-27T00:00:00"/>
    <d v="1900-01-13T22:08:00"/>
    <s v="Ewallet"/>
    <n v="701.37"/>
    <n v="4.7619047620000003"/>
    <n v="7.6"/>
    <x v="1"/>
    <x v="0"/>
    <x v="5"/>
    <x v="0"/>
    <x v="0"/>
    <x v="2"/>
    <x v="5"/>
    <n v="22"/>
    <x v="2"/>
  </r>
  <r>
    <s v="441-94-7118"/>
    <n v="71.95"/>
    <n v="1"/>
    <n v="3.5975000000000001"/>
    <n v="75.547499999999999"/>
    <d v="2019-02-04T00:00:00"/>
    <d v="1900-01-13T23:08:00"/>
    <s v="Cash"/>
    <n v="71.95"/>
    <n v="4.7619047620000003"/>
    <n v="7.3"/>
    <x v="0"/>
    <x v="1"/>
    <x v="1"/>
    <x v="0"/>
    <x v="0"/>
    <x v="2"/>
    <x v="3"/>
    <n v="23"/>
    <x v="2"/>
  </r>
  <r>
    <s v="725-96-3778"/>
    <n v="89.25"/>
    <n v="8"/>
    <n v="35.700000000000003"/>
    <n v="749.7"/>
    <d v="2019-01-20T00:00:00"/>
    <d v="1900-01-14T00:08:00"/>
    <s v="Cash"/>
    <n v="714"/>
    <n v="4.7619047620000003"/>
    <n v="4.7"/>
    <x v="0"/>
    <x v="0"/>
    <x v="2"/>
    <x v="1"/>
    <x v="1"/>
    <x v="0"/>
    <x v="2"/>
    <n v="0"/>
    <x v="3"/>
  </r>
  <r>
    <s v="531-80-1784"/>
    <n v="26.02"/>
    <n v="7"/>
    <n v="9.1069999999999993"/>
    <n v="191.24700000000001"/>
    <d v="2019-03-28T00:00:00"/>
    <d v="1900-01-14T01:08:00"/>
    <s v="Cash"/>
    <n v="182.14"/>
    <n v="4.7619047620000003"/>
    <n v="5.0999999999999996"/>
    <x v="1"/>
    <x v="1"/>
    <x v="1"/>
    <x v="0"/>
    <x v="0"/>
    <x v="1"/>
    <x v="4"/>
    <n v="1"/>
    <x v="3"/>
  </r>
  <r>
    <s v="400-45-1220"/>
    <n v="13.5"/>
    <n v="10"/>
    <n v="6.75"/>
    <n v="141.75"/>
    <d v="2019-02-27T00:00:00"/>
    <d v="1900-01-14T02:08:00"/>
    <s v="Credit card"/>
    <n v="135"/>
    <n v="4.7619047620000003"/>
    <n v="4.8"/>
    <x v="1"/>
    <x v="0"/>
    <x v="0"/>
    <x v="2"/>
    <x v="2"/>
    <x v="2"/>
    <x v="5"/>
    <n v="2"/>
    <x v="3"/>
  </r>
  <r>
    <s v="860-79-0874"/>
    <n v="99.3"/>
    <n v="10"/>
    <n v="49.65"/>
    <n v="1042.6500000000001"/>
    <d v="2019-02-15T00:00:00"/>
    <d v="1900-01-14T03:08:00"/>
    <s v="Credit card"/>
    <n v="993"/>
    <n v="4.7619047620000003"/>
    <n v="6.6"/>
    <x v="0"/>
    <x v="0"/>
    <x v="5"/>
    <x v="1"/>
    <x v="1"/>
    <x v="2"/>
    <x v="1"/>
    <n v="3"/>
    <x v="3"/>
  </r>
  <r>
    <s v="834-61-8124"/>
    <n v="51.69"/>
    <n v="7"/>
    <n v="18.0915"/>
    <n v="379.92149999999998"/>
    <d v="2019-01-26T00:00:00"/>
    <d v="1900-01-14T04:08:00"/>
    <s v="Cash"/>
    <n v="361.83"/>
    <n v="4.7619047620000003"/>
    <n v="5.5"/>
    <x v="1"/>
    <x v="1"/>
    <x v="1"/>
    <x v="0"/>
    <x v="0"/>
    <x v="0"/>
    <x v="0"/>
    <n v="4"/>
    <x v="3"/>
  </r>
  <r>
    <s v="115-99-4379"/>
    <n v="54.73"/>
    <n v="7"/>
    <n v="19.1555"/>
    <n v="402.26549999999997"/>
    <d v="2019-03-14T00:00:00"/>
    <d v="1900-01-14T05:08:00"/>
    <s v="Credit card"/>
    <n v="383.11"/>
    <n v="4.7619047620000003"/>
    <n v="8.5"/>
    <x v="0"/>
    <x v="0"/>
    <x v="5"/>
    <x v="2"/>
    <x v="2"/>
    <x v="1"/>
    <x v="4"/>
    <n v="5"/>
    <x v="3"/>
  </r>
  <r>
    <s v="565-67-6697"/>
    <n v="27"/>
    <n v="9"/>
    <n v="12.15"/>
    <n v="255.15"/>
    <d v="2019-03-02T00:00:00"/>
    <d v="1900-01-14T06:08:00"/>
    <s v="Cash"/>
    <n v="243"/>
    <n v="4.7619047620000003"/>
    <n v="4.8"/>
    <x v="0"/>
    <x v="1"/>
    <x v="2"/>
    <x v="2"/>
    <x v="2"/>
    <x v="1"/>
    <x v="0"/>
    <n v="6"/>
    <x v="3"/>
  </r>
  <r>
    <s v="320-49-6392"/>
    <n v="30.24"/>
    <n v="1"/>
    <n v="1.512"/>
    <n v="31.751999999999999"/>
    <d v="2019-03-04T00:00:00"/>
    <d v="1900-01-14T07:08:00"/>
    <s v="Cash"/>
    <n v="30.24"/>
    <n v="4.7619047620000003"/>
    <n v="8.4"/>
    <x v="1"/>
    <x v="0"/>
    <x v="1"/>
    <x v="1"/>
    <x v="1"/>
    <x v="1"/>
    <x v="3"/>
    <n v="7"/>
    <x v="3"/>
  </r>
  <r>
    <s v="889-04-9723"/>
    <n v="89.14"/>
    <n v="4"/>
    <n v="17.827999999999999"/>
    <n v="374.38799999999998"/>
    <d v="2019-01-07T00:00:00"/>
    <d v="1900-01-14T08:08:00"/>
    <s v="Credit card"/>
    <n v="356.56"/>
    <n v="4.7619047620000003"/>
    <n v="7.8"/>
    <x v="0"/>
    <x v="0"/>
    <x v="4"/>
    <x v="2"/>
    <x v="2"/>
    <x v="0"/>
    <x v="3"/>
    <n v="8"/>
    <x v="3"/>
  </r>
  <r>
    <s v="632-90-0281"/>
    <n v="37.549999999999997"/>
    <n v="10"/>
    <n v="18.774999999999999"/>
    <n v="394.27499999999998"/>
    <d v="2019-03-08T00:00:00"/>
    <d v="1900-01-14T09:08:00"/>
    <s v="Credit card"/>
    <n v="375.5"/>
    <n v="4.7619047620000003"/>
    <n v="9.3000000000000007"/>
    <x v="1"/>
    <x v="0"/>
    <x v="5"/>
    <x v="1"/>
    <x v="1"/>
    <x v="1"/>
    <x v="1"/>
    <n v="9"/>
    <x v="3"/>
  </r>
  <r>
    <s v="554-42-2417"/>
    <n v="95.44"/>
    <n v="10"/>
    <n v="47.72"/>
    <n v="1002.12"/>
    <d v="2019-01-09T00:00:00"/>
    <d v="1900-01-14T10:08:00"/>
    <s v="Cash"/>
    <n v="954.4"/>
    <n v="4.7619047620000003"/>
    <n v="5.2"/>
    <x v="1"/>
    <x v="0"/>
    <x v="3"/>
    <x v="1"/>
    <x v="1"/>
    <x v="0"/>
    <x v="5"/>
    <n v="10"/>
    <x v="3"/>
  </r>
  <r>
    <s v="453-63-6187"/>
    <n v="27.5"/>
    <n v="3"/>
    <n v="4.125"/>
    <n v="86.625"/>
    <d v="2019-03-01T00:00:00"/>
    <d v="1900-01-14T11:08:00"/>
    <s v="Ewallet"/>
    <n v="82.5"/>
    <n v="4.7619047620000003"/>
    <n v="6.5"/>
    <x v="1"/>
    <x v="1"/>
    <x v="1"/>
    <x v="2"/>
    <x v="2"/>
    <x v="1"/>
    <x v="1"/>
    <n v="11"/>
    <x v="3"/>
  </r>
  <r>
    <s v="578-80-7669"/>
    <n v="74.97"/>
    <n v="1"/>
    <n v="3.7484999999999999"/>
    <n v="78.718500000000006"/>
    <d v="2019-03-16T00:00:00"/>
    <d v="1900-01-14T12:08:00"/>
    <s v="Cash"/>
    <n v="74.97"/>
    <n v="4.7619047620000003"/>
    <n v="5.6"/>
    <x v="1"/>
    <x v="1"/>
    <x v="3"/>
    <x v="2"/>
    <x v="2"/>
    <x v="1"/>
    <x v="0"/>
    <n v="12"/>
    <x v="3"/>
  </r>
  <r>
    <s v="612-36-5536"/>
    <n v="80.959999999999994"/>
    <n v="8"/>
    <n v="32.384"/>
    <n v="680.06399999999996"/>
    <d v="2019-02-17T00:00:00"/>
    <d v="1900-01-14T13:08:00"/>
    <s v="Credit card"/>
    <n v="647.67999999999995"/>
    <n v="4.7619047620000003"/>
    <n v="7.4"/>
    <x v="0"/>
    <x v="1"/>
    <x v="4"/>
    <x v="0"/>
    <x v="0"/>
    <x v="2"/>
    <x v="2"/>
    <n v="13"/>
    <x v="0"/>
  </r>
  <r>
    <s v="605-72-4132"/>
    <n v="94.47"/>
    <n v="8"/>
    <n v="37.787999999999997"/>
    <n v="793.548"/>
    <d v="2019-02-27T00:00:00"/>
    <d v="1900-01-14T14:08:00"/>
    <s v="Cash"/>
    <n v="755.76"/>
    <n v="4.7619047620000003"/>
    <n v="9.1"/>
    <x v="1"/>
    <x v="0"/>
    <x v="4"/>
    <x v="1"/>
    <x v="1"/>
    <x v="2"/>
    <x v="5"/>
    <n v="14"/>
    <x v="0"/>
  </r>
  <r>
    <s v="471-41-2823"/>
    <n v="99.79"/>
    <n v="2"/>
    <n v="9.9789999999999992"/>
    <n v="209.559"/>
    <d v="2019-03-07T00:00:00"/>
    <d v="1900-01-14T15:08:00"/>
    <s v="Ewallet"/>
    <n v="199.58"/>
    <n v="4.7619047620000003"/>
    <n v="8"/>
    <x v="1"/>
    <x v="1"/>
    <x v="4"/>
    <x v="1"/>
    <x v="1"/>
    <x v="1"/>
    <x v="4"/>
    <n v="15"/>
    <x v="0"/>
  </r>
  <r>
    <s v="462-67-9126"/>
    <n v="73.22"/>
    <n v="6"/>
    <n v="21.966000000000001"/>
    <n v="461.286"/>
    <d v="2019-01-21T00:00:00"/>
    <d v="1900-01-14T16:08:00"/>
    <s v="Cash"/>
    <n v="439.32"/>
    <n v="4.7619047620000003"/>
    <n v="7.2"/>
    <x v="1"/>
    <x v="1"/>
    <x v="2"/>
    <x v="0"/>
    <x v="0"/>
    <x v="0"/>
    <x v="3"/>
    <n v="16"/>
    <x v="0"/>
  </r>
  <r>
    <s v="272-27-9238"/>
    <n v="41.24"/>
    <n v="4"/>
    <n v="8.2479999999999993"/>
    <n v="173.208"/>
    <d v="2019-02-19T00:00:00"/>
    <d v="1900-01-14T17:08:00"/>
    <s v="Cash"/>
    <n v="164.96"/>
    <n v="4.7619047620000003"/>
    <n v="7.1"/>
    <x v="1"/>
    <x v="0"/>
    <x v="4"/>
    <x v="1"/>
    <x v="1"/>
    <x v="2"/>
    <x v="6"/>
    <n v="17"/>
    <x v="1"/>
  </r>
  <r>
    <s v="834-25-9262"/>
    <n v="81.680000000000007"/>
    <n v="4"/>
    <n v="16.335999999999999"/>
    <n v="343.05599999999998"/>
    <d v="2019-01-06T00:00:00"/>
    <d v="1900-01-14T18:08:00"/>
    <s v="Cash"/>
    <n v="326.72000000000003"/>
    <n v="4.7619047620000003"/>
    <n v="9.1"/>
    <x v="1"/>
    <x v="0"/>
    <x v="5"/>
    <x v="1"/>
    <x v="1"/>
    <x v="0"/>
    <x v="2"/>
    <n v="18"/>
    <x v="1"/>
  </r>
  <r>
    <s v="122-61-9553"/>
    <n v="51.32"/>
    <n v="9"/>
    <n v="23.094000000000001"/>
    <n v="484.97399999999999"/>
    <d v="2019-03-14T00:00:00"/>
    <d v="1900-01-14T19:08:00"/>
    <s v="Cash"/>
    <n v="461.88"/>
    <n v="4.7619047620000003"/>
    <n v="5.6"/>
    <x v="1"/>
    <x v="0"/>
    <x v="1"/>
    <x v="1"/>
    <x v="1"/>
    <x v="1"/>
    <x v="4"/>
    <n v="19"/>
    <x v="1"/>
  </r>
  <r>
    <s v="468-88-0009"/>
    <n v="65.94"/>
    <n v="4"/>
    <n v="13.188000000000001"/>
    <n v="276.94799999999998"/>
    <d v="2019-03-24T00:00:00"/>
    <d v="1900-01-14T20:08:00"/>
    <s v="Cash"/>
    <n v="263.76"/>
    <n v="4.7619047620000003"/>
    <n v="6"/>
    <x v="0"/>
    <x v="1"/>
    <x v="2"/>
    <x v="0"/>
    <x v="0"/>
    <x v="1"/>
    <x v="2"/>
    <n v="20"/>
    <x v="1"/>
  </r>
  <r>
    <s v="613-59-9758"/>
    <n v="14.36"/>
    <n v="10"/>
    <n v="7.18"/>
    <n v="150.78"/>
    <d v="2019-01-27T00:00:00"/>
    <d v="1900-01-14T21:08:00"/>
    <s v="Cash"/>
    <n v="143.6"/>
    <n v="4.7619047620000003"/>
    <n v="5.4"/>
    <x v="1"/>
    <x v="0"/>
    <x v="3"/>
    <x v="1"/>
    <x v="1"/>
    <x v="0"/>
    <x v="2"/>
    <n v="21"/>
    <x v="1"/>
  </r>
  <r>
    <s v="254-31-0042"/>
    <n v="21.5"/>
    <n v="9"/>
    <n v="9.6750000000000007"/>
    <n v="203.17500000000001"/>
    <d v="2019-03-06T00:00:00"/>
    <d v="1900-01-14T22:08:00"/>
    <s v="Credit card"/>
    <n v="193.5"/>
    <n v="4.7619047620000003"/>
    <n v="7.8"/>
    <x v="0"/>
    <x v="1"/>
    <x v="1"/>
    <x v="0"/>
    <x v="0"/>
    <x v="1"/>
    <x v="5"/>
    <n v="22"/>
    <x v="2"/>
  </r>
  <r>
    <s v="201-86-2184"/>
    <n v="26.26"/>
    <n v="7"/>
    <n v="9.1910000000000007"/>
    <n v="193.011"/>
    <d v="2019-02-02T00:00:00"/>
    <d v="1900-01-14T23:08:00"/>
    <s v="Cash"/>
    <n v="183.82"/>
    <n v="4.7619047620000003"/>
    <n v="9.9"/>
    <x v="0"/>
    <x v="0"/>
    <x v="1"/>
    <x v="2"/>
    <x v="2"/>
    <x v="2"/>
    <x v="0"/>
    <n v="23"/>
    <x v="2"/>
  </r>
  <r>
    <s v="261-12-8671"/>
    <n v="60.96"/>
    <n v="2"/>
    <n v="6.0960000000000001"/>
    <n v="128.01599999999999"/>
    <d v="2019-01-25T00:00:00"/>
    <d v="1900-01-15T00:08:00"/>
    <s v="Credit card"/>
    <n v="121.92"/>
    <n v="4.7619047620000003"/>
    <n v="4.9000000000000004"/>
    <x v="1"/>
    <x v="0"/>
    <x v="5"/>
    <x v="2"/>
    <x v="2"/>
    <x v="0"/>
    <x v="1"/>
    <n v="0"/>
    <x v="3"/>
  </r>
  <r>
    <s v="730-70-9830"/>
    <n v="70.11"/>
    <n v="6"/>
    <n v="21.033000000000001"/>
    <n v="441.69299999999998"/>
    <d v="2019-03-14T00:00:00"/>
    <d v="1900-01-15T01:08:00"/>
    <s v="Ewallet"/>
    <n v="420.66"/>
    <n v="4.7619047620000003"/>
    <n v="5.2"/>
    <x v="1"/>
    <x v="0"/>
    <x v="2"/>
    <x v="1"/>
    <x v="1"/>
    <x v="1"/>
    <x v="4"/>
    <n v="1"/>
    <x v="3"/>
  </r>
  <r>
    <s v="382-25-8917"/>
    <n v="42.08"/>
    <n v="6"/>
    <n v="12.624000000000001"/>
    <n v="265.10399999999998"/>
    <d v="2019-01-29T00:00:00"/>
    <d v="1900-01-15T02:08:00"/>
    <s v="Cash"/>
    <n v="252.48"/>
    <n v="4.7619047620000003"/>
    <n v="8.9"/>
    <x v="1"/>
    <x v="1"/>
    <x v="5"/>
    <x v="1"/>
    <x v="1"/>
    <x v="0"/>
    <x v="6"/>
    <n v="2"/>
    <x v="3"/>
  </r>
  <r>
    <s v="422-29-8786"/>
    <n v="67.09"/>
    <n v="5"/>
    <n v="16.772500000000001"/>
    <n v="352.22250000000003"/>
    <d v="2019-01-03T00:00:00"/>
    <d v="1900-01-15T03:08:00"/>
    <s v="Credit card"/>
    <n v="335.45"/>
    <n v="4.7619047620000003"/>
    <n v="9.1"/>
    <x v="1"/>
    <x v="0"/>
    <x v="2"/>
    <x v="0"/>
    <x v="0"/>
    <x v="0"/>
    <x v="4"/>
    <n v="3"/>
    <x v="3"/>
  </r>
  <r>
    <s v="667-23-5919"/>
    <n v="96.7"/>
    <n v="5"/>
    <n v="24.175000000000001"/>
    <n v="507.67500000000001"/>
    <d v="2019-01-14T00:00:00"/>
    <d v="1900-01-15T04:08:00"/>
    <s v="Ewallet"/>
    <n v="483.5"/>
    <n v="4.7619047620000003"/>
    <n v="7"/>
    <x v="0"/>
    <x v="0"/>
    <x v="5"/>
    <x v="0"/>
    <x v="0"/>
    <x v="0"/>
    <x v="3"/>
    <n v="4"/>
    <x v="3"/>
  </r>
  <r>
    <s v="843-01-4703"/>
    <n v="35.380000000000003"/>
    <n v="9"/>
    <n v="15.920999999999999"/>
    <n v="334.34100000000001"/>
    <d v="2019-01-05T00:00:00"/>
    <d v="1900-01-15T05:08:00"/>
    <s v="Credit card"/>
    <n v="318.42"/>
    <n v="4.7619047620000003"/>
    <n v="9.6"/>
    <x v="0"/>
    <x v="0"/>
    <x v="2"/>
    <x v="2"/>
    <x v="2"/>
    <x v="0"/>
    <x v="0"/>
    <n v="5"/>
    <x v="3"/>
  </r>
  <r>
    <s v="743-88-1662"/>
    <n v="95.49"/>
    <n v="7"/>
    <n v="33.421500000000002"/>
    <n v="701.85149999999999"/>
    <d v="2019-02-22T00:00:00"/>
    <d v="1900-01-15T06:08:00"/>
    <s v="Ewallet"/>
    <n v="668.43"/>
    <n v="4.7619047620000003"/>
    <n v="8.6999999999999993"/>
    <x v="1"/>
    <x v="1"/>
    <x v="3"/>
    <x v="1"/>
    <x v="1"/>
    <x v="2"/>
    <x v="1"/>
    <n v="6"/>
    <x v="3"/>
  </r>
  <r>
    <s v="595-86-2894"/>
    <n v="96.98"/>
    <n v="4"/>
    <n v="19.396000000000001"/>
    <n v="407.31599999999997"/>
    <d v="2019-02-06T00:00:00"/>
    <d v="1900-01-15T07:08:00"/>
    <s v="Ewallet"/>
    <n v="387.92"/>
    <n v="4.7619047620000003"/>
    <n v="9.4"/>
    <x v="0"/>
    <x v="1"/>
    <x v="5"/>
    <x v="1"/>
    <x v="1"/>
    <x v="2"/>
    <x v="5"/>
    <n v="7"/>
    <x v="3"/>
  </r>
  <r>
    <s v="182-69-8360"/>
    <n v="23.65"/>
    <n v="4"/>
    <n v="4.7300000000000004"/>
    <n v="99.33"/>
    <d v="2019-01-30T00:00:00"/>
    <d v="1900-01-15T08:08:00"/>
    <s v="Credit card"/>
    <n v="94.6"/>
    <n v="4.7619047620000003"/>
    <n v="4"/>
    <x v="1"/>
    <x v="0"/>
    <x v="1"/>
    <x v="2"/>
    <x v="2"/>
    <x v="0"/>
    <x v="5"/>
    <n v="8"/>
    <x v="3"/>
  </r>
  <r>
    <s v="289-15-7034"/>
    <n v="82.33"/>
    <n v="4"/>
    <n v="16.466000000000001"/>
    <n v="345.786"/>
    <d v="2019-01-11T00:00:00"/>
    <d v="1900-01-15T09:08:00"/>
    <s v="Credit card"/>
    <n v="329.32"/>
    <n v="4.7619047620000003"/>
    <n v="7.5"/>
    <x v="0"/>
    <x v="1"/>
    <x v="3"/>
    <x v="0"/>
    <x v="0"/>
    <x v="0"/>
    <x v="1"/>
    <n v="9"/>
    <x v="3"/>
  </r>
  <r>
    <s v="462-78-5240"/>
    <n v="26.61"/>
    <n v="2"/>
    <n v="2.661"/>
    <n v="55.881"/>
    <d v="2019-03-19T00:00:00"/>
    <d v="1900-01-15T10:08:00"/>
    <s v="Cash"/>
    <n v="53.22"/>
    <n v="4.7619047620000003"/>
    <n v="4.2"/>
    <x v="1"/>
    <x v="0"/>
    <x v="1"/>
    <x v="1"/>
    <x v="1"/>
    <x v="1"/>
    <x v="6"/>
    <n v="10"/>
    <x v="3"/>
  </r>
  <r>
    <s v="868-52-7573"/>
    <n v="99.69"/>
    <n v="5"/>
    <n v="24.922499999999999"/>
    <n v="523.37249999999995"/>
    <d v="2019-01-14T00:00:00"/>
    <d v="1900-01-15T11:08:00"/>
    <s v="Cash"/>
    <n v="498.45"/>
    <n v="4.7619047620000003"/>
    <n v="9.9"/>
    <x v="1"/>
    <x v="0"/>
    <x v="4"/>
    <x v="2"/>
    <x v="2"/>
    <x v="0"/>
    <x v="3"/>
    <n v="11"/>
    <x v="3"/>
  </r>
  <r>
    <s v="153-58-4872"/>
    <n v="74.89"/>
    <n v="4"/>
    <n v="14.978"/>
    <n v="314.53800000000001"/>
    <d v="2019-03-01T00:00:00"/>
    <d v="1900-01-15T12:08:00"/>
    <s v="Ewallet"/>
    <n v="299.56"/>
    <n v="4.7619047620000003"/>
    <n v="4.2"/>
    <x v="0"/>
    <x v="0"/>
    <x v="4"/>
    <x v="1"/>
    <x v="1"/>
    <x v="1"/>
    <x v="1"/>
    <n v="12"/>
    <x v="3"/>
  </r>
  <r>
    <s v="662-72-2873"/>
    <n v="40.94"/>
    <n v="5"/>
    <n v="10.234999999999999"/>
    <n v="214.935"/>
    <d v="2019-01-06T00:00:00"/>
    <d v="1900-01-15T13:08:00"/>
    <s v="Ewallet"/>
    <n v="204.7"/>
    <n v="4.7619047620000003"/>
    <n v="9.9"/>
    <x v="1"/>
    <x v="0"/>
    <x v="4"/>
    <x v="0"/>
    <x v="0"/>
    <x v="0"/>
    <x v="2"/>
    <n v="13"/>
    <x v="0"/>
  </r>
  <r>
    <s v="525-88-7307"/>
    <n v="75.819999999999993"/>
    <n v="1"/>
    <n v="3.7909999999999999"/>
    <n v="79.611000000000004"/>
    <d v="2019-01-31T00:00:00"/>
    <d v="1900-01-15T14:08:00"/>
    <s v="Cash"/>
    <n v="75.819999999999993"/>
    <n v="4.7619047620000003"/>
    <n v="5.8"/>
    <x v="0"/>
    <x v="1"/>
    <x v="3"/>
    <x v="2"/>
    <x v="2"/>
    <x v="0"/>
    <x v="4"/>
    <n v="14"/>
    <x v="0"/>
  </r>
  <r>
    <s v="689-16-9784"/>
    <n v="46.77"/>
    <n v="6"/>
    <n v="14.031000000000001"/>
    <n v="294.65100000000001"/>
    <d v="2019-03-11T00:00:00"/>
    <d v="1900-01-15T15:08:00"/>
    <s v="Cash"/>
    <n v="280.62"/>
    <n v="4.7619047620000003"/>
    <n v="6"/>
    <x v="1"/>
    <x v="1"/>
    <x v="4"/>
    <x v="1"/>
    <x v="1"/>
    <x v="1"/>
    <x v="3"/>
    <n v="15"/>
    <x v="0"/>
  </r>
  <r>
    <s v="725-56-0833"/>
    <n v="32.32"/>
    <n v="10"/>
    <n v="16.16"/>
    <n v="339.36"/>
    <d v="2019-02-20T00:00:00"/>
    <d v="1900-01-15T16:08:00"/>
    <s v="Credit card"/>
    <n v="323.2"/>
    <n v="4.7619047620000003"/>
    <n v="10"/>
    <x v="1"/>
    <x v="0"/>
    <x v="0"/>
    <x v="0"/>
    <x v="0"/>
    <x v="2"/>
    <x v="5"/>
    <n v="16"/>
    <x v="0"/>
  </r>
  <r>
    <s v="394-41-0748"/>
    <n v="54.07"/>
    <n v="9"/>
    <n v="24.331499999999998"/>
    <n v="510.9615"/>
    <d v="2019-01-27T00:00:00"/>
    <d v="1900-01-15T17:08:00"/>
    <s v="Ewallet"/>
    <n v="486.63"/>
    <n v="4.7619047620000003"/>
    <n v="9.5"/>
    <x v="0"/>
    <x v="0"/>
    <x v="5"/>
    <x v="1"/>
    <x v="1"/>
    <x v="0"/>
    <x v="2"/>
    <n v="17"/>
    <x v="1"/>
  </r>
  <r>
    <s v="596-42-3999"/>
    <n v="18.22"/>
    <n v="7"/>
    <n v="6.3769999999999998"/>
    <n v="133.917"/>
    <d v="2019-03-10T00:00:00"/>
    <d v="1900-01-15T18:08:00"/>
    <s v="Credit card"/>
    <n v="127.54"/>
    <n v="4.7619047620000003"/>
    <n v="6.6"/>
    <x v="1"/>
    <x v="1"/>
    <x v="4"/>
    <x v="2"/>
    <x v="2"/>
    <x v="1"/>
    <x v="2"/>
    <n v="18"/>
    <x v="1"/>
  </r>
  <r>
    <s v="541-89-9860"/>
    <n v="80.48"/>
    <n v="3"/>
    <n v="12.071999999999999"/>
    <n v="253.512"/>
    <d v="2019-02-15T00:00:00"/>
    <d v="1900-01-15T19:08:00"/>
    <s v="Cash"/>
    <n v="241.44"/>
    <n v="4.7619047620000003"/>
    <n v="8.1"/>
    <x v="0"/>
    <x v="0"/>
    <x v="5"/>
    <x v="1"/>
    <x v="1"/>
    <x v="2"/>
    <x v="1"/>
    <n v="19"/>
    <x v="1"/>
  </r>
  <r>
    <s v="173-82-9529"/>
    <n v="37.950000000000003"/>
    <n v="10"/>
    <n v="18.975000000000001"/>
    <n v="398.47500000000002"/>
    <d v="2019-01-26T00:00:00"/>
    <d v="1900-01-15T20:08:00"/>
    <s v="Cash"/>
    <n v="379.5"/>
    <n v="4.7619047620000003"/>
    <n v="9.6999999999999993"/>
    <x v="1"/>
    <x v="0"/>
    <x v="5"/>
    <x v="2"/>
    <x v="2"/>
    <x v="0"/>
    <x v="0"/>
    <n v="20"/>
    <x v="1"/>
  </r>
  <r>
    <s v="563-36-9814"/>
    <n v="76.819999999999993"/>
    <n v="1"/>
    <n v="3.8410000000000002"/>
    <n v="80.661000000000001"/>
    <d v="2019-02-13T00:00:00"/>
    <d v="1900-01-15T21:08:00"/>
    <s v="Ewallet"/>
    <n v="76.819999999999993"/>
    <n v="4.7619047620000003"/>
    <n v="7.2"/>
    <x v="0"/>
    <x v="1"/>
    <x v="1"/>
    <x v="0"/>
    <x v="0"/>
    <x v="2"/>
    <x v="5"/>
    <n v="21"/>
    <x v="1"/>
  </r>
  <r>
    <s v="308-47-4913"/>
    <n v="52.26"/>
    <n v="10"/>
    <n v="26.13"/>
    <n v="548.73"/>
    <d v="2019-03-09T00:00:00"/>
    <d v="1900-01-15T22:08:00"/>
    <s v="Credit card"/>
    <n v="522.6"/>
    <n v="4.7619047620000003"/>
    <n v="6.2"/>
    <x v="0"/>
    <x v="0"/>
    <x v="3"/>
    <x v="0"/>
    <x v="0"/>
    <x v="1"/>
    <x v="0"/>
    <n v="22"/>
    <x v="2"/>
  </r>
  <r>
    <s v="885-17-6250"/>
    <n v="79.739999999999995"/>
    <n v="1"/>
    <n v="3.9870000000000001"/>
    <n v="83.727000000000004"/>
    <d v="2019-03-06T00:00:00"/>
    <d v="1900-01-15T23:08:00"/>
    <s v="Ewallet"/>
    <n v="79.739999999999995"/>
    <n v="4.7619047620000003"/>
    <n v="7.3"/>
    <x v="1"/>
    <x v="0"/>
    <x v="0"/>
    <x v="0"/>
    <x v="0"/>
    <x v="1"/>
    <x v="5"/>
    <n v="23"/>
    <x v="2"/>
  </r>
  <r>
    <s v="726-27-2396"/>
    <n v="77.5"/>
    <n v="5"/>
    <n v="19.375"/>
    <n v="406.875"/>
    <d v="2019-01-24T00:00:00"/>
    <d v="1900-01-16T00:08:00"/>
    <s v="Ewallet"/>
    <n v="387.5"/>
    <n v="4.7619047620000003"/>
    <n v="4.3"/>
    <x v="1"/>
    <x v="0"/>
    <x v="0"/>
    <x v="0"/>
    <x v="0"/>
    <x v="0"/>
    <x v="4"/>
    <n v="0"/>
    <x v="3"/>
  </r>
  <r>
    <s v="316-01-3952"/>
    <n v="54.27"/>
    <n v="5"/>
    <n v="13.567500000000001"/>
    <n v="284.91750000000002"/>
    <d v="2019-03-13T00:00:00"/>
    <d v="1900-01-16T01:08:00"/>
    <s v="Ewallet"/>
    <n v="271.35000000000002"/>
    <n v="4.7619047620000003"/>
    <n v="4.5999999999999996"/>
    <x v="1"/>
    <x v="0"/>
    <x v="4"/>
    <x v="0"/>
    <x v="0"/>
    <x v="1"/>
    <x v="5"/>
    <n v="1"/>
    <x v="3"/>
  </r>
  <r>
    <s v="760-54-1821"/>
    <n v="13.59"/>
    <n v="9"/>
    <n v="6.1154999999999999"/>
    <n v="128.4255"/>
    <d v="2019-03-15T00:00:00"/>
    <d v="1900-01-16T02:08:00"/>
    <s v="Cash"/>
    <n v="122.31"/>
    <n v="4.7619047620000003"/>
    <n v="5.8"/>
    <x v="1"/>
    <x v="1"/>
    <x v="2"/>
    <x v="2"/>
    <x v="2"/>
    <x v="1"/>
    <x v="1"/>
    <n v="2"/>
    <x v="3"/>
  </r>
  <r>
    <s v="793-10-3222"/>
    <n v="41.06"/>
    <n v="6"/>
    <n v="12.318"/>
    <n v="258.678"/>
    <d v="2019-03-05T00:00:00"/>
    <d v="1900-01-16T03:08:00"/>
    <s v="Credit card"/>
    <n v="246.36"/>
    <n v="4.7619047620000003"/>
    <n v="8.3000000000000007"/>
    <x v="0"/>
    <x v="0"/>
    <x v="0"/>
    <x v="2"/>
    <x v="2"/>
    <x v="1"/>
    <x v="6"/>
    <n v="3"/>
    <x v="3"/>
  </r>
  <r>
    <s v="346-12-3257"/>
    <n v="19.239999999999998"/>
    <n v="9"/>
    <n v="8.6579999999999995"/>
    <n v="181.81800000000001"/>
    <d v="2019-03-04T00:00:00"/>
    <d v="1900-01-16T04:08:00"/>
    <s v="Cash"/>
    <n v="173.16"/>
    <n v="4.7619047620000003"/>
    <n v="8"/>
    <x v="0"/>
    <x v="1"/>
    <x v="1"/>
    <x v="2"/>
    <x v="2"/>
    <x v="1"/>
    <x v="3"/>
    <n v="4"/>
    <x v="3"/>
  </r>
  <r>
    <s v="110-05-6330"/>
    <n v="39.43"/>
    <n v="6"/>
    <n v="11.829000000000001"/>
    <n v="248.40899999999999"/>
    <d v="2019-03-25T00:00:00"/>
    <d v="1900-01-16T05:08:00"/>
    <s v="Credit card"/>
    <n v="236.58"/>
    <n v="4.7619047620000003"/>
    <n v="9.4"/>
    <x v="1"/>
    <x v="0"/>
    <x v="4"/>
    <x v="1"/>
    <x v="1"/>
    <x v="1"/>
    <x v="3"/>
    <n v="5"/>
    <x v="3"/>
  </r>
  <r>
    <s v="651-61-0874"/>
    <n v="46.22"/>
    <n v="4"/>
    <n v="9.2439999999999998"/>
    <n v="194.124"/>
    <d v="2019-03-12T00:00:00"/>
    <d v="1900-01-16T06:08:00"/>
    <s v="Credit card"/>
    <n v="184.88"/>
    <n v="4.7619047620000003"/>
    <n v="6.2"/>
    <x v="1"/>
    <x v="1"/>
    <x v="2"/>
    <x v="1"/>
    <x v="1"/>
    <x v="1"/>
    <x v="6"/>
    <n v="6"/>
    <x v="3"/>
  </r>
  <r>
    <s v="236-86-3015"/>
    <n v="13.98"/>
    <n v="1"/>
    <n v="0.69899999999999995"/>
    <n v="14.679"/>
    <d v="2019-02-04T00:00:00"/>
    <d v="1900-01-16T07:08:00"/>
    <s v="Ewallet"/>
    <n v="13.98"/>
    <n v="4.7619047620000003"/>
    <n v="9.8000000000000007"/>
    <x v="0"/>
    <x v="1"/>
    <x v="2"/>
    <x v="1"/>
    <x v="1"/>
    <x v="2"/>
    <x v="3"/>
    <n v="7"/>
    <x v="3"/>
  </r>
  <r>
    <s v="831-64-0259"/>
    <n v="39.75"/>
    <n v="5"/>
    <n v="9.9375"/>
    <n v="208.6875"/>
    <d v="2019-02-22T00:00:00"/>
    <d v="1900-01-16T08:08:00"/>
    <s v="Ewallet"/>
    <n v="198.75"/>
    <n v="4.7619047620000003"/>
    <n v="9.6"/>
    <x v="1"/>
    <x v="0"/>
    <x v="5"/>
    <x v="2"/>
    <x v="2"/>
    <x v="2"/>
    <x v="1"/>
    <n v="8"/>
    <x v="3"/>
  </r>
  <r>
    <s v="587-03-7455"/>
    <n v="97.79"/>
    <n v="7"/>
    <n v="34.226500000000001"/>
    <n v="718.75649999999996"/>
    <d v="2019-02-16T00:00:00"/>
    <d v="1900-01-16T09:08:00"/>
    <s v="Ewallet"/>
    <n v="684.53"/>
    <n v="4.7619047620000003"/>
    <n v="4.9000000000000004"/>
    <x v="0"/>
    <x v="0"/>
    <x v="5"/>
    <x v="1"/>
    <x v="1"/>
    <x v="2"/>
    <x v="0"/>
    <n v="9"/>
    <x v="3"/>
  </r>
  <r>
    <s v="882-40-4577"/>
    <n v="67.260000000000005"/>
    <n v="4"/>
    <n v="13.452"/>
    <n v="282.49200000000002"/>
    <d v="2019-01-19T00:00:00"/>
    <d v="1900-01-16T10:08:00"/>
    <s v="Credit card"/>
    <n v="269.04000000000002"/>
    <n v="4.7619047620000003"/>
    <n v="8"/>
    <x v="0"/>
    <x v="1"/>
    <x v="3"/>
    <x v="0"/>
    <x v="0"/>
    <x v="0"/>
    <x v="0"/>
    <n v="10"/>
    <x v="3"/>
  </r>
  <r>
    <s v="732-67-5346"/>
    <n v="13.79"/>
    <n v="5"/>
    <n v="3.4474999999999998"/>
    <n v="72.397499999999994"/>
    <d v="2019-01-11T00:00:00"/>
    <d v="1900-01-16T11:08:00"/>
    <s v="Credit card"/>
    <n v="68.95"/>
    <n v="4.7619047620000003"/>
    <n v="7.8"/>
    <x v="1"/>
    <x v="1"/>
    <x v="4"/>
    <x v="0"/>
    <x v="0"/>
    <x v="0"/>
    <x v="1"/>
    <n v="11"/>
    <x v="3"/>
  </r>
  <r>
    <s v="725-32-9708"/>
    <n v="68.709999999999994"/>
    <n v="4"/>
    <n v="13.742000000000001"/>
    <n v="288.58199999999999"/>
    <d v="2019-01-04T00:00:00"/>
    <d v="1900-01-16T12:08:00"/>
    <s v="Cash"/>
    <n v="274.83999999999997"/>
    <n v="4.7619047620000003"/>
    <n v="4.0999999999999996"/>
    <x v="0"/>
    <x v="0"/>
    <x v="5"/>
    <x v="2"/>
    <x v="2"/>
    <x v="0"/>
    <x v="1"/>
    <n v="12"/>
    <x v="3"/>
  </r>
  <r>
    <s v="256-08-8343"/>
    <n v="56.53"/>
    <n v="4"/>
    <n v="11.305999999999999"/>
    <n v="237.42599999999999"/>
    <d v="2019-03-04T00:00:00"/>
    <d v="1900-01-16T13:08:00"/>
    <s v="Ewallet"/>
    <n v="226.12"/>
    <n v="4.7619047620000003"/>
    <n v="5.5"/>
    <x v="1"/>
    <x v="0"/>
    <x v="2"/>
    <x v="0"/>
    <x v="0"/>
    <x v="1"/>
    <x v="3"/>
    <n v="13"/>
    <x v="0"/>
  </r>
  <r>
    <s v="372-26-1506"/>
    <n v="23.82"/>
    <n v="5"/>
    <n v="5.9550000000000001"/>
    <n v="125.05500000000001"/>
    <d v="2019-01-28T00:00:00"/>
    <d v="1900-01-16T14:08:00"/>
    <s v="Ewallet"/>
    <n v="119.1"/>
    <n v="4.7619047620000003"/>
    <n v="5.4"/>
    <x v="1"/>
    <x v="0"/>
    <x v="5"/>
    <x v="1"/>
    <x v="1"/>
    <x v="0"/>
    <x v="3"/>
    <n v="14"/>
    <x v="0"/>
  </r>
  <r>
    <s v="244-08-0162"/>
    <n v="34.21"/>
    <n v="10"/>
    <n v="17.105"/>
    <n v="359.20499999999998"/>
    <d v="2019-01-02T00:00:00"/>
    <d v="1900-01-16T15:08:00"/>
    <s v="Cash"/>
    <n v="342.1"/>
    <n v="4.7619047620000003"/>
    <n v="5.0999999999999996"/>
    <x v="1"/>
    <x v="0"/>
    <x v="0"/>
    <x v="2"/>
    <x v="2"/>
    <x v="0"/>
    <x v="5"/>
    <n v="15"/>
    <x v="0"/>
  </r>
  <r>
    <s v="569-71-4390"/>
    <n v="21.87"/>
    <n v="2"/>
    <n v="2.1869999999999998"/>
    <n v="45.927"/>
    <d v="2019-01-25T00:00:00"/>
    <d v="1900-01-16T16:08:00"/>
    <s v="Ewallet"/>
    <n v="43.74"/>
    <n v="4.7619047620000003"/>
    <n v="6.9"/>
    <x v="1"/>
    <x v="1"/>
    <x v="3"/>
    <x v="2"/>
    <x v="2"/>
    <x v="0"/>
    <x v="1"/>
    <n v="16"/>
    <x v="0"/>
  </r>
  <r>
    <s v="132-23-6451"/>
    <n v="20.97"/>
    <n v="5"/>
    <n v="5.2424999999999997"/>
    <n v="110.0925"/>
    <d v="2019-01-04T00:00:00"/>
    <d v="1900-01-16T17:08:00"/>
    <s v="Cash"/>
    <n v="104.85"/>
    <n v="4.7619047620000003"/>
    <n v="7.8"/>
    <x v="0"/>
    <x v="1"/>
    <x v="0"/>
    <x v="0"/>
    <x v="0"/>
    <x v="0"/>
    <x v="1"/>
    <n v="17"/>
    <x v="1"/>
  </r>
  <r>
    <s v="696-90-2548"/>
    <n v="25.84"/>
    <n v="3"/>
    <n v="3.8759999999999999"/>
    <n v="81.396000000000001"/>
    <d v="2019-03-10T00:00:00"/>
    <d v="1900-01-16T18:08:00"/>
    <s v="Ewallet"/>
    <n v="77.52"/>
    <n v="4.7619047620000003"/>
    <n v="6.6"/>
    <x v="1"/>
    <x v="1"/>
    <x v="3"/>
    <x v="0"/>
    <x v="0"/>
    <x v="1"/>
    <x v="2"/>
    <n v="18"/>
    <x v="1"/>
  </r>
  <r>
    <s v="472-15-9636"/>
    <n v="50.93"/>
    <n v="8"/>
    <n v="20.372"/>
    <n v="427.81200000000001"/>
    <d v="2019-03-22T00:00:00"/>
    <d v="1900-01-16T19:08:00"/>
    <s v="Ewallet"/>
    <n v="407.44"/>
    <n v="4.7619047620000003"/>
    <n v="9.1999999999999993"/>
    <x v="1"/>
    <x v="1"/>
    <x v="2"/>
    <x v="0"/>
    <x v="0"/>
    <x v="1"/>
    <x v="1"/>
    <n v="19"/>
    <x v="1"/>
  </r>
  <r>
    <s v="268-03-6164"/>
    <n v="96.11"/>
    <n v="1"/>
    <n v="4.8055000000000003"/>
    <n v="100.91549999999999"/>
    <d v="2019-01-25T00:00:00"/>
    <d v="1900-01-16T20:08:00"/>
    <s v="Ewallet"/>
    <n v="96.11"/>
    <n v="4.7619047620000003"/>
    <n v="7.8"/>
    <x v="1"/>
    <x v="1"/>
    <x v="0"/>
    <x v="2"/>
    <x v="2"/>
    <x v="0"/>
    <x v="1"/>
    <n v="20"/>
    <x v="1"/>
  </r>
  <r>
    <s v="750-57-9686"/>
    <n v="45.38"/>
    <n v="4"/>
    <n v="9.0760000000000005"/>
    <n v="190.596"/>
    <d v="2019-01-08T00:00:00"/>
    <d v="1900-01-16T21:08:00"/>
    <s v="Credit card"/>
    <n v="181.52"/>
    <n v="4.7619047620000003"/>
    <n v="8.6999999999999993"/>
    <x v="1"/>
    <x v="0"/>
    <x v="2"/>
    <x v="1"/>
    <x v="1"/>
    <x v="0"/>
    <x v="6"/>
    <n v="21"/>
    <x v="1"/>
  </r>
  <r>
    <s v="186-09-3669"/>
    <n v="81.510000000000005"/>
    <n v="1"/>
    <n v="4.0754999999999999"/>
    <n v="85.585499999999996"/>
    <d v="2019-01-22T00:00:00"/>
    <d v="1900-01-16T22:08:00"/>
    <s v="Ewallet"/>
    <n v="81.510000000000005"/>
    <n v="4.7619047620000003"/>
    <n v="9.1999999999999993"/>
    <x v="0"/>
    <x v="0"/>
    <x v="0"/>
    <x v="1"/>
    <x v="1"/>
    <x v="0"/>
    <x v="6"/>
    <n v="22"/>
    <x v="2"/>
  </r>
  <r>
    <s v="848-07-1692"/>
    <n v="57.22"/>
    <n v="2"/>
    <n v="5.7220000000000004"/>
    <n v="120.16200000000001"/>
    <d v="2019-01-12T00:00:00"/>
    <d v="1900-01-16T23:08:00"/>
    <s v="Ewallet"/>
    <n v="114.44"/>
    <n v="4.7619047620000003"/>
    <n v="8.3000000000000007"/>
    <x v="1"/>
    <x v="0"/>
    <x v="0"/>
    <x v="2"/>
    <x v="2"/>
    <x v="0"/>
    <x v="0"/>
    <n v="23"/>
    <x v="2"/>
  </r>
  <r>
    <s v="745-71-3520"/>
    <n v="25.22"/>
    <n v="7"/>
    <n v="8.827"/>
    <n v="185.36699999999999"/>
    <d v="2019-02-04T00:00:00"/>
    <d v="1900-01-17T00:08:00"/>
    <s v="Cash"/>
    <n v="176.54"/>
    <n v="4.7619047620000003"/>
    <n v="8.1999999999999993"/>
    <x v="0"/>
    <x v="0"/>
    <x v="1"/>
    <x v="0"/>
    <x v="0"/>
    <x v="2"/>
    <x v="3"/>
    <n v="0"/>
    <x v="3"/>
  </r>
  <r>
    <s v="266-76-6436"/>
    <n v="38.6"/>
    <n v="3"/>
    <n v="5.79"/>
    <n v="121.59"/>
    <d v="2019-03-28T00:00:00"/>
    <d v="1900-01-17T01:08:00"/>
    <s v="Ewallet"/>
    <n v="115.8"/>
    <n v="4.7619047620000003"/>
    <n v="7.5"/>
    <x v="0"/>
    <x v="0"/>
    <x v="4"/>
    <x v="1"/>
    <x v="1"/>
    <x v="1"/>
    <x v="4"/>
    <n v="1"/>
    <x v="3"/>
  </r>
  <r>
    <s v="740-22-2500"/>
    <n v="84.05"/>
    <n v="3"/>
    <n v="12.6075"/>
    <n v="264.75749999999999"/>
    <d v="2019-01-23T00:00:00"/>
    <d v="1900-01-17T02:08:00"/>
    <s v="Cash"/>
    <n v="252.15"/>
    <n v="4.7619047620000003"/>
    <n v="9.8000000000000007"/>
    <x v="1"/>
    <x v="0"/>
    <x v="1"/>
    <x v="1"/>
    <x v="1"/>
    <x v="0"/>
    <x v="5"/>
    <n v="2"/>
    <x v="3"/>
  </r>
  <r>
    <s v="271-88-8734"/>
    <n v="97.21"/>
    <n v="10"/>
    <n v="48.604999999999997"/>
    <n v="1020.705"/>
    <d v="2019-02-08T00:00:00"/>
    <d v="1900-01-17T03:08:00"/>
    <s v="Credit card"/>
    <n v="972.1"/>
    <n v="4.7619047620000003"/>
    <n v="8.6999999999999993"/>
    <x v="0"/>
    <x v="0"/>
    <x v="5"/>
    <x v="1"/>
    <x v="1"/>
    <x v="2"/>
    <x v="1"/>
    <n v="3"/>
    <x v="3"/>
  </r>
  <r>
    <s v="301-81-8610"/>
    <n v="25.42"/>
    <n v="8"/>
    <n v="10.167999999999999"/>
    <n v="213.52799999999999"/>
    <d v="2019-03-19T00:00:00"/>
    <d v="1900-01-17T04:08:00"/>
    <s v="Credit card"/>
    <n v="203.36"/>
    <n v="4.7619047620000003"/>
    <n v="6.7"/>
    <x v="0"/>
    <x v="1"/>
    <x v="5"/>
    <x v="2"/>
    <x v="2"/>
    <x v="1"/>
    <x v="6"/>
    <n v="4"/>
    <x v="3"/>
  </r>
  <r>
    <s v="489-64-4354"/>
    <n v="16.28"/>
    <n v="1"/>
    <n v="0.81399999999999995"/>
    <n v="17.094000000000001"/>
    <d v="2019-03-09T00:00:00"/>
    <d v="1900-01-17T05:08:00"/>
    <s v="Cash"/>
    <n v="16.28"/>
    <n v="4.7619047620000003"/>
    <n v="5"/>
    <x v="1"/>
    <x v="1"/>
    <x v="5"/>
    <x v="1"/>
    <x v="1"/>
    <x v="1"/>
    <x v="0"/>
    <n v="5"/>
    <x v="3"/>
  </r>
  <r>
    <s v="198-84-7132"/>
    <n v="40.61"/>
    <n v="9"/>
    <n v="18.2745"/>
    <n v="383.7645"/>
    <d v="2019-01-02T00:00:00"/>
    <d v="1900-01-17T06:08:00"/>
    <s v="Cash"/>
    <n v="365.49"/>
    <n v="4.7619047620000003"/>
    <n v="7"/>
    <x v="0"/>
    <x v="1"/>
    <x v="5"/>
    <x v="2"/>
    <x v="2"/>
    <x v="0"/>
    <x v="5"/>
    <n v="6"/>
    <x v="3"/>
  </r>
  <r>
    <s v="269-10-8440"/>
    <n v="53.17"/>
    <n v="7"/>
    <n v="18.609500000000001"/>
    <n v="390.79950000000002"/>
    <d v="2019-01-21T00:00:00"/>
    <d v="1900-01-17T07:08:00"/>
    <s v="Cash"/>
    <n v="372.19"/>
    <n v="4.7619047620000003"/>
    <n v="8.9"/>
    <x v="0"/>
    <x v="1"/>
    <x v="0"/>
    <x v="0"/>
    <x v="0"/>
    <x v="0"/>
    <x v="3"/>
    <n v="7"/>
    <x v="3"/>
  </r>
  <r>
    <s v="650-98-6268"/>
    <n v="20.87"/>
    <n v="3"/>
    <n v="3.1305000000000001"/>
    <n v="65.740499999999997"/>
    <d v="2019-03-20T00:00:00"/>
    <d v="1900-01-17T08:08:00"/>
    <s v="Credit card"/>
    <n v="62.61"/>
    <n v="4.7619047620000003"/>
    <n v="8"/>
    <x v="0"/>
    <x v="0"/>
    <x v="4"/>
    <x v="2"/>
    <x v="2"/>
    <x v="1"/>
    <x v="5"/>
    <n v="8"/>
    <x v="3"/>
  </r>
  <r>
    <s v="741-73-3559"/>
    <n v="67.27"/>
    <n v="5"/>
    <n v="16.817499999999999"/>
    <n v="353.16750000000002"/>
    <d v="2019-02-27T00:00:00"/>
    <d v="1900-01-17T09:08:00"/>
    <s v="Cash"/>
    <n v="336.35"/>
    <n v="4.7619047620000003"/>
    <n v="6.9"/>
    <x v="1"/>
    <x v="1"/>
    <x v="3"/>
    <x v="2"/>
    <x v="2"/>
    <x v="2"/>
    <x v="5"/>
    <n v="9"/>
    <x v="3"/>
  </r>
  <r>
    <s v="325-77-6186"/>
    <n v="90.65"/>
    <n v="10"/>
    <n v="45.325000000000003"/>
    <n v="951.82500000000005"/>
    <d v="2019-03-08T00:00:00"/>
    <d v="1900-01-17T10:08:00"/>
    <s v="Ewallet"/>
    <n v="906.5"/>
    <n v="4.7619047620000003"/>
    <n v="7.3"/>
    <x v="0"/>
    <x v="0"/>
    <x v="2"/>
    <x v="0"/>
    <x v="0"/>
    <x v="1"/>
    <x v="1"/>
    <n v="10"/>
    <x v="3"/>
  </r>
  <r>
    <s v="286-75-7818"/>
    <n v="69.08"/>
    <n v="2"/>
    <n v="6.9080000000000004"/>
    <n v="145.06800000000001"/>
    <d v="2019-01-31T00:00:00"/>
    <d v="1900-01-17T11:08:00"/>
    <s v="Credit card"/>
    <n v="138.16"/>
    <n v="4.7619047620000003"/>
    <n v="6.9"/>
    <x v="1"/>
    <x v="1"/>
    <x v="5"/>
    <x v="2"/>
    <x v="2"/>
    <x v="0"/>
    <x v="4"/>
    <n v="11"/>
    <x v="3"/>
  </r>
  <r>
    <s v="574-57-9721"/>
    <n v="43.27"/>
    <n v="2"/>
    <n v="4.327"/>
    <n v="90.867000000000004"/>
    <d v="2019-03-08T00:00:00"/>
    <d v="1900-01-17T12:08:00"/>
    <s v="Ewallet"/>
    <n v="86.54"/>
    <n v="4.7619047620000003"/>
    <n v="5.7"/>
    <x v="1"/>
    <x v="1"/>
    <x v="4"/>
    <x v="1"/>
    <x v="1"/>
    <x v="1"/>
    <x v="1"/>
    <n v="12"/>
    <x v="3"/>
  </r>
  <r>
    <s v="459-50-7686"/>
    <n v="23.46"/>
    <n v="6"/>
    <n v="7.0380000000000003"/>
    <n v="147.798"/>
    <d v="2019-01-13T00:00:00"/>
    <d v="1900-01-17T13:08:00"/>
    <s v="Ewallet"/>
    <n v="140.76"/>
    <n v="4.7619047620000003"/>
    <n v="6.4"/>
    <x v="1"/>
    <x v="0"/>
    <x v="1"/>
    <x v="0"/>
    <x v="0"/>
    <x v="0"/>
    <x v="2"/>
    <n v="13"/>
    <x v="0"/>
  </r>
  <r>
    <s v="616-87-0016"/>
    <n v="95.54"/>
    <n v="7"/>
    <n v="33.439"/>
    <n v="702.21900000000005"/>
    <d v="2019-03-09T00:00:00"/>
    <d v="1900-01-17T14:08:00"/>
    <s v="Credit card"/>
    <n v="668.78"/>
    <n v="4.7619047620000003"/>
    <n v="9.6"/>
    <x v="1"/>
    <x v="1"/>
    <x v="5"/>
    <x v="2"/>
    <x v="2"/>
    <x v="1"/>
    <x v="0"/>
    <n v="14"/>
    <x v="0"/>
  </r>
  <r>
    <s v="837-55-7229"/>
    <n v="47.44"/>
    <n v="1"/>
    <n v="2.3719999999999999"/>
    <n v="49.811999999999998"/>
    <d v="2019-02-22T00:00:00"/>
    <d v="1900-01-17T15:08:00"/>
    <s v="Credit card"/>
    <n v="47.44"/>
    <n v="4.7619047620000003"/>
    <n v="6.8"/>
    <x v="1"/>
    <x v="0"/>
    <x v="5"/>
    <x v="2"/>
    <x v="2"/>
    <x v="2"/>
    <x v="1"/>
    <n v="15"/>
    <x v="0"/>
  </r>
  <r>
    <s v="751-69-0068"/>
    <n v="99.24"/>
    <n v="9"/>
    <n v="44.658000000000001"/>
    <n v="937.81799999999998"/>
    <d v="2019-03-19T00:00:00"/>
    <d v="1900-01-17T16:08:00"/>
    <s v="Ewallet"/>
    <n v="893.16"/>
    <n v="4.7619047620000003"/>
    <n v="9"/>
    <x v="1"/>
    <x v="1"/>
    <x v="3"/>
    <x v="1"/>
    <x v="1"/>
    <x v="1"/>
    <x v="6"/>
    <n v="16"/>
    <x v="0"/>
  </r>
  <r>
    <s v="257-73-1380"/>
    <n v="82.93"/>
    <n v="4"/>
    <n v="16.585999999999999"/>
    <n v="348.30599999999998"/>
    <d v="2019-01-20T00:00:00"/>
    <d v="1900-01-17T17:08:00"/>
    <s v="Ewallet"/>
    <n v="331.72"/>
    <n v="4.7619047620000003"/>
    <n v="9.6"/>
    <x v="0"/>
    <x v="1"/>
    <x v="3"/>
    <x v="1"/>
    <x v="1"/>
    <x v="0"/>
    <x v="2"/>
    <n v="17"/>
    <x v="1"/>
  </r>
  <r>
    <s v="345-08-4992"/>
    <n v="33.99"/>
    <n v="6"/>
    <n v="10.196999999999999"/>
    <n v="214.137"/>
    <d v="2019-03-08T00:00:00"/>
    <d v="1900-01-17T18:08:00"/>
    <s v="Credit card"/>
    <n v="203.94"/>
    <n v="4.7619047620000003"/>
    <n v="7.7"/>
    <x v="1"/>
    <x v="1"/>
    <x v="2"/>
    <x v="0"/>
    <x v="0"/>
    <x v="1"/>
    <x v="1"/>
    <n v="18"/>
    <x v="1"/>
  </r>
  <r>
    <s v="549-96-4200"/>
    <n v="17.04"/>
    <n v="4"/>
    <n v="3.4079999999999999"/>
    <n v="71.567999999999998"/>
    <d v="2019-03-08T00:00:00"/>
    <d v="1900-01-17T19:08:00"/>
    <s v="Ewallet"/>
    <n v="68.16"/>
    <n v="4.7619047620000003"/>
    <n v="7"/>
    <x v="0"/>
    <x v="1"/>
    <x v="4"/>
    <x v="1"/>
    <x v="1"/>
    <x v="1"/>
    <x v="1"/>
    <n v="19"/>
    <x v="1"/>
  </r>
  <r>
    <s v="810-60-6344"/>
    <n v="40.86"/>
    <n v="8"/>
    <n v="16.344000000000001"/>
    <n v="343.22399999999999"/>
    <d v="2019-02-07T00:00:00"/>
    <d v="1900-01-17T20:08:00"/>
    <s v="Credit card"/>
    <n v="326.88"/>
    <n v="4.7619047620000003"/>
    <n v="6.5"/>
    <x v="1"/>
    <x v="0"/>
    <x v="1"/>
    <x v="1"/>
    <x v="1"/>
    <x v="2"/>
    <x v="4"/>
    <n v="20"/>
    <x v="1"/>
  </r>
  <r>
    <s v="450-28-2866"/>
    <n v="17.440000000000001"/>
    <n v="5"/>
    <n v="4.3600000000000003"/>
    <n v="91.56"/>
    <d v="2019-01-15T00:00:00"/>
    <d v="1900-01-17T21:08:00"/>
    <s v="Cash"/>
    <n v="87.2"/>
    <n v="4.7619047620000003"/>
    <n v="8.1"/>
    <x v="0"/>
    <x v="1"/>
    <x v="4"/>
    <x v="1"/>
    <x v="1"/>
    <x v="0"/>
    <x v="6"/>
    <n v="21"/>
    <x v="1"/>
  </r>
  <r>
    <s v="394-30-3170"/>
    <n v="88.43"/>
    <n v="8"/>
    <n v="35.372"/>
    <n v="742.81200000000001"/>
    <d v="2019-03-22T00:00:00"/>
    <d v="1900-01-17T22:08:00"/>
    <s v="Credit card"/>
    <n v="707.44"/>
    <n v="4.7619047620000003"/>
    <n v="4.3"/>
    <x v="0"/>
    <x v="0"/>
    <x v="3"/>
    <x v="2"/>
    <x v="2"/>
    <x v="1"/>
    <x v="1"/>
    <n v="22"/>
    <x v="2"/>
  </r>
  <r>
    <s v="138-17-5109"/>
    <n v="89.21"/>
    <n v="9"/>
    <n v="40.144500000000001"/>
    <n v="843.03449999999998"/>
    <d v="2019-01-15T00:00:00"/>
    <d v="1900-01-17T23:08:00"/>
    <s v="Credit card"/>
    <n v="802.89"/>
    <n v="4.7619047620000003"/>
    <n v="6.5"/>
    <x v="0"/>
    <x v="0"/>
    <x v="2"/>
    <x v="0"/>
    <x v="0"/>
    <x v="0"/>
    <x v="6"/>
    <n v="23"/>
    <x v="2"/>
  </r>
  <r>
    <s v="192-98-7397"/>
    <n v="12.78"/>
    <n v="1"/>
    <n v="0.63900000000000001"/>
    <n v="13.419"/>
    <d v="2019-01-08T00:00:00"/>
    <d v="1900-01-18T00:08:00"/>
    <s v="Ewallet"/>
    <n v="12.78"/>
    <n v="4.7619047620000003"/>
    <n v="9.5"/>
    <x v="1"/>
    <x v="1"/>
    <x v="5"/>
    <x v="1"/>
    <x v="1"/>
    <x v="0"/>
    <x v="6"/>
    <n v="0"/>
    <x v="3"/>
  </r>
  <r>
    <s v="301-11-9629"/>
    <n v="19.100000000000001"/>
    <n v="7"/>
    <n v="6.6849999999999996"/>
    <n v="140.38499999999999"/>
    <d v="2019-01-15T00:00:00"/>
    <d v="1900-01-18T01:08:00"/>
    <s v="Cash"/>
    <n v="133.69999999999999"/>
    <n v="4.7619047620000003"/>
    <n v="9.6999999999999993"/>
    <x v="1"/>
    <x v="0"/>
    <x v="3"/>
    <x v="0"/>
    <x v="0"/>
    <x v="0"/>
    <x v="6"/>
    <n v="1"/>
    <x v="3"/>
  </r>
  <r>
    <s v="390-80-5128"/>
    <n v="19.149999999999999"/>
    <n v="1"/>
    <n v="0.95750000000000002"/>
    <n v="20.107500000000002"/>
    <d v="2019-01-28T00:00:00"/>
    <d v="1900-01-18T02:08:00"/>
    <s v="Credit card"/>
    <n v="19.149999999999999"/>
    <n v="4.7619047620000003"/>
    <n v="9.5"/>
    <x v="0"/>
    <x v="0"/>
    <x v="0"/>
    <x v="2"/>
    <x v="2"/>
    <x v="0"/>
    <x v="3"/>
    <n v="2"/>
    <x v="3"/>
  </r>
  <r>
    <s v="235-46-8343"/>
    <n v="27.66"/>
    <n v="10"/>
    <n v="13.83"/>
    <n v="290.43"/>
    <d v="2019-02-14T00:00:00"/>
    <d v="1900-01-18T03:08:00"/>
    <s v="Credit card"/>
    <n v="276.60000000000002"/>
    <n v="4.7619047620000003"/>
    <n v="8.9"/>
    <x v="0"/>
    <x v="1"/>
    <x v="4"/>
    <x v="1"/>
    <x v="1"/>
    <x v="2"/>
    <x v="4"/>
    <n v="3"/>
    <x v="3"/>
  </r>
  <r>
    <s v="453-12-7053"/>
    <n v="45.74"/>
    <n v="3"/>
    <n v="6.8609999999999998"/>
    <n v="144.08099999999999"/>
    <d v="2019-03-10T00:00:00"/>
    <d v="1900-01-18T04:08:00"/>
    <s v="Credit card"/>
    <n v="137.22"/>
    <n v="4.7619047620000003"/>
    <n v="6.5"/>
    <x v="1"/>
    <x v="1"/>
    <x v="5"/>
    <x v="1"/>
    <x v="1"/>
    <x v="1"/>
    <x v="2"/>
    <n v="4"/>
    <x v="3"/>
  </r>
  <r>
    <s v="296-11-7041"/>
    <n v="27.07"/>
    <n v="1"/>
    <n v="1.3534999999999999"/>
    <n v="28.423500000000001"/>
    <d v="2019-01-12T00:00:00"/>
    <d v="1900-01-18T05:08:00"/>
    <s v="Credit card"/>
    <n v="27.07"/>
    <n v="4.7619047620000003"/>
    <n v="5.3"/>
    <x v="0"/>
    <x v="0"/>
    <x v="0"/>
    <x v="2"/>
    <x v="2"/>
    <x v="0"/>
    <x v="0"/>
    <n v="5"/>
    <x v="3"/>
  </r>
  <r>
    <s v="449-27-2918"/>
    <n v="39.119999999999997"/>
    <n v="1"/>
    <n v="1.956"/>
    <n v="41.076000000000001"/>
    <d v="2019-03-26T00:00:00"/>
    <d v="1900-01-18T06:08:00"/>
    <s v="Credit card"/>
    <n v="39.119999999999997"/>
    <n v="4.7619047620000003"/>
    <n v="9.6"/>
    <x v="0"/>
    <x v="0"/>
    <x v="3"/>
    <x v="2"/>
    <x v="2"/>
    <x v="1"/>
    <x v="6"/>
    <n v="6"/>
    <x v="3"/>
  </r>
  <r>
    <s v="891-01-7034"/>
    <n v="74.709999999999994"/>
    <n v="6"/>
    <n v="22.413"/>
    <n v="470.673"/>
    <d v="2019-01-01T00:00:00"/>
    <d v="1900-01-18T07:08:00"/>
    <s v="Cash"/>
    <n v="448.26"/>
    <n v="4.7619047620000003"/>
    <n v="6.7"/>
    <x v="1"/>
    <x v="0"/>
    <x v="1"/>
    <x v="2"/>
    <x v="2"/>
    <x v="0"/>
    <x v="6"/>
    <n v="7"/>
    <x v="3"/>
  </r>
  <r>
    <s v="744-09-5786"/>
    <n v="22.01"/>
    <n v="6"/>
    <n v="6.6029999999999998"/>
    <n v="138.66300000000001"/>
    <d v="2019-01-02T00:00:00"/>
    <d v="1900-01-18T08:08:00"/>
    <s v="Cash"/>
    <n v="132.06"/>
    <n v="4.7619047620000003"/>
    <n v="7.6"/>
    <x v="1"/>
    <x v="1"/>
    <x v="1"/>
    <x v="2"/>
    <x v="2"/>
    <x v="0"/>
    <x v="5"/>
    <n v="8"/>
    <x v="3"/>
  </r>
  <r>
    <s v="727-17-0390"/>
    <n v="63.61"/>
    <n v="5"/>
    <n v="15.9025"/>
    <n v="333.95249999999999"/>
    <d v="2019-03-16T00:00:00"/>
    <d v="1900-01-18T09:08:00"/>
    <s v="Ewallet"/>
    <n v="318.05"/>
    <n v="4.7619047620000003"/>
    <n v="4.8"/>
    <x v="1"/>
    <x v="0"/>
    <x v="4"/>
    <x v="0"/>
    <x v="0"/>
    <x v="1"/>
    <x v="0"/>
    <n v="9"/>
    <x v="3"/>
  </r>
  <r>
    <s v="568-88-3448"/>
    <n v="25"/>
    <n v="1"/>
    <n v="1.25"/>
    <n v="26.25"/>
    <d v="2019-03-03T00:00:00"/>
    <d v="1900-01-18T10:08:00"/>
    <s v="Ewallet"/>
    <n v="25"/>
    <n v="4.7619047620000003"/>
    <n v="5.5"/>
    <x v="1"/>
    <x v="1"/>
    <x v="0"/>
    <x v="0"/>
    <x v="0"/>
    <x v="1"/>
    <x v="2"/>
    <n v="10"/>
    <x v="3"/>
  </r>
  <r>
    <s v="187-83-5490"/>
    <n v="20.77"/>
    <n v="4"/>
    <n v="4.1539999999999999"/>
    <n v="87.233999999999995"/>
    <d v="2019-01-31T00:00:00"/>
    <d v="1900-01-18T11:08:00"/>
    <s v="Cash"/>
    <n v="83.08"/>
    <n v="4.7619047620000003"/>
    <n v="4.7"/>
    <x v="0"/>
    <x v="1"/>
    <x v="1"/>
    <x v="0"/>
    <x v="0"/>
    <x v="0"/>
    <x v="4"/>
    <n v="11"/>
    <x v="3"/>
  </r>
  <r>
    <s v="767-54-1907"/>
    <n v="29.56"/>
    <n v="5"/>
    <n v="7.39"/>
    <n v="155.19"/>
    <d v="2019-02-13T00:00:00"/>
    <d v="1900-01-18T12:08:00"/>
    <s v="Cash"/>
    <n v="147.80000000000001"/>
    <n v="4.7619047620000003"/>
    <n v="6.9"/>
    <x v="0"/>
    <x v="0"/>
    <x v="5"/>
    <x v="2"/>
    <x v="2"/>
    <x v="2"/>
    <x v="5"/>
    <n v="12"/>
    <x v="3"/>
  </r>
  <r>
    <s v="710-46-4433"/>
    <n v="77.400000000000006"/>
    <n v="9"/>
    <n v="34.83"/>
    <n v="731.43"/>
    <d v="2019-02-15T00:00:00"/>
    <d v="1900-01-18T13:08:00"/>
    <s v="Credit card"/>
    <n v="696.6"/>
    <n v="4.7619047620000003"/>
    <n v="4.5"/>
    <x v="0"/>
    <x v="0"/>
    <x v="4"/>
    <x v="2"/>
    <x v="2"/>
    <x v="2"/>
    <x v="1"/>
    <n v="13"/>
    <x v="0"/>
  </r>
  <r>
    <s v="533-33-5337"/>
    <n v="79.39"/>
    <n v="10"/>
    <n v="39.695"/>
    <n v="833.59500000000003"/>
    <d v="2019-02-07T00:00:00"/>
    <d v="1900-01-18T14:08:00"/>
    <s v="Cash"/>
    <n v="793.9"/>
    <n v="4.7619047620000003"/>
    <n v="6.2"/>
    <x v="1"/>
    <x v="1"/>
    <x v="1"/>
    <x v="2"/>
    <x v="2"/>
    <x v="2"/>
    <x v="4"/>
    <n v="14"/>
    <x v="0"/>
  </r>
  <r>
    <s v="325-90-8763"/>
    <n v="46.57"/>
    <n v="10"/>
    <n v="23.285"/>
    <n v="488.98500000000001"/>
    <d v="2019-01-27T00:00:00"/>
    <d v="1900-01-18T15:08:00"/>
    <s v="Cash"/>
    <n v="465.7"/>
    <n v="4.7619047620000003"/>
    <n v="7.6"/>
    <x v="0"/>
    <x v="0"/>
    <x v="1"/>
    <x v="1"/>
    <x v="1"/>
    <x v="0"/>
    <x v="2"/>
    <n v="15"/>
    <x v="0"/>
  </r>
  <r>
    <s v="729-46-7422"/>
    <n v="35.89"/>
    <n v="1"/>
    <n v="1.7945"/>
    <n v="37.6845"/>
    <d v="2019-02-23T00:00:00"/>
    <d v="1900-01-18T16:08:00"/>
    <s v="Credit card"/>
    <n v="35.89"/>
    <n v="4.7619047620000003"/>
    <n v="7.9"/>
    <x v="1"/>
    <x v="1"/>
    <x v="4"/>
    <x v="1"/>
    <x v="1"/>
    <x v="2"/>
    <x v="0"/>
    <n v="16"/>
    <x v="0"/>
  </r>
  <r>
    <s v="639-76-1242"/>
    <n v="40.520000000000003"/>
    <n v="5"/>
    <n v="10.130000000000001"/>
    <n v="212.73"/>
    <d v="2019-02-03T00:00:00"/>
    <d v="1900-01-18T17:08:00"/>
    <s v="Cash"/>
    <n v="202.6"/>
    <n v="4.7619047620000003"/>
    <n v="4.5"/>
    <x v="1"/>
    <x v="1"/>
    <x v="4"/>
    <x v="1"/>
    <x v="1"/>
    <x v="2"/>
    <x v="2"/>
    <n v="17"/>
    <x v="1"/>
  </r>
  <r>
    <s v="234-03-4040"/>
    <n v="73.05"/>
    <n v="10"/>
    <n v="36.524999999999999"/>
    <n v="767.02499999999998"/>
    <d v="2019-03-03T00:00:00"/>
    <d v="1900-01-18T18:08:00"/>
    <s v="Credit card"/>
    <n v="730.5"/>
    <n v="4.7619047620000003"/>
    <n v="8.6999999999999993"/>
    <x v="0"/>
    <x v="0"/>
    <x v="4"/>
    <x v="2"/>
    <x v="2"/>
    <x v="1"/>
    <x v="2"/>
    <n v="18"/>
    <x v="1"/>
  </r>
  <r>
    <s v="326-71-2155"/>
    <n v="73.95"/>
    <n v="4"/>
    <n v="14.79"/>
    <n v="310.58999999999997"/>
    <d v="2019-02-03T00:00:00"/>
    <d v="1900-01-18T19:08:00"/>
    <s v="Cash"/>
    <n v="295.8"/>
    <n v="4.7619047620000003"/>
    <n v="6.1"/>
    <x v="1"/>
    <x v="0"/>
    <x v="3"/>
    <x v="1"/>
    <x v="1"/>
    <x v="2"/>
    <x v="2"/>
    <n v="19"/>
    <x v="1"/>
  </r>
  <r>
    <s v="320-32-8842"/>
    <n v="22.62"/>
    <n v="1"/>
    <n v="1.131"/>
    <n v="23.751000000000001"/>
    <d v="2019-03-17T00:00:00"/>
    <d v="1900-01-18T20:08:00"/>
    <s v="Cash"/>
    <n v="22.62"/>
    <n v="4.7619047620000003"/>
    <n v="6.4"/>
    <x v="0"/>
    <x v="0"/>
    <x v="4"/>
    <x v="1"/>
    <x v="1"/>
    <x v="1"/>
    <x v="2"/>
    <n v="20"/>
    <x v="1"/>
  </r>
  <r>
    <s v="470-32-9057"/>
    <n v="51.34"/>
    <n v="5"/>
    <n v="12.835000000000001"/>
    <n v="269.53500000000003"/>
    <d v="2019-03-28T00:00:00"/>
    <d v="1900-01-18T21:08:00"/>
    <s v="Credit card"/>
    <n v="256.7"/>
    <n v="4.7619047620000003"/>
    <n v="9.1"/>
    <x v="0"/>
    <x v="1"/>
    <x v="4"/>
    <x v="0"/>
    <x v="0"/>
    <x v="1"/>
    <x v="4"/>
    <n v="21"/>
    <x v="1"/>
  </r>
  <r>
    <s v="878-30-2331"/>
    <n v="54.55"/>
    <n v="10"/>
    <n v="27.274999999999999"/>
    <n v="572.77499999999998"/>
    <d v="2019-03-02T00:00:00"/>
    <d v="1900-01-18T22:08:00"/>
    <s v="Credit card"/>
    <n v="545.5"/>
    <n v="4.7619047620000003"/>
    <n v="7.1"/>
    <x v="0"/>
    <x v="0"/>
    <x v="3"/>
    <x v="1"/>
    <x v="1"/>
    <x v="1"/>
    <x v="0"/>
    <n v="22"/>
    <x v="2"/>
  </r>
  <r>
    <s v="440-59-5691"/>
    <n v="37.15"/>
    <n v="7"/>
    <n v="13.0025"/>
    <n v="273.05250000000001"/>
    <d v="2019-02-08T00:00:00"/>
    <d v="1900-01-18T23:08:00"/>
    <s v="Credit card"/>
    <n v="260.05"/>
    <n v="4.7619047620000003"/>
    <n v="7.7"/>
    <x v="0"/>
    <x v="0"/>
    <x v="0"/>
    <x v="1"/>
    <x v="1"/>
    <x v="2"/>
    <x v="1"/>
    <n v="23"/>
    <x v="2"/>
  </r>
  <r>
    <s v="554-53-3790"/>
    <n v="37.020000000000003"/>
    <n v="6"/>
    <n v="11.106"/>
    <n v="233.226"/>
    <d v="2019-03-22T00:00:00"/>
    <d v="1900-01-19T00:08:00"/>
    <s v="Cash"/>
    <n v="222.12"/>
    <n v="4.7619047620000003"/>
    <n v="4.5"/>
    <x v="1"/>
    <x v="1"/>
    <x v="3"/>
    <x v="2"/>
    <x v="2"/>
    <x v="1"/>
    <x v="1"/>
    <n v="0"/>
    <x v="3"/>
  </r>
  <r>
    <s v="746-19-0921"/>
    <n v="21.58"/>
    <n v="1"/>
    <n v="1.079"/>
    <n v="22.658999999999999"/>
    <d v="2019-02-09T00:00:00"/>
    <d v="1900-01-19T01:08:00"/>
    <s v="Ewallet"/>
    <n v="21.58"/>
    <n v="4.7619047620000003"/>
    <n v="7.2"/>
    <x v="1"/>
    <x v="1"/>
    <x v="4"/>
    <x v="1"/>
    <x v="1"/>
    <x v="2"/>
    <x v="0"/>
    <n v="1"/>
    <x v="3"/>
  </r>
  <r>
    <s v="233-34-0817"/>
    <n v="98.84"/>
    <n v="1"/>
    <n v="4.9420000000000002"/>
    <n v="103.782"/>
    <d v="2019-02-15T00:00:00"/>
    <d v="1900-01-19T02:08:00"/>
    <s v="Cash"/>
    <n v="98.84"/>
    <n v="4.7619047620000003"/>
    <n v="8.4"/>
    <x v="0"/>
    <x v="0"/>
    <x v="1"/>
    <x v="1"/>
    <x v="1"/>
    <x v="2"/>
    <x v="1"/>
    <n v="2"/>
    <x v="3"/>
  </r>
  <r>
    <s v="767-05-1286"/>
    <n v="83.77"/>
    <n v="6"/>
    <n v="25.131"/>
    <n v="527.75099999999998"/>
    <d v="2019-01-23T00:00:00"/>
    <d v="1900-01-19T03:08:00"/>
    <s v="Ewallet"/>
    <n v="502.62"/>
    <n v="4.7619047620000003"/>
    <n v="5.4"/>
    <x v="0"/>
    <x v="0"/>
    <x v="2"/>
    <x v="1"/>
    <x v="1"/>
    <x v="0"/>
    <x v="5"/>
    <n v="3"/>
    <x v="3"/>
  </r>
  <r>
    <s v="340-21-9136"/>
    <n v="40.049999999999997"/>
    <n v="4"/>
    <n v="8.01"/>
    <n v="168.21"/>
    <d v="2019-01-25T00:00:00"/>
    <d v="1900-01-19T04:08:00"/>
    <s v="Cash"/>
    <n v="160.19999999999999"/>
    <n v="4.7619047620000003"/>
    <n v="9.6999999999999993"/>
    <x v="0"/>
    <x v="0"/>
    <x v="3"/>
    <x v="0"/>
    <x v="0"/>
    <x v="0"/>
    <x v="1"/>
    <n v="4"/>
    <x v="3"/>
  </r>
  <r>
    <s v="405-31-3305"/>
    <n v="43.13"/>
    <n v="10"/>
    <n v="21.565000000000001"/>
    <n v="452.86500000000001"/>
    <d v="2019-02-02T00:00:00"/>
    <d v="1900-01-19T05:08:00"/>
    <s v="Credit card"/>
    <n v="431.3"/>
    <n v="4.7619047620000003"/>
    <n v="5.5"/>
    <x v="0"/>
    <x v="1"/>
    <x v="5"/>
    <x v="0"/>
    <x v="0"/>
    <x v="2"/>
    <x v="0"/>
    <n v="5"/>
    <x v="3"/>
  </r>
  <r>
    <s v="731-59-7531"/>
    <n v="72.569999999999993"/>
    <n v="8"/>
    <n v="29.027999999999999"/>
    <n v="609.58799999999997"/>
    <d v="2019-03-30T00:00:00"/>
    <d v="1900-01-19T06:08:00"/>
    <s v="Cash"/>
    <n v="580.55999999999995"/>
    <n v="4.7619047620000003"/>
    <n v="4.5999999999999996"/>
    <x v="0"/>
    <x v="1"/>
    <x v="0"/>
    <x v="2"/>
    <x v="2"/>
    <x v="1"/>
    <x v="0"/>
    <n v="6"/>
    <x v="3"/>
  </r>
  <r>
    <s v="676-39-6028"/>
    <n v="64.44"/>
    <n v="5"/>
    <n v="16.11"/>
    <n v="338.31"/>
    <d v="2019-03-30T00:00:00"/>
    <d v="1900-01-19T07:08:00"/>
    <s v="Cash"/>
    <n v="322.2"/>
    <n v="4.7619047620000003"/>
    <n v="6.6"/>
    <x v="0"/>
    <x v="0"/>
    <x v="1"/>
    <x v="0"/>
    <x v="0"/>
    <x v="1"/>
    <x v="0"/>
    <n v="7"/>
    <x v="3"/>
  </r>
  <r>
    <s v="502-05-1910"/>
    <n v="65.180000000000007"/>
    <n v="3"/>
    <n v="9.7769999999999992"/>
    <n v="205.31700000000001"/>
    <d v="2019-02-25T00:00:00"/>
    <d v="1900-01-19T08:08:00"/>
    <s v="Credit card"/>
    <n v="195.54"/>
    <n v="4.7619047620000003"/>
    <n v="6.3"/>
    <x v="1"/>
    <x v="1"/>
    <x v="0"/>
    <x v="0"/>
    <x v="0"/>
    <x v="2"/>
    <x v="3"/>
    <n v="8"/>
    <x v="3"/>
  </r>
  <r>
    <s v="485-30-8700"/>
    <n v="33.26"/>
    <n v="5"/>
    <n v="8.3149999999999995"/>
    <n v="174.61500000000001"/>
    <d v="2019-03-18T00:00:00"/>
    <d v="1900-01-19T09:08:00"/>
    <s v="Credit card"/>
    <n v="166.3"/>
    <n v="4.7619047620000003"/>
    <n v="4.2"/>
    <x v="1"/>
    <x v="0"/>
    <x v="3"/>
    <x v="0"/>
    <x v="0"/>
    <x v="1"/>
    <x v="3"/>
    <n v="9"/>
    <x v="3"/>
  </r>
  <r>
    <s v="598-47-9715"/>
    <n v="84.07"/>
    <n v="4"/>
    <n v="16.814"/>
    <n v="353.09399999999999"/>
    <d v="2019-03-07T00:00:00"/>
    <d v="1900-01-19T10:08:00"/>
    <s v="Ewallet"/>
    <n v="336.28"/>
    <n v="4.7619047620000003"/>
    <n v="4.4000000000000004"/>
    <x v="1"/>
    <x v="1"/>
    <x v="1"/>
    <x v="1"/>
    <x v="1"/>
    <x v="1"/>
    <x v="4"/>
    <n v="10"/>
    <x v="3"/>
  </r>
  <r>
    <s v="701-69-8742"/>
    <n v="34.369999999999997"/>
    <n v="10"/>
    <n v="17.184999999999999"/>
    <n v="360.88499999999999"/>
    <d v="2019-03-16T00:00:00"/>
    <d v="1900-01-19T11:08:00"/>
    <s v="Ewallet"/>
    <n v="343.7"/>
    <n v="4.7619047620000003"/>
    <n v="6.7"/>
    <x v="1"/>
    <x v="1"/>
    <x v="3"/>
    <x v="2"/>
    <x v="2"/>
    <x v="1"/>
    <x v="0"/>
    <n v="11"/>
    <x v="3"/>
  </r>
  <r>
    <s v="575-67-1508"/>
    <n v="38.6"/>
    <n v="1"/>
    <n v="1.93"/>
    <n v="40.53"/>
    <d v="2019-01-29T00:00:00"/>
    <d v="1900-01-19T12:08:00"/>
    <s v="Ewallet"/>
    <n v="38.6"/>
    <n v="4.7619047620000003"/>
    <n v="6.7"/>
    <x v="1"/>
    <x v="1"/>
    <x v="1"/>
    <x v="0"/>
    <x v="0"/>
    <x v="0"/>
    <x v="6"/>
    <n v="12"/>
    <x v="3"/>
  </r>
  <r>
    <s v="541-08-3113"/>
    <n v="65.97"/>
    <n v="8"/>
    <n v="26.388000000000002"/>
    <n v="554.14800000000002"/>
    <d v="2019-02-02T00:00:00"/>
    <d v="1900-01-19T13:08:00"/>
    <s v="Cash"/>
    <n v="527.76"/>
    <n v="4.7619047620000003"/>
    <n v="8.4"/>
    <x v="1"/>
    <x v="1"/>
    <x v="4"/>
    <x v="1"/>
    <x v="1"/>
    <x v="2"/>
    <x v="0"/>
    <n v="13"/>
    <x v="0"/>
  </r>
  <r>
    <s v="246-11-3901"/>
    <n v="32.799999999999997"/>
    <n v="10"/>
    <n v="16.399999999999999"/>
    <n v="344.4"/>
    <d v="2019-02-15T00:00:00"/>
    <d v="1900-01-19T14:08:00"/>
    <s v="Cash"/>
    <n v="328"/>
    <n v="4.7619047620000003"/>
    <n v="6.2"/>
    <x v="1"/>
    <x v="0"/>
    <x v="1"/>
    <x v="1"/>
    <x v="1"/>
    <x v="2"/>
    <x v="1"/>
    <n v="14"/>
    <x v="0"/>
  </r>
  <r>
    <s v="674-15-9296"/>
    <n v="37.14"/>
    <n v="5"/>
    <n v="9.2850000000000001"/>
    <n v="194.98500000000001"/>
    <d v="2019-01-08T00:00:00"/>
    <d v="1900-01-19T15:08:00"/>
    <s v="Ewallet"/>
    <n v="185.7"/>
    <n v="4.7619047620000003"/>
    <n v="5"/>
    <x v="1"/>
    <x v="1"/>
    <x v="3"/>
    <x v="0"/>
    <x v="0"/>
    <x v="0"/>
    <x v="6"/>
    <n v="15"/>
    <x v="0"/>
  </r>
  <r>
    <s v="305-18-3552"/>
    <n v="60.38"/>
    <n v="10"/>
    <n v="30.19"/>
    <n v="633.99"/>
    <d v="2019-02-12T00:00:00"/>
    <d v="1900-01-19T16:08:00"/>
    <s v="Cash"/>
    <n v="603.79999999999995"/>
    <n v="4.7619047620000003"/>
    <n v="6"/>
    <x v="0"/>
    <x v="1"/>
    <x v="2"/>
    <x v="2"/>
    <x v="2"/>
    <x v="2"/>
    <x v="6"/>
    <n v="16"/>
    <x v="0"/>
  </r>
  <r>
    <s v="493-65-6248"/>
    <n v="36.979999999999997"/>
    <n v="10"/>
    <n v="18.489999999999998"/>
    <n v="388.29"/>
    <d v="2019-01-01T00:00:00"/>
    <d v="1900-01-19T17:08:00"/>
    <s v="Credit card"/>
    <n v="369.8"/>
    <n v="4.7619047620000003"/>
    <n v="7"/>
    <x v="0"/>
    <x v="0"/>
    <x v="3"/>
    <x v="1"/>
    <x v="1"/>
    <x v="0"/>
    <x v="6"/>
    <n v="17"/>
    <x v="1"/>
  </r>
  <r>
    <s v="438-01-4015"/>
    <n v="49.49"/>
    <n v="4"/>
    <n v="9.8979999999999997"/>
    <n v="207.858"/>
    <d v="2019-03-21T00:00:00"/>
    <d v="1900-01-19T18:08:00"/>
    <s v="Ewallet"/>
    <n v="197.96"/>
    <n v="4.7619047620000003"/>
    <n v="6.6"/>
    <x v="0"/>
    <x v="0"/>
    <x v="3"/>
    <x v="2"/>
    <x v="2"/>
    <x v="1"/>
    <x v="4"/>
    <n v="18"/>
    <x v="1"/>
  </r>
  <r>
    <s v="709-58-4068"/>
    <n v="41.09"/>
    <n v="10"/>
    <n v="20.545000000000002"/>
    <n v="431.44499999999999"/>
    <d v="2019-02-28T00:00:00"/>
    <d v="1900-01-19T19:08:00"/>
    <s v="Cash"/>
    <n v="410.9"/>
    <n v="4.7619047620000003"/>
    <n v="7.3"/>
    <x v="1"/>
    <x v="0"/>
    <x v="5"/>
    <x v="2"/>
    <x v="2"/>
    <x v="2"/>
    <x v="4"/>
    <n v="19"/>
    <x v="1"/>
  </r>
  <r>
    <s v="795-49-7276"/>
    <n v="37.15"/>
    <n v="4"/>
    <n v="7.43"/>
    <n v="156.03"/>
    <d v="2019-03-23T00:00:00"/>
    <d v="1900-01-19T20:08:00"/>
    <s v="Ewallet"/>
    <n v="148.6"/>
    <n v="4.7619047620000003"/>
    <n v="8.3000000000000007"/>
    <x v="1"/>
    <x v="1"/>
    <x v="5"/>
    <x v="0"/>
    <x v="0"/>
    <x v="1"/>
    <x v="0"/>
    <n v="20"/>
    <x v="1"/>
  </r>
  <r>
    <s v="556-72-8512"/>
    <n v="22.96"/>
    <n v="1"/>
    <n v="1.1479999999999999"/>
    <n v="24.108000000000001"/>
    <d v="2019-01-30T00:00:00"/>
    <d v="1900-01-19T21:08:00"/>
    <s v="Cash"/>
    <n v="22.96"/>
    <n v="4.7619047620000003"/>
    <n v="4.3"/>
    <x v="1"/>
    <x v="1"/>
    <x v="2"/>
    <x v="1"/>
    <x v="1"/>
    <x v="0"/>
    <x v="5"/>
    <n v="21"/>
    <x v="1"/>
  </r>
  <r>
    <s v="627-95-3243"/>
    <n v="77.680000000000007"/>
    <n v="9"/>
    <n v="34.956000000000003"/>
    <n v="734.07600000000002"/>
    <d v="2019-02-04T00:00:00"/>
    <d v="1900-01-19T22:08:00"/>
    <s v="Ewallet"/>
    <n v="699.12"/>
    <n v="4.7619047620000003"/>
    <n v="9.8000000000000007"/>
    <x v="0"/>
    <x v="0"/>
    <x v="2"/>
    <x v="2"/>
    <x v="2"/>
    <x v="2"/>
    <x v="3"/>
    <n v="22"/>
    <x v="2"/>
  </r>
  <r>
    <s v="686-41-0932"/>
    <n v="34.700000000000003"/>
    <n v="2"/>
    <n v="3.47"/>
    <n v="72.87"/>
    <d v="2019-03-13T00:00:00"/>
    <d v="1900-01-19T23:08:00"/>
    <s v="Ewallet"/>
    <n v="69.400000000000006"/>
    <n v="4.7619047620000003"/>
    <n v="8.1999999999999993"/>
    <x v="1"/>
    <x v="0"/>
    <x v="5"/>
    <x v="2"/>
    <x v="2"/>
    <x v="1"/>
    <x v="5"/>
    <n v="23"/>
    <x v="2"/>
  </r>
  <r>
    <s v="510-09-5628"/>
    <n v="19.66"/>
    <n v="10"/>
    <n v="9.83"/>
    <n v="206.43"/>
    <d v="2019-03-15T00:00:00"/>
    <d v="1900-01-20T00:08:00"/>
    <s v="Credit card"/>
    <n v="196.6"/>
    <n v="4.7619047620000003"/>
    <n v="7.2"/>
    <x v="0"/>
    <x v="0"/>
    <x v="5"/>
    <x v="0"/>
    <x v="0"/>
    <x v="1"/>
    <x v="1"/>
    <n v="0"/>
    <x v="3"/>
  </r>
  <r>
    <s v="608-04-3797"/>
    <n v="25.32"/>
    <n v="8"/>
    <n v="10.128"/>
    <n v="212.68799999999999"/>
    <d v="2019-03-05T00:00:00"/>
    <d v="1900-01-20T01:08:00"/>
    <s v="Ewallet"/>
    <n v="202.56"/>
    <n v="4.7619047620000003"/>
    <n v="8.6999999999999993"/>
    <x v="0"/>
    <x v="0"/>
    <x v="0"/>
    <x v="2"/>
    <x v="2"/>
    <x v="1"/>
    <x v="6"/>
    <n v="1"/>
    <x v="3"/>
  </r>
  <r>
    <s v="148-82-2527"/>
    <n v="12.12"/>
    <n v="10"/>
    <n v="6.06"/>
    <n v="127.26"/>
    <d v="2019-03-05T00:00:00"/>
    <d v="1900-01-20T02:08:00"/>
    <s v="Credit card"/>
    <n v="121.2"/>
    <n v="4.7619047620000003"/>
    <n v="8.4"/>
    <x v="0"/>
    <x v="0"/>
    <x v="2"/>
    <x v="1"/>
    <x v="1"/>
    <x v="1"/>
    <x v="6"/>
    <n v="2"/>
    <x v="3"/>
  </r>
  <r>
    <s v="437-53-3084"/>
    <n v="99.89"/>
    <n v="2"/>
    <n v="9.9890000000000008"/>
    <n v="209.76900000000001"/>
    <d v="2019-02-26T00:00:00"/>
    <d v="1900-01-20T03:08:00"/>
    <s v="Ewallet"/>
    <n v="199.78"/>
    <n v="4.7619047620000003"/>
    <n v="7.1"/>
    <x v="1"/>
    <x v="1"/>
    <x v="5"/>
    <x v="2"/>
    <x v="2"/>
    <x v="2"/>
    <x v="6"/>
    <n v="3"/>
    <x v="3"/>
  </r>
  <r>
    <s v="632-32-4574"/>
    <n v="75.92"/>
    <n v="8"/>
    <n v="30.367999999999999"/>
    <n v="637.72799999999995"/>
    <d v="2019-03-20T00:00:00"/>
    <d v="1900-01-20T04:08:00"/>
    <s v="Cash"/>
    <n v="607.36"/>
    <n v="4.7619047620000003"/>
    <n v="5.5"/>
    <x v="1"/>
    <x v="1"/>
    <x v="3"/>
    <x v="2"/>
    <x v="2"/>
    <x v="1"/>
    <x v="5"/>
    <n v="4"/>
    <x v="3"/>
  </r>
  <r>
    <s v="556-97-7101"/>
    <n v="63.22"/>
    <n v="2"/>
    <n v="6.3220000000000001"/>
    <n v="132.762"/>
    <d v="2019-01-01T00:00:00"/>
    <d v="1900-01-20T05:08:00"/>
    <s v="Cash"/>
    <n v="126.44"/>
    <n v="4.7619047620000003"/>
    <n v="8.5"/>
    <x v="1"/>
    <x v="0"/>
    <x v="1"/>
    <x v="1"/>
    <x v="1"/>
    <x v="0"/>
    <x v="6"/>
    <n v="5"/>
    <x v="3"/>
  </r>
  <r>
    <s v="862-59-8517"/>
    <n v="90.24"/>
    <n v="6"/>
    <n v="27.071999999999999"/>
    <n v="568.51199999999994"/>
    <d v="2019-01-27T00:00:00"/>
    <d v="1900-01-20T06:08:00"/>
    <s v="Cash"/>
    <n v="541.44000000000005"/>
    <n v="4.7619047620000003"/>
    <n v="6.2"/>
    <x v="1"/>
    <x v="0"/>
    <x v="4"/>
    <x v="1"/>
    <x v="1"/>
    <x v="0"/>
    <x v="2"/>
    <n v="6"/>
    <x v="3"/>
  </r>
  <r>
    <s v="401-18-8016"/>
    <n v="98.13"/>
    <n v="1"/>
    <n v="4.9065000000000003"/>
    <n v="103.0365"/>
    <d v="2019-01-21T00:00:00"/>
    <d v="1900-01-20T07:08:00"/>
    <s v="Cash"/>
    <n v="98.13"/>
    <n v="4.7619047620000003"/>
    <n v="8.9"/>
    <x v="0"/>
    <x v="0"/>
    <x v="3"/>
    <x v="2"/>
    <x v="2"/>
    <x v="0"/>
    <x v="3"/>
    <n v="7"/>
    <x v="3"/>
  </r>
  <r>
    <s v="420-18-8989"/>
    <n v="51.52"/>
    <n v="8"/>
    <n v="20.608000000000001"/>
    <n v="432.76799999999997"/>
    <d v="2019-02-02T00:00:00"/>
    <d v="1900-01-20T08:08:00"/>
    <s v="Cash"/>
    <n v="412.16"/>
    <n v="4.7619047620000003"/>
    <n v="9.6"/>
    <x v="0"/>
    <x v="0"/>
    <x v="3"/>
    <x v="0"/>
    <x v="0"/>
    <x v="2"/>
    <x v="0"/>
    <n v="8"/>
    <x v="3"/>
  </r>
  <r>
    <s v="277-63-2961"/>
    <n v="73.97"/>
    <n v="1"/>
    <n v="3.6985000000000001"/>
    <n v="77.668499999999995"/>
    <d v="2019-02-03T00:00:00"/>
    <d v="1900-01-20T09:08:00"/>
    <s v="Credit card"/>
    <n v="73.97"/>
    <n v="4.7619047620000003"/>
    <n v="5.4"/>
    <x v="0"/>
    <x v="1"/>
    <x v="3"/>
    <x v="2"/>
    <x v="2"/>
    <x v="2"/>
    <x v="2"/>
    <n v="9"/>
    <x v="3"/>
  </r>
  <r>
    <s v="573-98-8548"/>
    <n v="31.9"/>
    <n v="1"/>
    <n v="1.595"/>
    <n v="33.494999999999997"/>
    <d v="2019-01-05T00:00:00"/>
    <d v="1900-01-20T10:08:00"/>
    <s v="Ewallet"/>
    <n v="31.9"/>
    <n v="4.7619047620000003"/>
    <n v="9.1"/>
    <x v="0"/>
    <x v="0"/>
    <x v="5"/>
    <x v="1"/>
    <x v="1"/>
    <x v="0"/>
    <x v="0"/>
    <n v="10"/>
    <x v="3"/>
  </r>
  <r>
    <s v="620-02-2046"/>
    <n v="69.400000000000006"/>
    <n v="2"/>
    <n v="6.94"/>
    <n v="145.74"/>
    <d v="2019-01-27T00:00:00"/>
    <d v="1900-01-20T11:08:00"/>
    <s v="Ewallet"/>
    <n v="138.80000000000001"/>
    <n v="4.7619047620000003"/>
    <n v="9"/>
    <x v="1"/>
    <x v="1"/>
    <x v="2"/>
    <x v="1"/>
    <x v="1"/>
    <x v="0"/>
    <x v="2"/>
    <n v="11"/>
    <x v="3"/>
  </r>
  <r>
    <s v="282-35-2475"/>
    <n v="93.31"/>
    <n v="2"/>
    <n v="9.3309999999999995"/>
    <n v="195.95099999999999"/>
    <d v="2019-03-25T00:00:00"/>
    <d v="1900-01-20T12:08:00"/>
    <s v="Cash"/>
    <n v="186.62"/>
    <n v="4.7619047620000003"/>
    <n v="6.3"/>
    <x v="1"/>
    <x v="0"/>
    <x v="3"/>
    <x v="2"/>
    <x v="2"/>
    <x v="1"/>
    <x v="3"/>
    <n v="12"/>
    <x v="3"/>
  </r>
  <r>
    <s v="511-54-3087"/>
    <n v="88.45"/>
    <n v="1"/>
    <n v="4.4225000000000003"/>
    <n v="92.872500000000002"/>
    <d v="2019-02-25T00:00:00"/>
    <d v="1900-01-20T13:08:00"/>
    <s v="Credit card"/>
    <n v="88.45"/>
    <n v="4.7619047620000003"/>
    <n v="9.5"/>
    <x v="1"/>
    <x v="1"/>
    <x v="3"/>
    <x v="2"/>
    <x v="2"/>
    <x v="2"/>
    <x v="3"/>
    <n v="13"/>
    <x v="0"/>
  </r>
  <r>
    <s v="726-29-6793"/>
    <n v="24.18"/>
    <n v="8"/>
    <n v="9.6720000000000006"/>
    <n v="203.11199999999999"/>
    <d v="2019-01-28T00:00:00"/>
    <d v="1900-01-20T14:08:00"/>
    <s v="Ewallet"/>
    <n v="193.44"/>
    <n v="4.7619047620000003"/>
    <n v="9.8000000000000007"/>
    <x v="0"/>
    <x v="1"/>
    <x v="1"/>
    <x v="0"/>
    <x v="0"/>
    <x v="0"/>
    <x v="3"/>
    <n v="14"/>
    <x v="0"/>
  </r>
  <r>
    <s v="387-49-4215"/>
    <n v="48.5"/>
    <n v="3"/>
    <n v="7.2750000000000004"/>
    <n v="152.77500000000001"/>
    <d v="2019-01-08T00:00:00"/>
    <d v="1900-01-20T15:08:00"/>
    <s v="Cash"/>
    <n v="145.5"/>
    <n v="4.7619047620000003"/>
    <n v="6.7"/>
    <x v="0"/>
    <x v="0"/>
    <x v="3"/>
    <x v="2"/>
    <x v="2"/>
    <x v="0"/>
    <x v="6"/>
    <n v="15"/>
    <x v="0"/>
  </r>
  <r>
    <s v="862-17-9201"/>
    <n v="84.05"/>
    <n v="6"/>
    <n v="25.215"/>
    <n v="529.51499999999999"/>
    <d v="2019-01-29T00:00:00"/>
    <d v="1900-01-20T16:08:00"/>
    <s v="Credit card"/>
    <n v="504.3"/>
    <n v="4.7619047620000003"/>
    <n v="7.7"/>
    <x v="1"/>
    <x v="0"/>
    <x v="4"/>
    <x v="2"/>
    <x v="2"/>
    <x v="0"/>
    <x v="6"/>
    <n v="16"/>
    <x v="0"/>
  </r>
  <r>
    <s v="291-21-5991"/>
    <n v="61.29"/>
    <n v="5"/>
    <n v="15.3225"/>
    <n v="321.77249999999998"/>
    <d v="2019-03-29T00:00:00"/>
    <d v="1900-01-20T17:08:00"/>
    <s v="Cash"/>
    <n v="306.45"/>
    <n v="4.7619047620000003"/>
    <n v="7"/>
    <x v="0"/>
    <x v="1"/>
    <x v="0"/>
    <x v="2"/>
    <x v="2"/>
    <x v="1"/>
    <x v="1"/>
    <n v="17"/>
    <x v="1"/>
  </r>
  <r>
    <s v="602-80-9671"/>
    <n v="15.95"/>
    <n v="6"/>
    <n v="4.7850000000000001"/>
    <n v="100.485"/>
    <d v="2019-02-09T00:00:00"/>
    <d v="1900-01-20T18:08:00"/>
    <s v="Credit card"/>
    <n v="95.7"/>
    <n v="4.7619047620000003"/>
    <n v="5.0999999999999996"/>
    <x v="0"/>
    <x v="0"/>
    <x v="2"/>
    <x v="1"/>
    <x v="1"/>
    <x v="2"/>
    <x v="0"/>
    <n v="18"/>
    <x v="1"/>
  </r>
  <r>
    <s v="347-72-6115"/>
    <n v="90.74"/>
    <n v="7"/>
    <n v="31.759"/>
    <n v="666.93899999999996"/>
    <d v="2019-01-16T00:00:00"/>
    <d v="1900-01-20T19:08:00"/>
    <s v="Credit card"/>
    <n v="635.17999999999995"/>
    <n v="4.7619047620000003"/>
    <n v="6.2"/>
    <x v="0"/>
    <x v="0"/>
    <x v="3"/>
    <x v="2"/>
    <x v="2"/>
    <x v="0"/>
    <x v="5"/>
    <n v="19"/>
    <x v="1"/>
  </r>
  <r>
    <s v="209-61-0206"/>
    <n v="42.91"/>
    <n v="5"/>
    <n v="10.727499999999999"/>
    <n v="225.2775"/>
    <d v="2019-01-05T00:00:00"/>
    <d v="1900-01-20T20:08:00"/>
    <s v="Ewallet"/>
    <n v="214.55"/>
    <n v="4.7619047620000003"/>
    <n v="6.1"/>
    <x v="1"/>
    <x v="0"/>
    <x v="2"/>
    <x v="0"/>
    <x v="0"/>
    <x v="0"/>
    <x v="0"/>
    <n v="20"/>
    <x v="1"/>
  </r>
  <r>
    <s v="595-27-4851"/>
    <n v="54.28"/>
    <n v="7"/>
    <n v="18.998000000000001"/>
    <n v="398.95800000000003"/>
    <d v="2019-01-27T00:00:00"/>
    <d v="1900-01-20T21:08:00"/>
    <s v="Ewallet"/>
    <n v="379.96"/>
    <n v="4.7619047620000003"/>
    <n v="9.3000000000000007"/>
    <x v="1"/>
    <x v="0"/>
    <x v="5"/>
    <x v="0"/>
    <x v="0"/>
    <x v="0"/>
    <x v="2"/>
    <n v="21"/>
    <x v="1"/>
  </r>
  <r>
    <s v="189-52-0236"/>
    <n v="99.55"/>
    <n v="7"/>
    <n v="34.842500000000001"/>
    <n v="731.6925"/>
    <d v="2019-03-14T00:00:00"/>
    <d v="1900-01-20T22:08:00"/>
    <s v="Cash"/>
    <n v="696.85"/>
    <n v="4.7619047620000003"/>
    <n v="7.6"/>
    <x v="1"/>
    <x v="1"/>
    <x v="1"/>
    <x v="0"/>
    <x v="0"/>
    <x v="1"/>
    <x v="4"/>
    <n v="22"/>
    <x v="2"/>
  </r>
  <r>
    <s v="503-07-0930"/>
    <n v="58.39"/>
    <n v="7"/>
    <n v="20.436499999999999"/>
    <n v="429.16649999999998"/>
    <d v="2019-02-23T00:00:00"/>
    <d v="1900-01-20T23:08:00"/>
    <s v="Credit card"/>
    <n v="408.73"/>
    <n v="4.7619047620000003"/>
    <n v="8.1999999999999993"/>
    <x v="0"/>
    <x v="1"/>
    <x v="3"/>
    <x v="1"/>
    <x v="1"/>
    <x v="2"/>
    <x v="0"/>
    <n v="23"/>
    <x v="2"/>
  </r>
  <r>
    <s v="413-20-6708"/>
    <n v="51.47"/>
    <n v="1"/>
    <n v="2.5735000000000001"/>
    <n v="54.043500000000002"/>
    <d v="2019-03-18T00:00:00"/>
    <d v="1900-01-21T00:08:00"/>
    <s v="Ewallet"/>
    <n v="51.47"/>
    <n v="4.7619047620000003"/>
    <n v="8.5"/>
    <x v="0"/>
    <x v="0"/>
    <x v="5"/>
    <x v="1"/>
    <x v="1"/>
    <x v="1"/>
    <x v="3"/>
    <n v="0"/>
    <x v="3"/>
  </r>
  <r>
    <s v="425-85-2085"/>
    <n v="54.86"/>
    <n v="5"/>
    <n v="13.715"/>
    <n v="288.01499999999999"/>
    <d v="2019-03-29T00:00:00"/>
    <d v="1900-01-21T01:08:00"/>
    <s v="Ewallet"/>
    <n v="274.3"/>
    <n v="4.7619047620000003"/>
    <n v="9.8000000000000007"/>
    <x v="0"/>
    <x v="1"/>
    <x v="0"/>
    <x v="2"/>
    <x v="2"/>
    <x v="1"/>
    <x v="1"/>
    <n v="1"/>
    <x v="3"/>
  </r>
  <r>
    <s v="521-18-7827"/>
    <n v="39.39"/>
    <n v="5"/>
    <n v="9.8475000000000001"/>
    <n v="206.79750000000001"/>
    <d v="2019-01-22T00:00:00"/>
    <d v="1900-01-21T02:08:00"/>
    <s v="Credit card"/>
    <n v="196.95"/>
    <n v="4.7619047620000003"/>
    <n v="8.6999999999999993"/>
    <x v="0"/>
    <x v="1"/>
    <x v="2"/>
    <x v="1"/>
    <x v="1"/>
    <x v="0"/>
    <x v="6"/>
    <n v="2"/>
    <x v="3"/>
  </r>
  <r>
    <s v="220-28-1851"/>
    <n v="34.729999999999997"/>
    <n v="2"/>
    <n v="3.4729999999999999"/>
    <n v="72.933000000000007"/>
    <d v="2019-03-01T00:00:00"/>
    <d v="1900-01-21T03:08:00"/>
    <s v="Ewallet"/>
    <n v="69.459999999999994"/>
    <n v="4.7619047620000003"/>
    <n v="9.6999999999999993"/>
    <x v="1"/>
    <x v="1"/>
    <x v="2"/>
    <x v="0"/>
    <x v="0"/>
    <x v="1"/>
    <x v="1"/>
    <n v="3"/>
    <x v="3"/>
  </r>
  <r>
    <s v="600-38-9738"/>
    <n v="71.92"/>
    <n v="5"/>
    <n v="17.98"/>
    <n v="377.58"/>
    <d v="2019-01-17T00:00:00"/>
    <d v="1900-01-21T04:08:00"/>
    <s v="Credit card"/>
    <n v="359.6"/>
    <n v="4.7619047620000003"/>
    <n v="4.3"/>
    <x v="0"/>
    <x v="1"/>
    <x v="3"/>
    <x v="1"/>
    <x v="1"/>
    <x v="0"/>
    <x v="4"/>
    <n v="4"/>
    <x v="3"/>
  </r>
  <r>
    <s v="734-91-1155"/>
    <n v="45.71"/>
    <n v="3"/>
    <n v="6.8564999999999996"/>
    <n v="143.98650000000001"/>
    <d v="2019-03-26T00:00:00"/>
    <d v="1900-01-21T05:08:00"/>
    <s v="Credit card"/>
    <n v="137.13"/>
    <n v="4.7619047620000003"/>
    <n v="7.7"/>
    <x v="1"/>
    <x v="0"/>
    <x v="1"/>
    <x v="2"/>
    <x v="2"/>
    <x v="1"/>
    <x v="6"/>
    <n v="5"/>
    <x v="3"/>
  </r>
  <r>
    <s v="451-28-5717"/>
    <n v="83.17"/>
    <n v="6"/>
    <n v="24.951000000000001"/>
    <n v="523.971"/>
    <d v="2019-03-20T00:00:00"/>
    <d v="1900-01-21T06:08:00"/>
    <s v="Cash"/>
    <n v="499.02"/>
    <n v="4.7619047620000003"/>
    <n v="7.3"/>
    <x v="0"/>
    <x v="0"/>
    <x v="2"/>
    <x v="1"/>
    <x v="1"/>
    <x v="1"/>
    <x v="5"/>
    <n v="6"/>
    <x v="3"/>
  </r>
  <r>
    <s v="609-81-8548"/>
    <n v="37.44"/>
    <n v="6"/>
    <n v="11.231999999999999"/>
    <n v="235.87200000000001"/>
    <d v="2019-02-06T00:00:00"/>
    <d v="1900-01-21T07:08:00"/>
    <s v="Credit card"/>
    <n v="224.64"/>
    <n v="4.7619047620000003"/>
    <n v="5.9"/>
    <x v="0"/>
    <x v="0"/>
    <x v="2"/>
    <x v="0"/>
    <x v="0"/>
    <x v="2"/>
    <x v="5"/>
    <n v="7"/>
    <x v="3"/>
  </r>
  <r>
    <s v="133-14-7229"/>
    <n v="62.87"/>
    <n v="2"/>
    <n v="6.2869999999999999"/>
    <n v="132.02699999999999"/>
    <d v="2019-01-01T00:00:00"/>
    <d v="1900-01-21T08:08:00"/>
    <s v="Cash"/>
    <n v="125.74"/>
    <n v="4.7619047620000003"/>
    <n v="5"/>
    <x v="1"/>
    <x v="1"/>
    <x v="0"/>
    <x v="1"/>
    <x v="1"/>
    <x v="0"/>
    <x v="6"/>
    <n v="8"/>
    <x v="3"/>
  </r>
  <r>
    <s v="534-01-4457"/>
    <n v="81.709999999999994"/>
    <n v="6"/>
    <n v="24.513000000000002"/>
    <n v="514.77300000000002"/>
    <d v="2019-01-27T00:00:00"/>
    <d v="1900-01-21T09:08:00"/>
    <s v="Credit card"/>
    <n v="490.26"/>
    <n v="4.7619047620000003"/>
    <n v="8"/>
    <x v="1"/>
    <x v="1"/>
    <x v="4"/>
    <x v="0"/>
    <x v="0"/>
    <x v="0"/>
    <x v="2"/>
    <n v="9"/>
    <x v="3"/>
  </r>
  <r>
    <s v="719-89-8991"/>
    <n v="91.41"/>
    <n v="5"/>
    <n v="22.852499999999999"/>
    <n v="479.90249999999997"/>
    <d v="2019-02-25T00:00:00"/>
    <d v="1900-01-21T10:08:00"/>
    <s v="Ewallet"/>
    <n v="457.05"/>
    <n v="4.7619047620000003"/>
    <n v="7.1"/>
    <x v="0"/>
    <x v="0"/>
    <x v="3"/>
    <x v="0"/>
    <x v="0"/>
    <x v="2"/>
    <x v="3"/>
    <n v="10"/>
    <x v="3"/>
  </r>
  <r>
    <s v="286-62-6248"/>
    <n v="39.21"/>
    <n v="4"/>
    <n v="7.8419999999999996"/>
    <n v="164.68199999999999"/>
    <d v="2019-01-16T00:00:00"/>
    <d v="1900-01-21T11:08:00"/>
    <s v="Credit card"/>
    <n v="156.84"/>
    <n v="4.7619047620000003"/>
    <n v="9"/>
    <x v="1"/>
    <x v="1"/>
    <x v="5"/>
    <x v="2"/>
    <x v="2"/>
    <x v="0"/>
    <x v="5"/>
    <n v="11"/>
    <x v="3"/>
  </r>
  <r>
    <s v="339-38-9982"/>
    <n v="59.86"/>
    <n v="2"/>
    <n v="5.9859999999999998"/>
    <n v="125.706"/>
    <d v="2019-01-13T00:00:00"/>
    <d v="1900-01-21T12:08:00"/>
    <s v="Ewallet"/>
    <n v="119.72"/>
    <n v="4.7619047620000003"/>
    <n v="6.7"/>
    <x v="0"/>
    <x v="1"/>
    <x v="5"/>
    <x v="2"/>
    <x v="2"/>
    <x v="0"/>
    <x v="2"/>
    <n v="12"/>
    <x v="3"/>
  </r>
  <r>
    <s v="827-44-5872"/>
    <n v="54.36"/>
    <n v="10"/>
    <n v="27.18"/>
    <n v="570.78"/>
    <d v="2019-02-07T00:00:00"/>
    <d v="1900-01-21T13:08:00"/>
    <s v="Credit card"/>
    <n v="543.6"/>
    <n v="4.7619047620000003"/>
    <n v="6.1"/>
    <x v="0"/>
    <x v="0"/>
    <x v="4"/>
    <x v="2"/>
    <x v="2"/>
    <x v="2"/>
    <x v="4"/>
    <n v="13"/>
    <x v="0"/>
  </r>
  <r>
    <s v="827-77-7633"/>
    <n v="98.09"/>
    <n v="9"/>
    <n v="44.140500000000003"/>
    <n v="926.95050000000003"/>
    <d v="2019-02-17T00:00:00"/>
    <d v="1900-01-21T14:08:00"/>
    <s v="Cash"/>
    <n v="882.81"/>
    <n v="4.7619047620000003"/>
    <n v="9.3000000000000007"/>
    <x v="1"/>
    <x v="1"/>
    <x v="3"/>
    <x v="0"/>
    <x v="0"/>
    <x v="2"/>
    <x v="2"/>
    <n v="14"/>
    <x v="0"/>
  </r>
  <r>
    <s v="287-83-1405"/>
    <n v="25.43"/>
    <n v="6"/>
    <n v="7.6289999999999996"/>
    <n v="160.209"/>
    <d v="2019-02-12T00:00:00"/>
    <d v="1900-01-21T15:08:00"/>
    <s v="Ewallet"/>
    <n v="152.58000000000001"/>
    <n v="4.7619047620000003"/>
    <n v="7"/>
    <x v="1"/>
    <x v="1"/>
    <x v="0"/>
    <x v="0"/>
    <x v="0"/>
    <x v="2"/>
    <x v="6"/>
    <n v="15"/>
    <x v="0"/>
  </r>
  <r>
    <s v="435-13-4908"/>
    <n v="86.68"/>
    <n v="8"/>
    <n v="34.671999999999997"/>
    <n v="728.11199999999997"/>
    <d v="2019-01-24T00:00:00"/>
    <d v="1900-01-21T16:08:00"/>
    <s v="Credit card"/>
    <n v="693.44"/>
    <n v="4.7619047620000003"/>
    <n v="7.2"/>
    <x v="0"/>
    <x v="1"/>
    <x v="5"/>
    <x v="0"/>
    <x v="0"/>
    <x v="0"/>
    <x v="4"/>
    <n v="16"/>
    <x v="0"/>
  </r>
  <r>
    <s v="857-67-9057"/>
    <n v="22.95"/>
    <n v="10"/>
    <n v="11.475"/>
    <n v="240.97499999999999"/>
    <d v="2019-02-06T00:00:00"/>
    <d v="1900-01-21T17:08:00"/>
    <s v="Ewallet"/>
    <n v="229.5"/>
    <n v="4.7619047620000003"/>
    <n v="8.1999999999999993"/>
    <x v="1"/>
    <x v="1"/>
    <x v="1"/>
    <x v="2"/>
    <x v="2"/>
    <x v="2"/>
    <x v="5"/>
    <n v="17"/>
    <x v="1"/>
  </r>
  <r>
    <s v="236-27-1144"/>
    <n v="16.309999999999999"/>
    <n v="9"/>
    <n v="7.3395000000000001"/>
    <n v="154.12950000000001"/>
    <d v="2019-03-26T00:00:00"/>
    <d v="1900-01-21T18:08:00"/>
    <s v="Ewallet"/>
    <n v="146.79"/>
    <n v="4.7619047620000003"/>
    <n v="8.4"/>
    <x v="1"/>
    <x v="0"/>
    <x v="4"/>
    <x v="1"/>
    <x v="1"/>
    <x v="1"/>
    <x v="6"/>
    <n v="18"/>
    <x v="1"/>
  </r>
  <r>
    <s v="892-05-6689"/>
    <n v="28.32"/>
    <n v="5"/>
    <n v="7.08"/>
    <n v="148.68"/>
    <d v="2019-03-11T00:00:00"/>
    <d v="1900-01-21T19:08:00"/>
    <s v="Ewallet"/>
    <n v="141.6"/>
    <n v="4.7619047620000003"/>
    <n v="6.2"/>
    <x v="1"/>
    <x v="0"/>
    <x v="2"/>
    <x v="0"/>
    <x v="0"/>
    <x v="1"/>
    <x v="3"/>
    <n v="19"/>
    <x v="1"/>
  </r>
  <r>
    <s v="583-41-4548"/>
    <n v="16.670000000000002"/>
    <n v="7"/>
    <n v="5.8345000000000002"/>
    <n v="122.5245"/>
    <d v="2019-02-07T00:00:00"/>
    <d v="1900-01-21T20:08:00"/>
    <s v="Ewallet"/>
    <n v="116.69"/>
    <n v="4.7619047620000003"/>
    <n v="7.4"/>
    <x v="1"/>
    <x v="1"/>
    <x v="2"/>
    <x v="1"/>
    <x v="1"/>
    <x v="2"/>
    <x v="4"/>
    <n v="20"/>
    <x v="1"/>
  </r>
  <r>
    <s v="339-12-4827"/>
    <n v="73.959999999999994"/>
    <n v="1"/>
    <n v="3.698"/>
    <n v="77.658000000000001"/>
    <d v="2019-01-05T00:00:00"/>
    <d v="1900-01-21T21:08:00"/>
    <s v="Credit card"/>
    <n v="73.959999999999994"/>
    <n v="4.7619047620000003"/>
    <n v="5"/>
    <x v="0"/>
    <x v="0"/>
    <x v="5"/>
    <x v="2"/>
    <x v="2"/>
    <x v="0"/>
    <x v="0"/>
    <n v="21"/>
    <x v="1"/>
  </r>
  <r>
    <s v="643-38-7867"/>
    <n v="97.94"/>
    <n v="1"/>
    <n v="4.8970000000000002"/>
    <n v="102.837"/>
    <d v="2019-03-07T00:00:00"/>
    <d v="1900-01-21T22:08:00"/>
    <s v="Ewallet"/>
    <n v="97.94"/>
    <n v="4.7619047620000003"/>
    <n v="6.9"/>
    <x v="1"/>
    <x v="1"/>
    <x v="2"/>
    <x v="0"/>
    <x v="0"/>
    <x v="1"/>
    <x v="4"/>
    <n v="22"/>
    <x v="2"/>
  </r>
  <r>
    <s v="308-81-0538"/>
    <n v="73.05"/>
    <n v="4"/>
    <n v="14.61"/>
    <n v="306.81"/>
    <d v="2019-02-25T00:00:00"/>
    <d v="1900-01-21T23:08:00"/>
    <s v="Credit card"/>
    <n v="292.2"/>
    <n v="4.7619047620000003"/>
    <n v="4.9000000000000004"/>
    <x v="1"/>
    <x v="0"/>
    <x v="5"/>
    <x v="0"/>
    <x v="0"/>
    <x v="2"/>
    <x v="3"/>
    <n v="23"/>
    <x v="2"/>
  </r>
  <r>
    <s v="358-88-9262"/>
    <n v="87.48"/>
    <n v="6"/>
    <n v="26.244"/>
    <n v="551.12400000000002"/>
    <d v="2019-02-01T00:00:00"/>
    <d v="1900-01-22T00:08:00"/>
    <s v="Ewallet"/>
    <n v="524.88"/>
    <n v="4.7619047620000003"/>
    <n v="5.0999999999999996"/>
    <x v="0"/>
    <x v="0"/>
    <x v="4"/>
    <x v="1"/>
    <x v="1"/>
    <x v="2"/>
    <x v="1"/>
    <n v="0"/>
    <x v="3"/>
  </r>
  <r>
    <s v="460-35-4390"/>
    <n v="30.68"/>
    <n v="3"/>
    <n v="4.6020000000000003"/>
    <n v="96.641999999999996"/>
    <d v="2019-01-22T00:00:00"/>
    <d v="1900-01-22T01:08:00"/>
    <s v="Ewallet"/>
    <n v="92.04"/>
    <n v="4.7619047620000003"/>
    <n v="9.1"/>
    <x v="1"/>
    <x v="1"/>
    <x v="2"/>
    <x v="0"/>
    <x v="0"/>
    <x v="0"/>
    <x v="6"/>
    <n v="1"/>
    <x v="3"/>
  </r>
  <r>
    <s v="343-87-0864"/>
    <n v="75.88"/>
    <n v="1"/>
    <n v="3.794"/>
    <n v="79.674000000000007"/>
    <d v="2019-01-03T00:00:00"/>
    <d v="1900-01-22T02:08:00"/>
    <s v="Credit card"/>
    <n v="75.88"/>
    <n v="4.7619047620000003"/>
    <n v="7.1"/>
    <x v="0"/>
    <x v="1"/>
    <x v="0"/>
    <x v="1"/>
    <x v="1"/>
    <x v="0"/>
    <x v="4"/>
    <n v="2"/>
    <x v="3"/>
  </r>
  <r>
    <s v="173-50-1108"/>
    <n v="20.18"/>
    <n v="4"/>
    <n v="4.0359999999999996"/>
    <n v="84.756"/>
    <d v="2019-02-13T00:00:00"/>
    <d v="1900-01-22T03:08:00"/>
    <s v="Credit card"/>
    <n v="80.72"/>
    <n v="4.7619047620000003"/>
    <n v="5"/>
    <x v="0"/>
    <x v="0"/>
    <x v="3"/>
    <x v="2"/>
    <x v="2"/>
    <x v="2"/>
    <x v="5"/>
    <n v="3"/>
    <x v="3"/>
  </r>
  <r>
    <s v="243-47-2663"/>
    <n v="18.77"/>
    <n v="6"/>
    <n v="5.6310000000000002"/>
    <n v="118.251"/>
    <d v="2019-01-28T00:00:00"/>
    <d v="1900-01-22T04:08:00"/>
    <s v="Credit card"/>
    <n v="112.62"/>
    <n v="4.7619047620000003"/>
    <n v="5.5"/>
    <x v="0"/>
    <x v="1"/>
    <x v="1"/>
    <x v="1"/>
    <x v="1"/>
    <x v="0"/>
    <x v="3"/>
    <n v="4"/>
    <x v="3"/>
  </r>
  <r>
    <s v="841-18-8232"/>
    <n v="71.2"/>
    <n v="1"/>
    <n v="3.56"/>
    <n v="74.760000000000005"/>
    <d v="2019-01-05T00:00:00"/>
    <d v="1900-01-22T05:08:00"/>
    <s v="Credit card"/>
    <n v="71.2"/>
    <n v="4.7619047620000003"/>
    <n v="9.1999999999999993"/>
    <x v="1"/>
    <x v="0"/>
    <x v="4"/>
    <x v="2"/>
    <x v="2"/>
    <x v="0"/>
    <x v="0"/>
    <n v="5"/>
    <x v="3"/>
  </r>
  <r>
    <s v="701-23-5550"/>
    <n v="38.81"/>
    <n v="4"/>
    <n v="7.7619999999999996"/>
    <n v="163.00200000000001"/>
    <d v="2019-03-19T00:00:00"/>
    <d v="1900-01-22T06:08:00"/>
    <s v="Ewallet"/>
    <n v="155.24"/>
    <n v="4.7619047620000003"/>
    <n v="4.9000000000000004"/>
    <x v="0"/>
    <x v="1"/>
    <x v="2"/>
    <x v="2"/>
    <x v="2"/>
    <x v="1"/>
    <x v="6"/>
    <n v="6"/>
    <x v="3"/>
  </r>
  <r>
    <s v="647-50-1224"/>
    <n v="29.42"/>
    <n v="10"/>
    <n v="14.71"/>
    <n v="308.91000000000003"/>
    <d v="2019-01-12T00:00:00"/>
    <d v="1900-01-22T07:08:00"/>
    <s v="Ewallet"/>
    <n v="294.2"/>
    <n v="4.7619047620000003"/>
    <n v="8.9"/>
    <x v="1"/>
    <x v="0"/>
    <x v="5"/>
    <x v="0"/>
    <x v="0"/>
    <x v="0"/>
    <x v="0"/>
    <n v="7"/>
    <x v="3"/>
  </r>
  <r>
    <s v="541-48-8554"/>
    <n v="60.95"/>
    <n v="9"/>
    <n v="27.427499999999998"/>
    <n v="575.97749999999996"/>
    <d v="2019-01-07T00:00:00"/>
    <d v="1900-01-22T08:08:00"/>
    <s v="Credit card"/>
    <n v="548.54999999999995"/>
    <n v="4.7619047620000003"/>
    <n v="6"/>
    <x v="1"/>
    <x v="1"/>
    <x v="3"/>
    <x v="0"/>
    <x v="0"/>
    <x v="0"/>
    <x v="3"/>
    <n v="8"/>
    <x v="3"/>
  </r>
  <r>
    <s v="539-21-7227"/>
    <n v="51.54"/>
    <n v="5"/>
    <n v="12.885"/>
    <n v="270.58499999999998"/>
    <d v="2019-01-26T00:00:00"/>
    <d v="1900-01-22T09:08:00"/>
    <s v="Cash"/>
    <n v="257.7"/>
    <n v="4.7619047620000003"/>
    <n v="4.2"/>
    <x v="1"/>
    <x v="0"/>
    <x v="3"/>
    <x v="2"/>
    <x v="2"/>
    <x v="0"/>
    <x v="0"/>
    <n v="9"/>
    <x v="3"/>
  </r>
  <r>
    <s v="213-32-1216"/>
    <n v="66.06"/>
    <n v="6"/>
    <n v="19.818000000000001"/>
    <n v="416.178"/>
    <d v="2019-01-23T00:00:00"/>
    <d v="1900-01-22T10:08:00"/>
    <s v="Cash"/>
    <n v="396.36"/>
    <n v="4.7619047620000003"/>
    <n v="7.3"/>
    <x v="1"/>
    <x v="0"/>
    <x v="1"/>
    <x v="0"/>
    <x v="0"/>
    <x v="0"/>
    <x v="5"/>
    <n v="10"/>
    <x v="3"/>
  </r>
  <r>
    <s v="747-58-7183"/>
    <n v="57.27"/>
    <n v="3"/>
    <n v="8.5905000000000005"/>
    <n v="180.40049999999999"/>
    <d v="2019-02-09T00:00:00"/>
    <d v="1900-01-22T11:08:00"/>
    <s v="Ewallet"/>
    <n v="171.81"/>
    <n v="4.7619047620000003"/>
    <n v="6.5"/>
    <x v="1"/>
    <x v="1"/>
    <x v="5"/>
    <x v="2"/>
    <x v="2"/>
    <x v="2"/>
    <x v="0"/>
    <n v="11"/>
    <x v="3"/>
  </r>
  <r>
    <s v="582-52-8065"/>
    <n v="54.31"/>
    <n v="9"/>
    <n v="24.439499999999999"/>
    <n v="513.22950000000003"/>
    <d v="2019-02-22T00:00:00"/>
    <d v="1900-01-22T12:08:00"/>
    <s v="Cash"/>
    <n v="488.79"/>
    <n v="4.7619047620000003"/>
    <n v="8.9"/>
    <x v="1"/>
    <x v="0"/>
    <x v="5"/>
    <x v="2"/>
    <x v="2"/>
    <x v="2"/>
    <x v="1"/>
    <n v="12"/>
    <x v="3"/>
  </r>
  <r>
    <s v="210-57-1719"/>
    <n v="58.24"/>
    <n v="9"/>
    <n v="26.207999999999998"/>
    <n v="550.36800000000005"/>
    <d v="2019-02-05T00:00:00"/>
    <d v="1900-01-22T13:08:00"/>
    <s v="Cash"/>
    <n v="524.16"/>
    <n v="4.7619047620000003"/>
    <n v="9.6999999999999993"/>
    <x v="1"/>
    <x v="0"/>
    <x v="0"/>
    <x v="2"/>
    <x v="2"/>
    <x v="2"/>
    <x v="6"/>
    <n v="13"/>
    <x v="0"/>
  </r>
  <r>
    <s v="399-69-4630"/>
    <n v="22.21"/>
    <n v="6"/>
    <n v="6.6630000000000003"/>
    <n v="139.923"/>
    <d v="2019-03-07T00:00:00"/>
    <d v="1900-01-22T14:08:00"/>
    <s v="Credit card"/>
    <n v="133.26"/>
    <n v="4.7619047620000003"/>
    <n v="8.6"/>
    <x v="1"/>
    <x v="1"/>
    <x v="1"/>
    <x v="1"/>
    <x v="1"/>
    <x v="1"/>
    <x v="4"/>
    <n v="14"/>
    <x v="0"/>
  </r>
  <r>
    <s v="134-75-2619"/>
    <n v="19.32"/>
    <n v="7"/>
    <n v="6.7619999999999996"/>
    <n v="142.00200000000001"/>
    <d v="2019-03-25T00:00:00"/>
    <d v="1900-01-22T15:08:00"/>
    <s v="Cash"/>
    <n v="135.24"/>
    <n v="4.7619047620000003"/>
    <n v="6.9"/>
    <x v="0"/>
    <x v="1"/>
    <x v="1"/>
    <x v="0"/>
    <x v="0"/>
    <x v="1"/>
    <x v="3"/>
    <n v="15"/>
    <x v="0"/>
  </r>
  <r>
    <s v="356-44-8813"/>
    <n v="37.479999999999997"/>
    <n v="3"/>
    <n v="5.6219999999999999"/>
    <n v="118.062"/>
    <d v="2019-01-20T00:00:00"/>
    <d v="1900-01-22T16:08:00"/>
    <s v="Credit card"/>
    <n v="112.44"/>
    <n v="4.7619047620000003"/>
    <n v="7.7"/>
    <x v="1"/>
    <x v="1"/>
    <x v="2"/>
    <x v="2"/>
    <x v="2"/>
    <x v="0"/>
    <x v="2"/>
    <n v="16"/>
    <x v="0"/>
  </r>
  <r>
    <s v="198-66-9832"/>
    <n v="72.040000000000006"/>
    <n v="2"/>
    <n v="7.2039999999999997"/>
    <n v="151.28399999999999"/>
    <d v="2019-02-04T00:00:00"/>
    <d v="1900-01-22T17:08:00"/>
    <s v="Cash"/>
    <n v="144.08000000000001"/>
    <n v="4.7619047620000003"/>
    <n v="9.5"/>
    <x v="0"/>
    <x v="0"/>
    <x v="5"/>
    <x v="2"/>
    <x v="2"/>
    <x v="2"/>
    <x v="3"/>
    <n v="17"/>
    <x v="1"/>
  </r>
  <r>
    <s v="283-26-5248"/>
    <n v="98.52"/>
    <n v="10"/>
    <n v="49.26"/>
    <n v="1034.46"/>
    <d v="2019-01-30T00:00:00"/>
    <d v="1900-01-22T18:08:00"/>
    <s v="Ewallet"/>
    <n v="985.2"/>
    <n v="4.7619047620000003"/>
    <n v="4.5"/>
    <x v="0"/>
    <x v="0"/>
    <x v="4"/>
    <x v="1"/>
    <x v="1"/>
    <x v="0"/>
    <x v="5"/>
    <n v="18"/>
    <x v="1"/>
  </r>
  <r>
    <s v="712-39-0363"/>
    <n v="41.66"/>
    <n v="6"/>
    <n v="12.497999999999999"/>
    <n v="262.45800000000003"/>
    <d v="2019-01-02T00:00:00"/>
    <d v="1900-01-22T19:08:00"/>
    <s v="Ewallet"/>
    <n v="249.96"/>
    <n v="4.7619047620000003"/>
    <n v="5.6"/>
    <x v="0"/>
    <x v="1"/>
    <x v="4"/>
    <x v="0"/>
    <x v="0"/>
    <x v="0"/>
    <x v="5"/>
    <n v="19"/>
    <x v="1"/>
  </r>
  <r>
    <s v="218-59-9410"/>
    <n v="72.42"/>
    <n v="3"/>
    <n v="10.863"/>
    <n v="228.12299999999999"/>
    <d v="2019-03-29T00:00:00"/>
    <d v="1900-01-22T20:08:00"/>
    <s v="Ewallet"/>
    <n v="217.26"/>
    <n v="4.7619047620000003"/>
    <n v="8.1999999999999993"/>
    <x v="0"/>
    <x v="0"/>
    <x v="2"/>
    <x v="0"/>
    <x v="0"/>
    <x v="1"/>
    <x v="1"/>
    <n v="20"/>
    <x v="1"/>
  </r>
  <r>
    <s v="174-75-0888"/>
    <n v="21.58"/>
    <n v="9"/>
    <n v="9.7110000000000003"/>
    <n v="203.93100000000001"/>
    <d v="2019-03-14T00:00:00"/>
    <d v="1900-01-22T21:08:00"/>
    <s v="Cash"/>
    <n v="194.22"/>
    <n v="4.7619047620000003"/>
    <n v="7.3"/>
    <x v="1"/>
    <x v="1"/>
    <x v="1"/>
    <x v="2"/>
    <x v="2"/>
    <x v="1"/>
    <x v="4"/>
    <n v="21"/>
    <x v="1"/>
  </r>
  <r>
    <s v="866-99-7614"/>
    <n v="89.2"/>
    <n v="10"/>
    <n v="44.6"/>
    <n v="936.6"/>
    <d v="2019-02-11T00:00:00"/>
    <d v="1900-01-22T22:08:00"/>
    <s v="Credit card"/>
    <n v="892"/>
    <n v="4.7619047620000003"/>
    <n v="4.4000000000000004"/>
    <x v="1"/>
    <x v="1"/>
    <x v="4"/>
    <x v="1"/>
    <x v="1"/>
    <x v="2"/>
    <x v="3"/>
    <n v="22"/>
    <x v="2"/>
  </r>
  <r>
    <s v="134-54-4720"/>
    <n v="42.42"/>
    <n v="8"/>
    <n v="16.968"/>
    <n v="356.32799999999997"/>
    <d v="2019-01-30T00:00:00"/>
    <d v="1900-01-22T23:08:00"/>
    <s v="Ewallet"/>
    <n v="339.36"/>
    <n v="4.7619047620000003"/>
    <n v="5.7"/>
    <x v="1"/>
    <x v="0"/>
    <x v="1"/>
    <x v="2"/>
    <x v="2"/>
    <x v="0"/>
    <x v="5"/>
    <n v="23"/>
    <x v="2"/>
  </r>
  <r>
    <s v="760-90-2357"/>
    <n v="74.510000000000005"/>
    <n v="6"/>
    <n v="22.353000000000002"/>
    <n v="469.41300000000001"/>
    <d v="2019-03-20T00:00:00"/>
    <d v="1900-01-23T00:08:00"/>
    <s v="Ewallet"/>
    <n v="447.06"/>
    <n v="4.7619047620000003"/>
    <n v="5"/>
    <x v="0"/>
    <x v="1"/>
    <x v="1"/>
    <x v="0"/>
    <x v="0"/>
    <x v="1"/>
    <x v="5"/>
    <n v="0"/>
    <x v="3"/>
  </r>
  <r>
    <s v="514-37-2845"/>
    <n v="99.25"/>
    <n v="2"/>
    <n v="9.9250000000000007"/>
    <n v="208.42500000000001"/>
    <d v="2019-03-20T00:00:00"/>
    <d v="1900-01-23T01:08:00"/>
    <s v="Cash"/>
    <n v="198.5"/>
    <n v="4.7619047620000003"/>
    <n v="9"/>
    <x v="1"/>
    <x v="1"/>
    <x v="5"/>
    <x v="2"/>
    <x v="2"/>
    <x v="1"/>
    <x v="5"/>
    <n v="1"/>
    <x v="3"/>
  </r>
  <r>
    <s v="698-98-5964"/>
    <n v="81.209999999999994"/>
    <n v="10"/>
    <n v="40.604999999999997"/>
    <n v="852.70500000000004"/>
    <d v="2019-01-17T00:00:00"/>
    <d v="1900-01-23T02:08:00"/>
    <s v="Credit card"/>
    <n v="812.1"/>
    <n v="4.7619047620000003"/>
    <n v="6.3"/>
    <x v="1"/>
    <x v="0"/>
    <x v="4"/>
    <x v="0"/>
    <x v="0"/>
    <x v="0"/>
    <x v="4"/>
    <n v="2"/>
    <x v="3"/>
  </r>
  <r>
    <s v="718-57-9773"/>
    <n v="49.33"/>
    <n v="10"/>
    <n v="24.664999999999999"/>
    <n v="517.96500000000003"/>
    <d v="2019-02-03T00:00:00"/>
    <d v="1900-01-23T03:08:00"/>
    <s v="Credit card"/>
    <n v="493.3"/>
    <n v="4.7619047620000003"/>
    <n v="9.4"/>
    <x v="1"/>
    <x v="0"/>
    <x v="3"/>
    <x v="1"/>
    <x v="1"/>
    <x v="2"/>
    <x v="2"/>
    <n v="3"/>
    <x v="3"/>
  </r>
  <r>
    <s v="651-88-7328"/>
    <n v="65.739999999999995"/>
    <n v="9"/>
    <n v="29.582999999999998"/>
    <n v="621.24300000000005"/>
    <d v="2019-01-01T00:00:00"/>
    <d v="1900-01-23T04:08:00"/>
    <s v="Cash"/>
    <n v="591.66"/>
    <n v="4.7619047620000003"/>
    <n v="7.7"/>
    <x v="1"/>
    <x v="0"/>
    <x v="5"/>
    <x v="0"/>
    <x v="0"/>
    <x v="0"/>
    <x v="6"/>
    <n v="4"/>
    <x v="3"/>
  </r>
  <r>
    <s v="241-11-2261"/>
    <n v="79.86"/>
    <n v="7"/>
    <n v="27.951000000000001"/>
    <n v="586.971"/>
    <d v="2019-01-10T00:00:00"/>
    <d v="1900-01-23T05:08:00"/>
    <s v="Credit card"/>
    <n v="559.02"/>
    <n v="4.7619047620000003"/>
    <n v="5.5"/>
    <x v="1"/>
    <x v="0"/>
    <x v="5"/>
    <x v="2"/>
    <x v="2"/>
    <x v="0"/>
    <x v="4"/>
    <n v="5"/>
    <x v="3"/>
  </r>
  <r>
    <s v="408-26-9866"/>
    <n v="73.98"/>
    <n v="7"/>
    <n v="25.893000000000001"/>
    <n v="543.75300000000004"/>
    <d v="2019-03-02T00:00:00"/>
    <d v="1900-01-23T06:08:00"/>
    <s v="Ewallet"/>
    <n v="517.86"/>
    <n v="4.7619047620000003"/>
    <n v="4.0999999999999996"/>
    <x v="1"/>
    <x v="0"/>
    <x v="3"/>
    <x v="1"/>
    <x v="1"/>
    <x v="1"/>
    <x v="0"/>
    <n v="6"/>
    <x v="3"/>
  </r>
  <r>
    <s v="834-83-1826"/>
    <n v="82.04"/>
    <n v="5"/>
    <n v="20.51"/>
    <n v="430.71"/>
    <d v="2019-02-25T00:00:00"/>
    <d v="1900-01-23T07:08:00"/>
    <s v="Credit card"/>
    <n v="410.2"/>
    <n v="4.7619047620000003"/>
    <n v="7.6"/>
    <x v="0"/>
    <x v="0"/>
    <x v="2"/>
    <x v="2"/>
    <x v="2"/>
    <x v="2"/>
    <x v="3"/>
    <n v="7"/>
    <x v="3"/>
  </r>
  <r>
    <s v="343-61-3544"/>
    <n v="26.67"/>
    <n v="10"/>
    <n v="13.335000000000001"/>
    <n v="280.03500000000003"/>
    <d v="2019-01-29T00:00:00"/>
    <d v="1900-01-23T08:08:00"/>
    <s v="Cash"/>
    <n v="266.7"/>
    <n v="4.7619047620000003"/>
    <n v="8.6"/>
    <x v="0"/>
    <x v="1"/>
    <x v="3"/>
    <x v="2"/>
    <x v="2"/>
    <x v="0"/>
    <x v="6"/>
    <n v="8"/>
    <x v="3"/>
  </r>
  <r>
    <s v="239-48-4278"/>
    <n v="10.130000000000001"/>
    <n v="7"/>
    <n v="3.5455000000000001"/>
    <n v="74.455500000000001"/>
    <d v="2019-03-10T00:00:00"/>
    <d v="1900-01-23T09:08:00"/>
    <s v="Ewallet"/>
    <n v="70.91"/>
    <n v="4.7619047620000003"/>
    <n v="8.3000000000000007"/>
    <x v="0"/>
    <x v="1"/>
    <x v="4"/>
    <x v="0"/>
    <x v="0"/>
    <x v="1"/>
    <x v="2"/>
    <n v="9"/>
    <x v="3"/>
  </r>
  <r>
    <s v="355-34-6244"/>
    <n v="72.39"/>
    <n v="2"/>
    <n v="7.2389999999999999"/>
    <n v="152.01900000000001"/>
    <d v="2019-01-13T00:00:00"/>
    <d v="1900-01-23T10:08:00"/>
    <s v="Credit card"/>
    <n v="144.78"/>
    <n v="4.7619047620000003"/>
    <n v="8.1"/>
    <x v="1"/>
    <x v="1"/>
    <x v="4"/>
    <x v="2"/>
    <x v="2"/>
    <x v="0"/>
    <x v="2"/>
    <n v="10"/>
    <x v="3"/>
  </r>
  <r>
    <s v="550-84-8664"/>
    <n v="85.91"/>
    <n v="5"/>
    <n v="21.477499999999999"/>
    <n v="451.02749999999997"/>
    <d v="2019-03-22T00:00:00"/>
    <d v="1900-01-23T11:08:00"/>
    <s v="Credit card"/>
    <n v="429.55"/>
    <n v="4.7619047620000003"/>
    <n v="8.6"/>
    <x v="1"/>
    <x v="1"/>
    <x v="3"/>
    <x v="0"/>
    <x v="0"/>
    <x v="1"/>
    <x v="1"/>
    <n v="11"/>
    <x v="3"/>
  </r>
  <r>
    <s v="339-96-8318"/>
    <n v="81.31"/>
    <n v="7"/>
    <n v="28.458500000000001"/>
    <n v="597.62850000000003"/>
    <d v="2019-03-01T00:00:00"/>
    <d v="1900-01-23T12:08:00"/>
    <s v="Ewallet"/>
    <n v="569.16999999999996"/>
    <n v="4.7619047620000003"/>
    <n v="6.3"/>
    <x v="0"/>
    <x v="1"/>
    <x v="5"/>
    <x v="2"/>
    <x v="2"/>
    <x v="1"/>
    <x v="1"/>
    <n v="12"/>
    <x v="3"/>
  </r>
  <r>
    <s v="458-61-0011"/>
    <n v="60.3"/>
    <n v="4"/>
    <n v="12.06"/>
    <n v="253.26"/>
    <d v="2019-02-20T00:00:00"/>
    <d v="1900-01-23T13:08:00"/>
    <s v="Cash"/>
    <n v="241.2"/>
    <n v="4.7619047620000003"/>
    <n v="5.8"/>
    <x v="1"/>
    <x v="1"/>
    <x v="4"/>
    <x v="2"/>
    <x v="2"/>
    <x v="2"/>
    <x v="5"/>
    <n v="13"/>
    <x v="0"/>
  </r>
  <r>
    <s v="592-34-6155"/>
    <n v="31.77"/>
    <n v="4"/>
    <n v="6.3540000000000001"/>
    <n v="133.434"/>
    <d v="2019-01-14T00:00:00"/>
    <d v="1900-01-23T14:08:00"/>
    <s v="Ewallet"/>
    <n v="127.08"/>
    <n v="4.7619047620000003"/>
    <n v="6.2"/>
    <x v="1"/>
    <x v="1"/>
    <x v="4"/>
    <x v="1"/>
    <x v="1"/>
    <x v="0"/>
    <x v="3"/>
    <n v="14"/>
    <x v="0"/>
  </r>
  <r>
    <s v="797-88-0493"/>
    <n v="64.27"/>
    <n v="4"/>
    <n v="12.853999999999999"/>
    <n v="269.93400000000003"/>
    <d v="2019-03-26T00:00:00"/>
    <d v="1900-01-23T15:08:00"/>
    <s v="Cash"/>
    <n v="257.08"/>
    <n v="4.7619047620000003"/>
    <n v="7.7"/>
    <x v="1"/>
    <x v="0"/>
    <x v="0"/>
    <x v="0"/>
    <x v="0"/>
    <x v="1"/>
    <x v="6"/>
    <n v="15"/>
    <x v="0"/>
  </r>
  <r>
    <s v="207-73-1363"/>
    <n v="69.510000000000005"/>
    <n v="2"/>
    <n v="6.9509999999999996"/>
    <n v="145.971"/>
    <d v="2019-03-01T00:00:00"/>
    <d v="1900-01-23T16:08:00"/>
    <s v="Ewallet"/>
    <n v="139.02000000000001"/>
    <n v="4.7619047620000003"/>
    <n v="8.1"/>
    <x v="1"/>
    <x v="1"/>
    <x v="0"/>
    <x v="2"/>
    <x v="2"/>
    <x v="1"/>
    <x v="1"/>
    <n v="16"/>
    <x v="0"/>
  </r>
  <r>
    <s v="390-31-6381"/>
    <n v="27.22"/>
    <n v="3"/>
    <n v="4.0830000000000002"/>
    <n v="85.742999999999995"/>
    <d v="2019-01-07T00:00:00"/>
    <d v="1900-01-23T17:08:00"/>
    <s v="Cash"/>
    <n v="81.66"/>
    <n v="4.7619047620000003"/>
    <n v="7.3"/>
    <x v="1"/>
    <x v="1"/>
    <x v="4"/>
    <x v="1"/>
    <x v="1"/>
    <x v="0"/>
    <x v="3"/>
    <n v="17"/>
    <x v="1"/>
  </r>
  <r>
    <s v="443-82-0585"/>
    <n v="77.680000000000007"/>
    <n v="4"/>
    <n v="15.536"/>
    <n v="326.25599999999997"/>
    <d v="2019-02-01T00:00:00"/>
    <d v="1900-01-23T18:08:00"/>
    <s v="Cash"/>
    <n v="310.72000000000003"/>
    <n v="4.7619047620000003"/>
    <n v="8.4"/>
    <x v="0"/>
    <x v="0"/>
    <x v="0"/>
    <x v="0"/>
    <x v="0"/>
    <x v="2"/>
    <x v="1"/>
    <n v="18"/>
    <x v="1"/>
  </r>
  <r>
    <s v="339-18-7061"/>
    <n v="92.98"/>
    <n v="2"/>
    <n v="9.298"/>
    <n v="195.25800000000001"/>
    <d v="2019-02-13T00:00:00"/>
    <d v="1900-01-23T19:08:00"/>
    <s v="Credit card"/>
    <n v="185.96"/>
    <n v="4.7619047620000003"/>
    <n v="8"/>
    <x v="0"/>
    <x v="0"/>
    <x v="5"/>
    <x v="1"/>
    <x v="1"/>
    <x v="2"/>
    <x v="5"/>
    <n v="19"/>
    <x v="1"/>
  </r>
  <r>
    <s v="359-90-3665"/>
    <n v="18.079999999999998"/>
    <n v="4"/>
    <n v="3.6160000000000001"/>
    <n v="75.936000000000007"/>
    <d v="2019-01-14T00:00:00"/>
    <d v="1900-01-23T20:08:00"/>
    <s v="Credit card"/>
    <n v="72.319999999999993"/>
    <n v="4.7619047620000003"/>
    <n v="9.5"/>
    <x v="0"/>
    <x v="0"/>
    <x v="5"/>
    <x v="2"/>
    <x v="2"/>
    <x v="0"/>
    <x v="3"/>
    <n v="20"/>
    <x v="1"/>
  </r>
  <r>
    <s v="375-72-3056"/>
    <n v="63.06"/>
    <n v="3"/>
    <n v="9.4589999999999996"/>
    <n v="198.63900000000001"/>
    <d v="2019-01-19T00:00:00"/>
    <d v="1900-01-23T21:08:00"/>
    <s v="Ewallet"/>
    <n v="189.18"/>
    <n v="4.7619047620000003"/>
    <n v="7"/>
    <x v="1"/>
    <x v="1"/>
    <x v="3"/>
    <x v="2"/>
    <x v="2"/>
    <x v="0"/>
    <x v="0"/>
    <n v="21"/>
    <x v="1"/>
  </r>
  <r>
    <s v="127-47-6963"/>
    <n v="51.71"/>
    <n v="4"/>
    <n v="10.342000000000001"/>
    <n v="217.18199999999999"/>
    <d v="2019-03-09T00:00:00"/>
    <d v="1900-01-23T22:08:00"/>
    <s v="Credit card"/>
    <n v="206.84"/>
    <n v="4.7619047620000003"/>
    <n v="9.8000000000000007"/>
    <x v="1"/>
    <x v="1"/>
    <x v="0"/>
    <x v="0"/>
    <x v="0"/>
    <x v="1"/>
    <x v="0"/>
    <n v="22"/>
    <x v="2"/>
  </r>
  <r>
    <s v="278-86-2735"/>
    <n v="52.34"/>
    <n v="3"/>
    <n v="7.851"/>
    <n v="164.87100000000001"/>
    <d v="2019-03-27T00:00:00"/>
    <d v="1900-01-23T23:08:00"/>
    <s v="Cash"/>
    <n v="157.02000000000001"/>
    <n v="4.7619047620000003"/>
    <n v="9.1999999999999993"/>
    <x v="1"/>
    <x v="0"/>
    <x v="4"/>
    <x v="0"/>
    <x v="0"/>
    <x v="1"/>
    <x v="5"/>
    <n v="23"/>
    <x v="2"/>
  </r>
  <r>
    <s v="695-28-6250"/>
    <n v="43.06"/>
    <n v="5"/>
    <n v="10.765000000000001"/>
    <n v="226.065"/>
    <d v="2019-02-04T00:00:00"/>
    <d v="1900-01-24T00:08:00"/>
    <s v="Ewallet"/>
    <n v="215.3"/>
    <n v="4.7619047620000003"/>
    <n v="7.7"/>
    <x v="1"/>
    <x v="0"/>
    <x v="3"/>
    <x v="0"/>
    <x v="0"/>
    <x v="2"/>
    <x v="3"/>
    <n v="0"/>
    <x v="3"/>
  </r>
  <r>
    <s v="379-17-6588"/>
    <n v="59.61"/>
    <n v="10"/>
    <n v="29.805"/>
    <n v="625.90499999999997"/>
    <d v="2019-03-14T00:00:00"/>
    <d v="1900-01-24T01:08:00"/>
    <s v="Cash"/>
    <n v="596.1"/>
    <n v="4.7619047620000003"/>
    <n v="5.3"/>
    <x v="1"/>
    <x v="1"/>
    <x v="5"/>
    <x v="1"/>
    <x v="1"/>
    <x v="1"/>
    <x v="4"/>
    <n v="1"/>
    <x v="3"/>
  </r>
  <r>
    <s v="227-50-3718"/>
    <n v="14.62"/>
    <n v="5"/>
    <n v="3.6549999999999998"/>
    <n v="76.754999999999995"/>
    <d v="2019-03-04T00:00:00"/>
    <d v="1900-01-24T02:08:00"/>
    <s v="Cash"/>
    <n v="73.099999999999994"/>
    <n v="4.7619047620000003"/>
    <n v="4.4000000000000004"/>
    <x v="1"/>
    <x v="1"/>
    <x v="0"/>
    <x v="0"/>
    <x v="0"/>
    <x v="1"/>
    <x v="3"/>
    <n v="2"/>
    <x v="3"/>
  </r>
  <r>
    <s v="302-15-2162"/>
    <n v="46.53"/>
    <n v="6"/>
    <n v="13.959"/>
    <n v="293.13900000000001"/>
    <d v="2019-03-03T00:00:00"/>
    <d v="1900-01-24T03:08:00"/>
    <s v="Credit card"/>
    <n v="279.18"/>
    <n v="4.7619047620000003"/>
    <n v="4.3"/>
    <x v="0"/>
    <x v="1"/>
    <x v="0"/>
    <x v="1"/>
    <x v="1"/>
    <x v="1"/>
    <x v="2"/>
    <n v="3"/>
    <x v="3"/>
  </r>
  <r>
    <s v="788-07-8452"/>
    <n v="24.24"/>
    <n v="7"/>
    <n v="8.484"/>
    <n v="178.16399999999999"/>
    <d v="2019-01-27T00:00:00"/>
    <d v="1900-01-24T04:08:00"/>
    <s v="Ewallet"/>
    <n v="169.68"/>
    <n v="4.7619047620000003"/>
    <n v="9.4"/>
    <x v="0"/>
    <x v="0"/>
    <x v="2"/>
    <x v="1"/>
    <x v="1"/>
    <x v="0"/>
    <x v="2"/>
    <n v="4"/>
    <x v="3"/>
  </r>
  <r>
    <s v="560-49-6611"/>
    <n v="45.58"/>
    <n v="1"/>
    <n v="2.2789999999999999"/>
    <n v="47.859000000000002"/>
    <d v="2019-02-07T00:00:00"/>
    <d v="1900-01-24T05:08:00"/>
    <s v="Cash"/>
    <n v="45.58"/>
    <n v="4.7619047620000003"/>
    <n v="9.8000000000000007"/>
    <x v="0"/>
    <x v="0"/>
    <x v="3"/>
    <x v="0"/>
    <x v="0"/>
    <x v="2"/>
    <x v="4"/>
    <n v="5"/>
    <x v="3"/>
  </r>
  <r>
    <s v="880-35-0356"/>
    <n v="75.2"/>
    <n v="3"/>
    <n v="11.28"/>
    <n v="236.88"/>
    <d v="2019-02-05T00:00:00"/>
    <d v="1900-01-24T06:08:00"/>
    <s v="Ewallet"/>
    <n v="225.6"/>
    <n v="4.7619047620000003"/>
    <n v="4.8"/>
    <x v="0"/>
    <x v="0"/>
    <x v="3"/>
    <x v="0"/>
    <x v="0"/>
    <x v="2"/>
    <x v="6"/>
    <n v="6"/>
    <x v="3"/>
  </r>
  <r>
    <s v="585-11-6748"/>
    <n v="96.8"/>
    <n v="3"/>
    <n v="14.52"/>
    <n v="304.92"/>
    <d v="2019-03-15T00:00:00"/>
    <d v="1900-01-24T07:08:00"/>
    <s v="Cash"/>
    <n v="290.39999999999998"/>
    <n v="4.7619047620000003"/>
    <n v="5.3"/>
    <x v="0"/>
    <x v="1"/>
    <x v="3"/>
    <x v="2"/>
    <x v="2"/>
    <x v="1"/>
    <x v="1"/>
    <n v="7"/>
    <x v="3"/>
  </r>
  <r>
    <s v="470-31-3286"/>
    <n v="14.82"/>
    <n v="3"/>
    <n v="2.2229999999999999"/>
    <n v="46.683"/>
    <d v="2019-03-01T00:00:00"/>
    <d v="1900-01-24T08:08:00"/>
    <s v="Credit card"/>
    <n v="44.46"/>
    <n v="4.7619047620000003"/>
    <n v="8.6999999999999993"/>
    <x v="1"/>
    <x v="1"/>
    <x v="0"/>
    <x v="2"/>
    <x v="2"/>
    <x v="1"/>
    <x v="1"/>
    <n v="8"/>
    <x v="3"/>
  </r>
  <r>
    <s v="152-68-2907"/>
    <n v="52.2"/>
    <n v="3"/>
    <n v="7.83"/>
    <n v="164.43"/>
    <d v="2019-02-15T00:00:00"/>
    <d v="1900-01-24T09:08:00"/>
    <s v="Credit card"/>
    <n v="156.6"/>
    <n v="4.7619047620000003"/>
    <n v="9.5"/>
    <x v="1"/>
    <x v="1"/>
    <x v="4"/>
    <x v="0"/>
    <x v="0"/>
    <x v="2"/>
    <x v="1"/>
    <n v="9"/>
    <x v="3"/>
  </r>
  <r>
    <s v="123-35-4896"/>
    <n v="46.66"/>
    <n v="9"/>
    <n v="20.997"/>
    <n v="440.93700000000001"/>
    <d v="2019-02-17T00:00:00"/>
    <d v="1900-01-24T10:08:00"/>
    <s v="Ewallet"/>
    <n v="419.94"/>
    <n v="4.7619047620000003"/>
    <n v="5.3"/>
    <x v="1"/>
    <x v="0"/>
    <x v="3"/>
    <x v="1"/>
    <x v="1"/>
    <x v="2"/>
    <x v="2"/>
    <n v="10"/>
    <x v="3"/>
  </r>
  <r>
    <s v="258-69-7810"/>
    <n v="36.85"/>
    <n v="5"/>
    <n v="9.2125000000000004"/>
    <n v="193.46250000000001"/>
    <d v="2019-01-26T00:00:00"/>
    <d v="1900-01-24T11:08:00"/>
    <s v="Cash"/>
    <n v="184.25"/>
    <n v="4.7619047620000003"/>
    <n v="9.1999999999999993"/>
    <x v="1"/>
    <x v="0"/>
    <x v="5"/>
    <x v="1"/>
    <x v="1"/>
    <x v="0"/>
    <x v="0"/>
    <n v="11"/>
    <x v="3"/>
  </r>
  <r>
    <s v="334-64-2006"/>
    <n v="70.319999999999993"/>
    <n v="2"/>
    <n v="7.032"/>
    <n v="147.672"/>
    <d v="2019-03-24T00:00:00"/>
    <d v="1900-01-24T12:08:00"/>
    <s v="Ewallet"/>
    <n v="140.63999999999999"/>
    <n v="4.7619047620000003"/>
    <n v="9.6"/>
    <x v="0"/>
    <x v="0"/>
    <x v="2"/>
    <x v="0"/>
    <x v="0"/>
    <x v="1"/>
    <x v="2"/>
    <n v="12"/>
    <x v="3"/>
  </r>
  <r>
    <s v="219-61-4139"/>
    <n v="83.08"/>
    <n v="1"/>
    <n v="4.1539999999999999"/>
    <n v="87.233999999999995"/>
    <d v="2019-01-23T00:00:00"/>
    <d v="1900-01-24T13:08:00"/>
    <s v="Ewallet"/>
    <n v="83.08"/>
    <n v="4.7619047620000003"/>
    <n v="6.4"/>
    <x v="1"/>
    <x v="1"/>
    <x v="1"/>
    <x v="1"/>
    <x v="1"/>
    <x v="0"/>
    <x v="5"/>
    <n v="13"/>
    <x v="0"/>
  </r>
  <r>
    <s v="881-41-7302"/>
    <n v="64.989999999999995"/>
    <n v="1"/>
    <n v="3.2494999999999998"/>
    <n v="68.239500000000007"/>
    <d v="2019-01-26T00:00:00"/>
    <d v="1900-01-24T14:08:00"/>
    <s v="Credit card"/>
    <n v="64.989999999999995"/>
    <n v="4.7619047620000003"/>
    <n v="4.5"/>
    <x v="1"/>
    <x v="0"/>
    <x v="5"/>
    <x v="1"/>
    <x v="1"/>
    <x v="0"/>
    <x v="0"/>
    <n v="14"/>
    <x v="0"/>
  </r>
  <r>
    <s v="373-09-4567"/>
    <n v="77.56"/>
    <n v="10"/>
    <n v="38.78"/>
    <n v="814.38"/>
    <d v="2019-03-14T00:00:00"/>
    <d v="1900-01-24T15:08:00"/>
    <s v="Ewallet"/>
    <n v="775.6"/>
    <n v="4.7619047620000003"/>
    <n v="6.9"/>
    <x v="1"/>
    <x v="1"/>
    <x v="4"/>
    <x v="1"/>
    <x v="1"/>
    <x v="1"/>
    <x v="4"/>
    <n v="15"/>
    <x v="0"/>
  </r>
  <r>
    <s v="642-30-6693"/>
    <n v="54.51"/>
    <n v="6"/>
    <n v="16.353000000000002"/>
    <n v="343.41300000000001"/>
    <d v="2019-03-17T00:00:00"/>
    <d v="1900-01-24T16:08:00"/>
    <s v="Ewallet"/>
    <n v="327.06"/>
    <n v="4.7619047620000003"/>
    <n v="7.8"/>
    <x v="1"/>
    <x v="0"/>
    <x v="3"/>
    <x v="2"/>
    <x v="2"/>
    <x v="1"/>
    <x v="2"/>
    <n v="16"/>
    <x v="0"/>
  </r>
  <r>
    <s v="484-22-8230"/>
    <n v="51.89"/>
    <n v="7"/>
    <n v="18.1615"/>
    <n v="381.39150000000001"/>
    <d v="2019-01-08T00:00:00"/>
    <d v="1900-01-24T17:08:00"/>
    <s v="Cash"/>
    <n v="363.23"/>
    <n v="4.7619047620000003"/>
    <n v="4.5"/>
    <x v="0"/>
    <x v="0"/>
    <x v="5"/>
    <x v="1"/>
    <x v="1"/>
    <x v="0"/>
    <x v="6"/>
    <n v="17"/>
    <x v="1"/>
  </r>
  <r>
    <s v="830-58-2383"/>
    <n v="31.75"/>
    <n v="4"/>
    <n v="6.35"/>
    <n v="133.35"/>
    <d v="2019-02-08T00:00:00"/>
    <d v="1900-01-24T18:08:00"/>
    <s v="Cash"/>
    <n v="127"/>
    <n v="4.7619047620000003"/>
    <n v="8.6"/>
    <x v="1"/>
    <x v="1"/>
    <x v="2"/>
    <x v="2"/>
    <x v="2"/>
    <x v="2"/>
    <x v="1"/>
    <n v="18"/>
    <x v="1"/>
  </r>
  <r>
    <s v="559-98-9873"/>
    <n v="53.65"/>
    <n v="7"/>
    <n v="18.7775"/>
    <n v="394.32749999999999"/>
    <d v="2019-02-10T00:00:00"/>
    <d v="1900-01-24T19:08:00"/>
    <s v="Ewallet"/>
    <n v="375.55"/>
    <n v="4.7619047620000003"/>
    <n v="5.2"/>
    <x v="0"/>
    <x v="0"/>
    <x v="5"/>
    <x v="0"/>
    <x v="0"/>
    <x v="2"/>
    <x v="2"/>
    <n v="19"/>
    <x v="1"/>
  </r>
  <r>
    <s v="544-32-5024"/>
    <n v="49.79"/>
    <n v="4"/>
    <n v="9.9580000000000002"/>
    <n v="209.11799999999999"/>
    <d v="2019-03-28T00:00:00"/>
    <d v="1900-01-24T20:08:00"/>
    <s v="Credit card"/>
    <n v="199.16"/>
    <n v="4.7619047620000003"/>
    <n v="6.4"/>
    <x v="0"/>
    <x v="0"/>
    <x v="4"/>
    <x v="1"/>
    <x v="1"/>
    <x v="1"/>
    <x v="4"/>
    <n v="20"/>
    <x v="1"/>
  </r>
  <r>
    <s v="318-12-0304"/>
    <n v="30.61"/>
    <n v="1"/>
    <n v="1.5305"/>
    <n v="32.140500000000003"/>
    <d v="2019-01-23T00:00:00"/>
    <d v="1900-01-24T21:08:00"/>
    <s v="Ewallet"/>
    <n v="30.61"/>
    <n v="4.7619047620000003"/>
    <n v="5.2"/>
    <x v="1"/>
    <x v="1"/>
    <x v="5"/>
    <x v="0"/>
    <x v="0"/>
    <x v="0"/>
    <x v="5"/>
    <n v="21"/>
    <x v="1"/>
  </r>
  <r>
    <s v="349-97-8902"/>
    <n v="57.89"/>
    <n v="2"/>
    <n v="5.7889999999999997"/>
    <n v="121.569"/>
    <d v="2019-01-17T00:00:00"/>
    <d v="1900-01-24T22:08:00"/>
    <s v="Ewallet"/>
    <n v="115.78"/>
    <n v="4.7619047620000003"/>
    <n v="8.9"/>
    <x v="0"/>
    <x v="1"/>
    <x v="4"/>
    <x v="2"/>
    <x v="2"/>
    <x v="0"/>
    <x v="4"/>
    <n v="22"/>
    <x v="2"/>
  </r>
  <r>
    <s v="421-95-9805"/>
    <n v="28.96"/>
    <n v="1"/>
    <n v="1.448"/>
    <n v="30.408000000000001"/>
    <d v="2019-02-07T00:00:00"/>
    <d v="1900-01-24T23:08:00"/>
    <s v="Credit card"/>
    <n v="28.96"/>
    <n v="4.7619047620000003"/>
    <n v="6.2"/>
    <x v="1"/>
    <x v="0"/>
    <x v="1"/>
    <x v="0"/>
    <x v="0"/>
    <x v="2"/>
    <x v="4"/>
    <n v="23"/>
    <x v="2"/>
  </r>
  <r>
    <s v="277-35-5865"/>
    <n v="98.97"/>
    <n v="9"/>
    <n v="44.536499999999997"/>
    <n v="935.26649999999995"/>
    <d v="2019-03-09T00:00:00"/>
    <d v="1900-01-25T00:08:00"/>
    <s v="Cash"/>
    <n v="890.73"/>
    <n v="4.7619047620000003"/>
    <n v="6.7"/>
    <x v="0"/>
    <x v="0"/>
    <x v="4"/>
    <x v="1"/>
    <x v="1"/>
    <x v="1"/>
    <x v="0"/>
    <n v="0"/>
    <x v="3"/>
  </r>
  <r>
    <s v="789-23-8625"/>
    <n v="93.22"/>
    <n v="3"/>
    <n v="13.983000000000001"/>
    <n v="293.64299999999997"/>
    <d v="2019-01-24T00:00:00"/>
    <d v="1900-01-25T01:08:00"/>
    <s v="Cash"/>
    <n v="279.66000000000003"/>
    <n v="4.7619047620000003"/>
    <n v="7.2"/>
    <x v="0"/>
    <x v="1"/>
    <x v="5"/>
    <x v="2"/>
    <x v="2"/>
    <x v="0"/>
    <x v="4"/>
    <n v="1"/>
    <x v="3"/>
  </r>
  <r>
    <s v="284-54-4231"/>
    <n v="80.930000000000007"/>
    <n v="1"/>
    <n v="4.0465"/>
    <n v="84.976500000000001"/>
    <d v="2019-01-19T00:00:00"/>
    <d v="1900-01-25T02:08:00"/>
    <s v="Credit card"/>
    <n v="80.930000000000007"/>
    <n v="4.7619047620000003"/>
    <n v="9"/>
    <x v="0"/>
    <x v="1"/>
    <x v="3"/>
    <x v="1"/>
    <x v="1"/>
    <x v="0"/>
    <x v="0"/>
    <n v="2"/>
    <x v="3"/>
  </r>
  <r>
    <s v="443-59-0061"/>
    <n v="67.45"/>
    <n v="10"/>
    <n v="33.725000000000001"/>
    <n v="708.22500000000002"/>
    <d v="2019-02-03T00:00:00"/>
    <d v="1900-01-25T03:08:00"/>
    <s v="Ewallet"/>
    <n v="674.5"/>
    <n v="4.7619047620000003"/>
    <n v="4.2"/>
    <x v="0"/>
    <x v="1"/>
    <x v="4"/>
    <x v="0"/>
    <x v="0"/>
    <x v="2"/>
    <x v="2"/>
    <n v="3"/>
    <x v="3"/>
  </r>
  <r>
    <s v="509-29-3912"/>
    <n v="38.72"/>
    <n v="9"/>
    <n v="17.423999999999999"/>
    <n v="365.904"/>
    <d v="2019-03-20T00:00:00"/>
    <d v="1900-01-25T04:08:00"/>
    <s v="Ewallet"/>
    <n v="348.48"/>
    <n v="4.7619047620000003"/>
    <n v="4.2"/>
    <x v="0"/>
    <x v="0"/>
    <x v="3"/>
    <x v="0"/>
    <x v="0"/>
    <x v="1"/>
    <x v="5"/>
    <n v="4"/>
    <x v="3"/>
  </r>
  <r>
    <s v="327-40-9673"/>
    <n v="72.599999999999994"/>
    <n v="6"/>
    <n v="21.78"/>
    <n v="457.38"/>
    <d v="2019-01-13T00:00:00"/>
    <d v="1900-01-25T05:08:00"/>
    <s v="Cash"/>
    <n v="435.6"/>
    <n v="4.7619047620000003"/>
    <n v="6.9"/>
    <x v="0"/>
    <x v="1"/>
    <x v="3"/>
    <x v="2"/>
    <x v="2"/>
    <x v="0"/>
    <x v="2"/>
    <n v="5"/>
    <x v="3"/>
  </r>
  <r>
    <s v="840-19-2096"/>
    <n v="87.91"/>
    <n v="5"/>
    <n v="21.977499999999999"/>
    <n v="461.52749999999997"/>
    <d v="2019-03-14T00:00:00"/>
    <d v="1900-01-25T06:08:00"/>
    <s v="Ewallet"/>
    <n v="439.55"/>
    <n v="4.7619047620000003"/>
    <n v="4.4000000000000004"/>
    <x v="0"/>
    <x v="1"/>
    <x v="1"/>
    <x v="1"/>
    <x v="1"/>
    <x v="1"/>
    <x v="4"/>
    <n v="6"/>
    <x v="3"/>
  </r>
  <r>
    <s v="828-46-6863"/>
    <n v="98.53"/>
    <n v="6"/>
    <n v="29.559000000000001"/>
    <n v="620.73900000000003"/>
    <d v="2019-01-23T00:00:00"/>
    <d v="1900-01-25T07:08:00"/>
    <s v="Credit card"/>
    <n v="591.17999999999995"/>
    <n v="4.7619047620000003"/>
    <n v="4"/>
    <x v="0"/>
    <x v="1"/>
    <x v="4"/>
    <x v="0"/>
    <x v="0"/>
    <x v="0"/>
    <x v="5"/>
    <n v="7"/>
    <x v="3"/>
  </r>
  <r>
    <s v="641-96-3695"/>
    <n v="43.46"/>
    <n v="6"/>
    <n v="13.038"/>
    <n v="273.798"/>
    <d v="2019-02-07T00:00:00"/>
    <d v="1900-01-25T08:08:00"/>
    <s v="Ewallet"/>
    <n v="260.76"/>
    <n v="4.7619047620000003"/>
    <n v="8.5"/>
    <x v="0"/>
    <x v="0"/>
    <x v="5"/>
    <x v="1"/>
    <x v="1"/>
    <x v="2"/>
    <x v="4"/>
    <n v="8"/>
    <x v="3"/>
  </r>
  <r>
    <s v="420-97-3340"/>
    <n v="71.680000000000007"/>
    <n v="3"/>
    <n v="10.752000000000001"/>
    <n v="225.792"/>
    <d v="2019-03-28T00:00:00"/>
    <d v="1900-01-25T09:08:00"/>
    <s v="Credit card"/>
    <n v="215.04"/>
    <n v="4.7619047620000003"/>
    <n v="9.1999999999999993"/>
    <x v="1"/>
    <x v="0"/>
    <x v="4"/>
    <x v="0"/>
    <x v="0"/>
    <x v="1"/>
    <x v="4"/>
    <n v="9"/>
    <x v="3"/>
  </r>
  <r>
    <s v="436-54-4512"/>
    <n v="91.61"/>
    <n v="1"/>
    <n v="4.5804999999999998"/>
    <n v="96.1905"/>
    <d v="2019-03-20T00:00:00"/>
    <d v="1900-01-25T10:08:00"/>
    <s v="Cash"/>
    <n v="91.61"/>
    <n v="4.7619047620000003"/>
    <n v="9.8000000000000007"/>
    <x v="0"/>
    <x v="0"/>
    <x v="4"/>
    <x v="0"/>
    <x v="0"/>
    <x v="1"/>
    <x v="5"/>
    <n v="10"/>
    <x v="3"/>
  </r>
  <r>
    <s v="670-79-6321"/>
    <n v="94.59"/>
    <n v="7"/>
    <n v="33.106499999999997"/>
    <n v="695.23649999999998"/>
    <d v="2019-01-17T00:00:00"/>
    <d v="1900-01-25T11:08:00"/>
    <s v="Credit card"/>
    <n v="662.13"/>
    <n v="4.7619047620000003"/>
    <n v="4.9000000000000004"/>
    <x v="0"/>
    <x v="0"/>
    <x v="2"/>
    <x v="2"/>
    <x v="2"/>
    <x v="0"/>
    <x v="4"/>
    <n v="11"/>
    <x v="3"/>
  </r>
  <r>
    <s v="852-62-7105"/>
    <n v="83.25"/>
    <n v="10"/>
    <n v="41.625"/>
    <n v="874.125"/>
    <d v="2019-01-12T00:00:00"/>
    <d v="1900-01-25T12:08:00"/>
    <s v="Credit card"/>
    <n v="832.5"/>
    <n v="4.7619047620000003"/>
    <n v="4.4000000000000004"/>
    <x v="1"/>
    <x v="0"/>
    <x v="5"/>
    <x v="2"/>
    <x v="2"/>
    <x v="0"/>
    <x v="0"/>
    <n v="12"/>
    <x v="3"/>
  </r>
  <r>
    <s v="598-06-7312"/>
    <n v="91.35"/>
    <n v="1"/>
    <n v="4.5674999999999999"/>
    <n v="95.917500000000004"/>
    <d v="2019-02-16T00:00:00"/>
    <d v="1900-01-25T13:08:00"/>
    <s v="Cash"/>
    <n v="91.35"/>
    <n v="4.7619047620000003"/>
    <n v="6.8"/>
    <x v="0"/>
    <x v="1"/>
    <x v="5"/>
    <x v="2"/>
    <x v="2"/>
    <x v="2"/>
    <x v="0"/>
    <n v="13"/>
    <x v="0"/>
  </r>
  <r>
    <s v="135-13-8269"/>
    <n v="78.88"/>
    <n v="2"/>
    <n v="7.8879999999999999"/>
    <n v="165.648"/>
    <d v="2019-01-26T00:00:00"/>
    <d v="1900-01-25T14:08:00"/>
    <s v="Cash"/>
    <n v="157.76"/>
    <n v="4.7619047620000003"/>
    <n v="9.1"/>
    <x v="0"/>
    <x v="0"/>
    <x v="4"/>
    <x v="2"/>
    <x v="2"/>
    <x v="0"/>
    <x v="0"/>
    <n v="14"/>
    <x v="0"/>
  </r>
  <r>
    <s v="816-57-2053"/>
    <n v="60.87"/>
    <n v="2"/>
    <n v="6.0869999999999997"/>
    <n v="127.827"/>
    <d v="2019-03-09T00:00:00"/>
    <d v="1900-01-25T15:08:00"/>
    <s v="Ewallet"/>
    <n v="121.74"/>
    <n v="4.7619047620000003"/>
    <n v="8.6999999999999993"/>
    <x v="1"/>
    <x v="1"/>
    <x v="3"/>
    <x v="0"/>
    <x v="0"/>
    <x v="1"/>
    <x v="0"/>
    <n v="15"/>
    <x v="0"/>
  </r>
  <r>
    <s v="628-90-8624"/>
    <n v="82.58"/>
    <n v="10"/>
    <n v="41.29"/>
    <n v="867.09"/>
    <d v="2019-03-14T00:00:00"/>
    <d v="1900-01-25T16:08:00"/>
    <s v="Cash"/>
    <n v="825.8"/>
    <n v="4.7619047620000003"/>
    <n v="5"/>
    <x v="0"/>
    <x v="1"/>
    <x v="0"/>
    <x v="2"/>
    <x v="2"/>
    <x v="1"/>
    <x v="4"/>
    <n v="16"/>
    <x v="0"/>
  </r>
  <r>
    <s v="856-66-2701"/>
    <n v="53.3"/>
    <n v="3"/>
    <n v="7.9950000000000001"/>
    <n v="167.89500000000001"/>
    <d v="2019-01-25T00:00:00"/>
    <d v="1900-01-25T17:08:00"/>
    <s v="Ewallet"/>
    <n v="159.9"/>
    <n v="4.7619047620000003"/>
    <n v="7.5"/>
    <x v="0"/>
    <x v="1"/>
    <x v="2"/>
    <x v="0"/>
    <x v="0"/>
    <x v="0"/>
    <x v="1"/>
    <n v="17"/>
    <x v="1"/>
  </r>
  <r>
    <s v="308-39-1707"/>
    <n v="12.09"/>
    <n v="1"/>
    <n v="0.60450000000000004"/>
    <n v="12.6945"/>
    <d v="2019-01-26T00:00:00"/>
    <d v="1900-01-25T18:08:00"/>
    <s v="Credit card"/>
    <n v="12.09"/>
    <n v="4.7619047620000003"/>
    <n v="8.1999999999999993"/>
    <x v="1"/>
    <x v="0"/>
    <x v="5"/>
    <x v="0"/>
    <x v="0"/>
    <x v="0"/>
    <x v="0"/>
    <n v="18"/>
    <x v="1"/>
  </r>
  <r>
    <s v="149-61-1929"/>
    <n v="64.19"/>
    <n v="10"/>
    <n v="32.094999999999999"/>
    <n v="673.995"/>
    <d v="2019-01-19T00:00:00"/>
    <d v="1900-01-25T19:08:00"/>
    <s v="Credit card"/>
    <n v="641.9"/>
    <n v="4.7619047620000003"/>
    <n v="6.7"/>
    <x v="1"/>
    <x v="1"/>
    <x v="3"/>
    <x v="0"/>
    <x v="0"/>
    <x v="0"/>
    <x v="0"/>
    <n v="19"/>
    <x v="1"/>
  </r>
  <r>
    <s v="655-07-2265"/>
    <n v="78.31"/>
    <n v="3"/>
    <n v="11.746499999999999"/>
    <n v="246.6765"/>
    <d v="2019-03-05T00:00:00"/>
    <d v="1900-01-25T20:08:00"/>
    <s v="Ewallet"/>
    <n v="234.93"/>
    <n v="4.7619047620000003"/>
    <n v="5.4"/>
    <x v="1"/>
    <x v="1"/>
    <x v="1"/>
    <x v="0"/>
    <x v="0"/>
    <x v="1"/>
    <x v="6"/>
    <n v="20"/>
    <x v="1"/>
  </r>
  <r>
    <s v="589-02-8023"/>
    <n v="83.77"/>
    <n v="2"/>
    <n v="8.3770000000000007"/>
    <n v="175.917"/>
    <d v="2019-01-15T00:00:00"/>
    <d v="1900-01-25T21:08:00"/>
    <s v="Credit card"/>
    <n v="167.54"/>
    <n v="4.7619047620000003"/>
    <n v="7"/>
    <x v="0"/>
    <x v="1"/>
    <x v="4"/>
    <x v="0"/>
    <x v="0"/>
    <x v="0"/>
    <x v="6"/>
    <n v="21"/>
    <x v="1"/>
  </r>
  <r>
    <s v="420-04-7590"/>
    <n v="99.7"/>
    <n v="3"/>
    <n v="14.955"/>
    <n v="314.05500000000001"/>
    <d v="2019-03-18T00:00:00"/>
    <d v="1900-01-25T22:08:00"/>
    <s v="Ewallet"/>
    <n v="299.10000000000002"/>
    <n v="4.7619047620000003"/>
    <n v="4.7"/>
    <x v="1"/>
    <x v="1"/>
    <x v="2"/>
    <x v="2"/>
    <x v="2"/>
    <x v="1"/>
    <x v="3"/>
    <n v="22"/>
    <x v="2"/>
  </r>
  <r>
    <s v="182-88-2763"/>
    <n v="79.91"/>
    <n v="3"/>
    <n v="11.986499999999999"/>
    <n v="251.7165"/>
    <d v="2019-03-20T00:00:00"/>
    <d v="1900-01-25T23:08:00"/>
    <s v="Credit card"/>
    <n v="239.73"/>
    <n v="4.7619047620000003"/>
    <n v="5"/>
    <x v="0"/>
    <x v="1"/>
    <x v="4"/>
    <x v="2"/>
    <x v="2"/>
    <x v="1"/>
    <x v="5"/>
    <n v="23"/>
    <x v="2"/>
  </r>
  <r>
    <s v="188-55-0967"/>
    <n v="66.47"/>
    <n v="10"/>
    <n v="33.234999999999999"/>
    <n v="697.93499999999995"/>
    <d v="2019-01-15T00:00:00"/>
    <d v="1900-01-26T00:08:00"/>
    <s v="Credit card"/>
    <n v="664.7"/>
    <n v="4.7619047620000003"/>
    <n v="5"/>
    <x v="0"/>
    <x v="1"/>
    <x v="0"/>
    <x v="2"/>
    <x v="2"/>
    <x v="0"/>
    <x v="6"/>
    <n v="0"/>
    <x v="3"/>
  </r>
  <r>
    <s v="610-46-4100"/>
    <n v="28.95"/>
    <n v="7"/>
    <n v="10.1325"/>
    <n v="212.7825"/>
    <d v="2019-03-03T00:00:00"/>
    <d v="1900-01-26T01:08:00"/>
    <s v="Credit card"/>
    <n v="202.65"/>
    <n v="4.7619047620000003"/>
    <n v="6"/>
    <x v="1"/>
    <x v="1"/>
    <x v="0"/>
    <x v="0"/>
    <x v="0"/>
    <x v="1"/>
    <x v="2"/>
    <n v="1"/>
    <x v="3"/>
  </r>
  <r>
    <s v="318-81-2368"/>
    <n v="46.2"/>
    <n v="1"/>
    <n v="2.31"/>
    <n v="48.51"/>
    <d v="2019-03-19T00:00:00"/>
    <d v="1900-01-26T02:08:00"/>
    <s v="Cash"/>
    <n v="46.2"/>
    <n v="4.7619047620000003"/>
    <n v="6.3"/>
    <x v="1"/>
    <x v="0"/>
    <x v="1"/>
    <x v="1"/>
    <x v="1"/>
    <x v="1"/>
    <x v="6"/>
    <n v="2"/>
    <x v="3"/>
  </r>
  <r>
    <s v="364-33-8584"/>
    <n v="17.63"/>
    <n v="5"/>
    <n v="4.4074999999999998"/>
    <n v="92.557500000000005"/>
    <d v="2019-03-08T00:00:00"/>
    <d v="1900-01-26T03:08:00"/>
    <s v="Cash"/>
    <n v="88.15"/>
    <n v="4.7619047620000003"/>
    <n v="8.5"/>
    <x v="0"/>
    <x v="0"/>
    <x v="4"/>
    <x v="2"/>
    <x v="2"/>
    <x v="1"/>
    <x v="1"/>
    <n v="3"/>
    <x v="3"/>
  </r>
  <r>
    <s v="665-63-9737"/>
    <n v="52.42"/>
    <n v="3"/>
    <n v="7.8630000000000004"/>
    <n v="165.12299999999999"/>
    <d v="2019-02-27T00:00:00"/>
    <d v="1900-01-26T04:08:00"/>
    <s v="Ewallet"/>
    <n v="157.26"/>
    <n v="4.7619047620000003"/>
    <n v="7.5"/>
    <x v="1"/>
    <x v="1"/>
    <x v="5"/>
    <x v="2"/>
    <x v="2"/>
    <x v="2"/>
    <x v="5"/>
    <n v="4"/>
    <x v="3"/>
  </r>
  <r>
    <s v="695-09-5146"/>
    <n v="98.79"/>
    <n v="3"/>
    <n v="14.8185"/>
    <n v="311.18849999999998"/>
    <d v="2019-02-23T00:00:00"/>
    <d v="1900-01-26T05:08:00"/>
    <s v="Ewallet"/>
    <n v="296.37"/>
    <n v="4.7619047620000003"/>
    <n v="6.4"/>
    <x v="0"/>
    <x v="0"/>
    <x v="4"/>
    <x v="2"/>
    <x v="2"/>
    <x v="2"/>
    <x v="0"/>
    <n v="5"/>
    <x v="3"/>
  </r>
  <r>
    <s v="155-45-3814"/>
    <n v="88.55"/>
    <n v="8"/>
    <n v="35.42"/>
    <n v="743.82"/>
    <d v="2019-03-19T00:00:00"/>
    <d v="1900-01-26T06:08:00"/>
    <s v="Ewallet"/>
    <n v="708.4"/>
    <n v="4.7619047620000003"/>
    <n v="4.7"/>
    <x v="0"/>
    <x v="0"/>
    <x v="1"/>
    <x v="1"/>
    <x v="1"/>
    <x v="1"/>
    <x v="6"/>
    <n v="6"/>
    <x v="3"/>
  </r>
  <r>
    <s v="794-32-2436"/>
    <n v="55.67"/>
    <n v="2"/>
    <n v="5.5670000000000002"/>
    <n v="116.907"/>
    <d v="2019-03-27T00:00:00"/>
    <d v="1900-01-26T07:08:00"/>
    <s v="Ewallet"/>
    <n v="111.34"/>
    <n v="4.7619047620000003"/>
    <n v="6"/>
    <x v="0"/>
    <x v="1"/>
    <x v="1"/>
    <x v="2"/>
    <x v="2"/>
    <x v="1"/>
    <x v="5"/>
    <n v="7"/>
    <x v="3"/>
  </r>
  <r>
    <s v="131-15-8856"/>
    <n v="72.52"/>
    <n v="8"/>
    <n v="29.007999999999999"/>
    <n v="609.16800000000001"/>
    <d v="2019-03-30T00:00:00"/>
    <d v="1900-01-26T08:08:00"/>
    <s v="Credit card"/>
    <n v="580.16"/>
    <n v="4.7619047620000003"/>
    <n v="4"/>
    <x v="0"/>
    <x v="0"/>
    <x v="4"/>
    <x v="1"/>
    <x v="1"/>
    <x v="1"/>
    <x v="0"/>
    <n v="8"/>
    <x v="3"/>
  </r>
  <r>
    <s v="273-84-2164"/>
    <n v="12.05"/>
    <n v="5"/>
    <n v="3.0125000000000002"/>
    <n v="63.262500000000003"/>
    <d v="2019-02-16T00:00:00"/>
    <d v="1900-01-26T09:08:00"/>
    <s v="Ewallet"/>
    <n v="60.25"/>
    <n v="4.7619047620000003"/>
    <n v="5.5"/>
    <x v="0"/>
    <x v="1"/>
    <x v="1"/>
    <x v="1"/>
    <x v="1"/>
    <x v="2"/>
    <x v="0"/>
    <n v="9"/>
    <x v="3"/>
  </r>
  <r>
    <s v="706-36-6154"/>
    <n v="19.36"/>
    <n v="9"/>
    <n v="8.7119999999999997"/>
    <n v="182.952"/>
    <d v="2019-01-18T00:00:00"/>
    <d v="1900-01-26T10:08:00"/>
    <s v="Ewallet"/>
    <n v="174.24"/>
    <n v="4.7619047620000003"/>
    <n v="8.6999999999999993"/>
    <x v="0"/>
    <x v="1"/>
    <x v="2"/>
    <x v="0"/>
    <x v="0"/>
    <x v="0"/>
    <x v="1"/>
    <n v="10"/>
    <x v="3"/>
  </r>
  <r>
    <s v="778-89-7974"/>
    <n v="70.209999999999994"/>
    <n v="6"/>
    <n v="21.062999999999999"/>
    <n v="442.32299999999998"/>
    <d v="2019-03-30T00:00:00"/>
    <d v="1900-01-26T11:08:00"/>
    <s v="Cash"/>
    <n v="421.26"/>
    <n v="4.7619047620000003"/>
    <n v="7.4"/>
    <x v="1"/>
    <x v="1"/>
    <x v="0"/>
    <x v="1"/>
    <x v="1"/>
    <x v="1"/>
    <x v="0"/>
    <n v="11"/>
    <x v="3"/>
  </r>
  <r>
    <s v="574-31-8277"/>
    <n v="33.630000000000003"/>
    <n v="1"/>
    <n v="1.6815"/>
    <n v="35.311500000000002"/>
    <d v="2019-03-20T00:00:00"/>
    <d v="1900-01-26T12:08:00"/>
    <s v="Cash"/>
    <n v="33.630000000000003"/>
    <n v="4.7619047620000003"/>
    <n v="5.6"/>
    <x v="0"/>
    <x v="1"/>
    <x v="5"/>
    <x v="2"/>
    <x v="2"/>
    <x v="1"/>
    <x v="5"/>
    <n v="12"/>
    <x v="3"/>
  </r>
  <r>
    <s v="859-71-0933"/>
    <n v="15.49"/>
    <n v="2"/>
    <n v="1.5489999999999999"/>
    <n v="32.529000000000003"/>
    <d v="2019-01-16T00:00:00"/>
    <d v="1900-01-26T13:08:00"/>
    <s v="Cash"/>
    <n v="30.98"/>
    <n v="4.7619047620000003"/>
    <n v="6.3"/>
    <x v="0"/>
    <x v="0"/>
    <x v="3"/>
    <x v="1"/>
    <x v="1"/>
    <x v="0"/>
    <x v="5"/>
    <n v="13"/>
    <x v="0"/>
  </r>
  <r>
    <s v="740-11-5257"/>
    <n v="24.74"/>
    <n v="10"/>
    <n v="12.37"/>
    <n v="259.77"/>
    <d v="2019-02-24T00:00:00"/>
    <d v="1900-01-26T14:08:00"/>
    <s v="Cash"/>
    <n v="247.4"/>
    <n v="4.7619047620000003"/>
    <n v="7.1"/>
    <x v="1"/>
    <x v="1"/>
    <x v="1"/>
    <x v="1"/>
    <x v="1"/>
    <x v="2"/>
    <x v="2"/>
    <n v="14"/>
    <x v="0"/>
  </r>
  <r>
    <s v="369-82-2676"/>
    <n v="75.66"/>
    <n v="5"/>
    <n v="18.914999999999999"/>
    <n v="397.21499999999997"/>
    <d v="2019-01-15T00:00:00"/>
    <d v="1900-01-26T15:08:00"/>
    <s v="Ewallet"/>
    <n v="378.3"/>
    <n v="4.7619047620000003"/>
    <n v="7.8"/>
    <x v="1"/>
    <x v="1"/>
    <x v="1"/>
    <x v="2"/>
    <x v="2"/>
    <x v="0"/>
    <x v="6"/>
    <n v="15"/>
    <x v="0"/>
  </r>
  <r>
    <s v="563-47-4072"/>
    <n v="55.81"/>
    <n v="6"/>
    <n v="16.742999999999999"/>
    <n v="351.60300000000001"/>
    <d v="2019-01-22T00:00:00"/>
    <d v="1900-01-26T16:08:00"/>
    <s v="Cash"/>
    <n v="334.86"/>
    <n v="4.7619047620000003"/>
    <n v="9.9"/>
    <x v="1"/>
    <x v="0"/>
    <x v="0"/>
    <x v="2"/>
    <x v="2"/>
    <x v="0"/>
    <x v="6"/>
    <n v="16"/>
    <x v="0"/>
  </r>
  <r>
    <s v="742-04-5161"/>
    <n v="72.78"/>
    <n v="10"/>
    <n v="36.39"/>
    <n v="764.19"/>
    <d v="2019-02-03T00:00:00"/>
    <d v="1900-01-26T17:08:00"/>
    <s v="Cash"/>
    <n v="727.8"/>
    <n v="4.7619047620000003"/>
    <n v="7.3"/>
    <x v="0"/>
    <x v="1"/>
    <x v="2"/>
    <x v="0"/>
    <x v="0"/>
    <x v="2"/>
    <x v="2"/>
    <n v="17"/>
    <x v="1"/>
  </r>
  <r>
    <s v="149-15-7606"/>
    <n v="37.32"/>
    <n v="9"/>
    <n v="16.794"/>
    <n v="352.67399999999998"/>
    <d v="2019-03-06T00:00:00"/>
    <d v="1900-01-26T18:08:00"/>
    <s v="Ewallet"/>
    <n v="335.88"/>
    <n v="4.7619047620000003"/>
    <n v="5.0999999999999996"/>
    <x v="0"/>
    <x v="1"/>
    <x v="3"/>
    <x v="2"/>
    <x v="2"/>
    <x v="1"/>
    <x v="5"/>
    <n v="18"/>
    <x v="1"/>
  </r>
  <r>
    <s v="133-77-3154"/>
    <n v="60.18"/>
    <n v="4"/>
    <n v="12.036"/>
    <n v="252.756"/>
    <d v="2019-02-16T00:00:00"/>
    <d v="1900-01-26T19:08:00"/>
    <s v="Credit card"/>
    <n v="240.72"/>
    <n v="4.7619047620000003"/>
    <n v="9.4"/>
    <x v="0"/>
    <x v="1"/>
    <x v="5"/>
    <x v="2"/>
    <x v="2"/>
    <x v="2"/>
    <x v="0"/>
    <n v="19"/>
    <x v="1"/>
  </r>
  <r>
    <s v="169-52-4504"/>
    <n v="15.69"/>
    <n v="3"/>
    <n v="2.3534999999999999"/>
    <n v="49.423499999999997"/>
    <d v="2019-03-14T00:00:00"/>
    <d v="1900-01-26T20:08:00"/>
    <s v="Credit card"/>
    <n v="47.07"/>
    <n v="4.7619047620000003"/>
    <n v="5.8"/>
    <x v="1"/>
    <x v="0"/>
    <x v="1"/>
    <x v="0"/>
    <x v="0"/>
    <x v="1"/>
    <x v="4"/>
    <n v="20"/>
    <x v="1"/>
  </r>
  <r>
    <s v="250-81-7186"/>
    <n v="99.69"/>
    <n v="1"/>
    <n v="4.9844999999999997"/>
    <n v="104.67449999999999"/>
    <d v="2019-02-27T00:00:00"/>
    <d v="1900-01-26T21:08:00"/>
    <s v="Credit card"/>
    <n v="99.69"/>
    <n v="4.7619047620000003"/>
    <n v="8"/>
    <x v="1"/>
    <x v="0"/>
    <x v="1"/>
    <x v="1"/>
    <x v="1"/>
    <x v="2"/>
    <x v="5"/>
    <n v="21"/>
    <x v="1"/>
  </r>
  <r>
    <s v="562-12-5430"/>
    <n v="88.15"/>
    <n v="3"/>
    <n v="13.2225"/>
    <n v="277.67250000000001"/>
    <d v="2019-01-18T00:00:00"/>
    <d v="1900-01-26T22:08:00"/>
    <s v="Ewallet"/>
    <n v="264.45"/>
    <n v="4.7619047620000003"/>
    <n v="7.9"/>
    <x v="0"/>
    <x v="0"/>
    <x v="5"/>
    <x v="0"/>
    <x v="0"/>
    <x v="0"/>
    <x v="1"/>
    <n v="22"/>
    <x v="2"/>
  </r>
  <r>
    <s v="816-72-8853"/>
    <n v="27.93"/>
    <n v="5"/>
    <n v="6.9824999999999999"/>
    <n v="146.63249999999999"/>
    <d v="2019-01-29T00:00:00"/>
    <d v="1900-01-26T23:08:00"/>
    <s v="Cash"/>
    <n v="139.65"/>
    <n v="4.7619047620000003"/>
    <n v="5.9"/>
    <x v="0"/>
    <x v="0"/>
    <x v="3"/>
    <x v="0"/>
    <x v="0"/>
    <x v="0"/>
    <x v="6"/>
    <n v="23"/>
    <x v="2"/>
  </r>
  <r>
    <s v="491-38-3499"/>
    <n v="55.45"/>
    <n v="1"/>
    <n v="2.7725"/>
    <n v="58.222499999999997"/>
    <d v="2019-02-26T00:00:00"/>
    <d v="1900-01-27T00:08:00"/>
    <s v="Credit card"/>
    <n v="55.45"/>
    <n v="4.7619047620000003"/>
    <n v="4.9000000000000004"/>
    <x v="0"/>
    <x v="1"/>
    <x v="5"/>
    <x v="0"/>
    <x v="0"/>
    <x v="2"/>
    <x v="6"/>
    <n v="0"/>
    <x v="3"/>
  </r>
  <r>
    <s v="322-02-2271"/>
    <n v="42.97"/>
    <n v="3"/>
    <n v="6.4455"/>
    <n v="135.35550000000001"/>
    <d v="2019-02-03T00:00:00"/>
    <d v="1900-01-27T01:08:00"/>
    <s v="Cash"/>
    <n v="128.91"/>
    <n v="4.7619047620000003"/>
    <n v="9.3000000000000007"/>
    <x v="1"/>
    <x v="0"/>
    <x v="3"/>
    <x v="2"/>
    <x v="2"/>
    <x v="2"/>
    <x v="2"/>
    <n v="1"/>
    <x v="3"/>
  </r>
  <r>
    <s v="842-29-4695"/>
    <n v="17.14"/>
    <n v="7"/>
    <n v="5.9989999999999997"/>
    <n v="125.979"/>
    <d v="2019-01-16T00:00:00"/>
    <d v="1900-01-27T02:08:00"/>
    <s v="Credit card"/>
    <n v="119.98"/>
    <n v="4.7619047620000003"/>
    <n v="7.9"/>
    <x v="0"/>
    <x v="1"/>
    <x v="3"/>
    <x v="1"/>
    <x v="1"/>
    <x v="0"/>
    <x v="5"/>
    <n v="2"/>
    <x v="3"/>
  </r>
  <r>
    <s v="725-67-2480"/>
    <n v="58.75"/>
    <n v="6"/>
    <n v="17.625"/>
    <n v="370.125"/>
    <d v="2019-03-24T00:00:00"/>
    <d v="1900-01-27T03:08:00"/>
    <s v="Credit card"/>
    <n v="352.5"/>
    <n v="4.7619047620000003"/>
    <n v="5.9"/>
    <x v="0"/>
    <x v="0"/>
    <x v="5"/>
    <x v="2"/>
    <x v="2"/>
    <x v="1"/>
    <x v="2"/>
    <n v="3"/>
    <x v="3"/>
  </r>
  <r>
    <s v="641-51-2661"/>
    <n v="87.1"/>
    <n v="10"/>
    <n v="43.55"/>
    <n v="914.55"/>
    <d v="2019-02-12T00:00:00"/>
    <d v="1900-01-27T04:08:00"/>
    <s v="Credit card"/>
    <n v="871"/>
    <n v="4.7619047620000003"/>
    <n v="9.9"/>
    <x v="0"/>
    <x v="0"/>
    <x v="4"/>
    <x v="1"/>
    <x v="1"/>
    <x v="2"/>
    <x v="6"/>
    <n v="4"/>
    <x v="3"/>
  </r>
  <r>
    <s v="714-02-3114"/>
    <n v="98.8"/>
    <n v="2"/>
    <n v="9.8800000000000008"/>
    <n v="207.48"/>
    <d v="2019-02-21T00:00:00"/>
    <d v="1900-01-27T05:08:00"/>
    <s v="Cash"/>
    <n v="197.6"/>
    <n v="4.7619047620000003"/>
    <n v="7.7"/>
    <x v="1"/>
    <x v="0"/>
    <x v="3"/>
    <x v="1"/>
    <x v="1"/>
    <x v="2"/>
    <x v="4"/>
    <n v="5"/>
    <x v="3"/>
  </r>
  <r>
    <s v="518-17-2983"/>
    <n v="48.63"/>
    <n v="4"/>
    <n v="9.7260000000000009"/>
    <n v="204.24600000000001"/>
    <d v="2019-02-04T00:00:00"/>
    <d v="1900-01-27T06:08:00"/>
    <s v="Ewallet"/>
    <n v="194.52"/>
    <n v="4.7619047620000003"/>
    <n v="7.6"/>
    <x v="1"/>
    <x v="0"/>
    <x v="5"/>
    <x v="0"/>
    <x v="0"/>
    <x v="2"/>
    <x v="3"/>
    <n v="6"/>
    <x v="3"/>
  </r>
  <r>
    <s v="779-42-2410"/>
    <n v="57.74"/>
    <n v="3"/>
    <n v="8.6609999999999996"/>
    <n v="181.881"/>
    <d v="2019-02-20T00:00:00"/>
    <d v="1900-01-27T07:08:00"/>
    <s v="Ewallet"/>
    <n v="173.22"/>
    <n v="4.7619047620000003"/>
    <n v="7.7"/>
    <x v="0"/>
    <x v="1"/>
    <x v="4"/>
    <x v="2"/>
    <x v="2"/>
    <x v="2"/>
    <x v="5"/>
    <n v="7"/>
    <x v="3"/>
  </r>
  <r>
    <s v="190-14-3147"/>
    <n v="17.97"/>
    <n v="4"/>
    <n v="3.5939999999999999"/>
    <n v="75.474000000000004"/>
    <d v="2019-02-23T00:00:00"/>
    <d v="1900-01-27T08:08:00"/>
    <s v="Ewallet"/>
    <n v="71.88"/>
    <n v="4.7619047620000003"/>
    <n v="6.4"/>
    <x v="1"/>
    <x v="0"/>
    <x v="0"/>
    <x v="2"/>
    <x v="2"/>
    <x v="2"/>
    <x v="0"/>
    <n v="8"/>
    <x v="3"/>
  </r>
  <r>
    <s v="408-66-6712"/>
    <n v="47.71"/>
    <n v="6"/>
    <n v="14.313000000000001"/>
    <n v="300.57299999999998"/>
    <d v="2019-02-16T00:00:00"/>
    <d v="1900-01-27T09:08:00"/>
    <s v="Ewallet"/>
    <n v="286.26"/>
    <n v="4.7619047620000003"/>
    <n v="4.4000000000000004"/>
    <x v="0"/>
    <x v="0"/>
    <x v="0"/>
    <x v="1"/>
    <x v="1"/>
    <x v="2"/>
    <x v="0"/>
    <n v="9"/>
    <x v="3"/>
  </r>
  <r>
    <s v="679-22-6530"/>
    <n v="40.619999999999997"/>
    <n v="2"/>
    <n v="4.0620000000000003"/>
    <n v="85.302000000000007"/>
    <d v="2019-01-17T00:00:00"/>
    <d v="1900-01-27T10:08:00"/>
    <s v="Credit card"/>
    <n v="81.239999999999995"/>
    <n v="4.7619047620000003"/>
    <n v="4.0999999999999996"/>
    <x v="1"/>
    <x v="0"/>
    <x v="3"/>
    <x v="2"/>
    <x v="2"/>
    <x v="0"/>
    <x v="4"/>
    <n v="10"/>
    <x v="3"/>
  </r>
  <r>
    <s v="588-47-8641"/>
    <n v="56.04"/>
    <n v="10"/>
    <n v="28.02"/>
    <n v="588.41999999999996"/>
    <d v="2019-01-14T00:00:00"/>
    <d v="1900-01-27T11:08:00"/>
    <s v="Ewallet"/>
    <n v="560.4"/>
    <n v="4.7619047620000003"/>
    <n v="4.4000000000000004"/>
    <x v="0"/>
    <x v="1"/>
    <x v="5"/>
    <x v="0"/>
    <x v="0"/>
    <x v="0"/>
    <x v="3"/>
    <n v="11"/>
    <x v="3"/>
  </r>
  <r>
    <s v="642-61-4706"/>
    <n v="93.4"/>
    <n v="2"/>
    <n v="9.34"/>
    <n v="196.14"/>
    <d v="2019-03-30T00:00:00"/>
    <d v="1900-01-27T12:08:00"/>
    <s v="Cash"/>
    <n v="186.8"/>
    <n v="4.7619047620000003"/>
    <n v="5.5"/>
    <x v="0"/>
    <x v="1"/>
    <x v="4"/>
    <x v="2"/>
    <x v="2"/>
    <x v="1"/>
    <x v="0"/>
    <n v="12"/>
    <x v="3"/>
  </r>
  <r>
    <s v="576-31-4774"/>
    <n v="73.41"/>
    <n v="3"/>
    <n v="11.0115"/>
    <n v="231.2415"/>
    <d v="2019-03-02T00:00:00"/>
    <d v="1900-01-27T13:08:00"/>
    <s v="Ewallet"/>
    <n v="220.23"/>
    <n v="4.7619047620000003"/>
    <n v="4"/>
    <x v="1"/>
    <x v="0"/>
    <x v="0"/>
    <x v="2"/>
    <x v="2"/>
    <x v="1"/>
    <x v="0"/>
    <n v="13"/>
    <x v="0"/>
  </r>
  <r>
    <s v="556-41-6224"/>
    <n v="33.64"/>
    <n v="8"/>
    <n v="13.456"/>
    <n v="282.57600000000002"/>
    <d v="2019-02-15T00:00:00"/>
    <d v="1900-01-27T14:08:00"/>
    <s v="Credit card"/>
    <n v="269.12"/>
    <n v="4.7619047620000003"/>
    <n v="9.3000000000000007"/>
    <x v="1"/>
    <x v="1"/>
    <x v="0"/>
    <x v="1"/>
    <x v="1"/>
    <x v="2"/>
    <x v="1"/>
    <n v="14"/>
    <x v="0"/>
  </r>
  <r>
    <s v="811-03-8790"/>
    <n v="45.48"/>
    <n v="10"/>
    <n v="22.74"/>
    <n v="477.54"/>
    <d v="2019-03-01T00:00:00"/>
    <d v="1900-01-27T15:08:00"/>
    <s v="Credit card"/>
    <n v="454.8"/>
    <n v="4.7619047620000003"/>
    <n v="4.8"/>
    <x v="1"/>
    <x v="0"/>
    <x v="1"/>
    <x v="0"/>
    <x v="0"/>
    <x v="1"/>
    <x v="1"/>
    <n v="15"/>
    <x v="0"/>
  </r>
  <r>
    <s v="242-11-3142"/>
    <n v="83.77"/>
    <n v="2"/>
    <n v="8.3770000000000007"/>
    <n v="175.917"/>
    <d v="2019-02-24T00:00:00"/>
    <d v="1900-01-27T16:08:00"/>
    <s v="Cash"/>
    <n v="167.54"/>
    <n v="4.7619047620000003"/>
    <n v="4.5999999999999996"/>
    <x v="0"/>
    <x v="1"/>
    <x v="5"/>
    <x v="2"/>
    <x v="2"/>
    <x v="2"/>
    <x v="2"/>
    <n v="16"/>
    <x v="0"/>
  </r>
  <r>
    <s v="752-23-3760"/>
    <n v="64.08"/>
    <n v="7"/>
    <n v="22.428000000000001"/>
    <n v="470.988"/>
    <d v="2019-02-19T00:00:00"/>
    <d v="1900-01-27T17:08:00"/>
    <s v="Credit card"/>
    <n v="448.56"/>
    <n v="4.7619047620000003"/>
    <n v="7.3"/>
    <x v="0"/>
    <x v="0"/>
    <x v="3"/>
    <x v="2"/>
    <x v="2"/>
    <x v="2"/>
    <x v="6"/>
    <n v="17"/>
    <x v="1"/>
  </r>
  <r>
    <s v="274-05-5470"/>
    <n v="73.47"/>
    <n v="4"/>
    <n v="14.694000000000001"/>
    <n v="308.57400000000001"/>
    <d v="2019-02-23T00:00:00"/>
    <d v="1900-01-27T18:08:00"/>
    <s v="Cash"/>
    <n v="293.88"/>
    <n v="4.7619047620000003"/>
    <n v="6"/>
    <x v="0"/>
    <x v="0"/>
    <x v="4"/>
    <x v="0"/>
    <x v="0"/>
    <x v="2"/>
    <x v="0"/>
    <n v="18"/>
    <x v="1"/>
  </r>
  <r>
    <s v="648-94-3045"/>
    <n v="58.95"/>
    <n v="10"/>
    <n v="29.475000000000001"/>
    <n v="618.97500000000002"/>
    <d v="2019-02-07T00:00:00"/>
    <d v="1900-01-27T19:08:00"/>
    <s v="Ewallet"/>
    <n v="589.5"/>
    <n v="4.7619047620000003"/>
    <n v="8.1"/>
    <x v="1"/>
    <x v="1"/>
    <x v="0"/>
    <x v="1"/>
    <x v="1"/>
    <x v="2"/>
    <x v="4"/>
    <n v="19"/>
    <x v="1"/>
  </r>
  <r>
    <s v="130-67-4723"/>
    <n v="48.5"/>
    <n v="6"/>
    <n v="14.55"/>
    <n v="305.55"/>
    <d v="2019-01-11T00:00:00"/>
    <d v="1900-01-27T20:08:00"/>
    <s v="Ewallet"/>
    <n v="291"/>
    <n v="4.7619047620000003"/>
    <n v="9.4"/>
    <x v="0"/>
    <x v="1"/>
    <x v="4"/>
    <x v="0"/>
    <x v="0"/>
    <x v="0"/>
    <x v="1"/>
    <n v="20"/>
    <x v="1"/>
  </r>
  <r>
    <s v="528-87-5606"/>
    <n v="39.479999999999997"/>
    <n v="1"/>
    <n v="1.974"/>
    <n v="41.454000000000001"/>
    <d v="2019-02-12T00:00:00"/>
    <d v="1900-01-27T21:08:00"/>
    <s v="Cash"/>
    <n v="39.479999999999997"/>
    <n v="4.7619047620000003"/>
    <n v="6.5"/>
    <x v="0"/>
    <x v="0"/>
    <x v="1"/>
    <x v="2"/>
    <x v="2"/>
    <x v="2"/>
    <x v="6"/>
    <n v="21"/>
    <x v="1"/>
  </r>
  <r>
    <s v="320-85-2052"/>
    <n v="34.81"/>
    <n v="1"/>
    <n v="1.7404999999999999"/>
    <n v="36.5505"/>
    <d v="2019-01-14T00:00:00"/>
    <d v="1900-01-27T22:08:00"/>
    <s v="Credit card"/>
    <n v="34.81"/>
    <n v="4.7619047620000003"/>
    <n v="7"/>
    <x v="1"/>
    <x v="0"/>
    <x v="3"/>
    <x v="2"/>
    <x v="2"/>
    <x v="0"/>
    <x v="3"/>
    <n v="22"/>
    <x v="2"/>
  </r>
  <r>
    <s v="370-96-0655"/>
    <n v="49.32"/>
    <n v="6"/>
    <n v="14.795999999999999"/>
    <n v="310.71600000000001"/>
    <d v="2019-01-09T00:00:00"/>
    <d v="1900-01-27T23:08:00"/>
    <s v="Ewallet"/>
    <n v="295.92"/>
    <n v="4.7619047620000003"/>
    <n v="7.1"/>
    <x v="1"/>
    <x v="0"/>
    <x v="5"/>
    <x v="1"/>
    <x v="1"/>
    <x v="0"/>
    <x v="5"/>
    <n v="23"/>
    <x v="2"/>
  </r>
  <r>
    <s v="105-10-6182"/>
    <n v="21.48"/>
    <n v="2"/>
    <n v="2.1480000000000001"/>
    <n v="45.107999999999997"/>
    <d v="2019-02-27T00:00:00"/>
    <d v="1900-01-28T00:08:00"/>
    <s v="Ewallet"/>
    <n v="42.96"/>
    <n v="4.7619047620000003"/>
    <n v="6.6"/>
    <x v="0"/>
    <x v="1"/>
    <x v="5"/>
    <x v="0"/>
    <x v="0"/>
    <x v="2"/>
    <x v="5"/>
    <n v="0"/>
    <x v="3"/>
  </r>
  <r>
    <s v="510-79-0415"/>
    <n v="23.08"/>
    <n v="6"/>
    <n v="6.9240000000000004"/>
    <n v="145.404"/>
    <d v="2019-01-24T00:00:00"/>
    <d v="1900-01-28T01:08:00"/>
    <s v="Ewallet"/>
    <n v="138.47999999999999"/>
    <n v="4.7619047620000003"/>
    <n v="4.9000000000000004"/>
    <x v="0"/>
    <x v="0"/>
    <x v="3"/>
    <x v="2"/>
    <x v="2"/>
    <x v="0"/>
    <x v="4"/>
    <n v="1"/>
    <x v="3"/>
  </r>
  <r>
    <s v="241-96-5076"/>
    <n v="49.1"/>
    <n v="2"/>
    <n v="4.91"/>
    <n v="103.11"/>
    <d v="2019-01-08T00:00:00"/>
    <d v="1900-01-28T02:08:00"/>
    <s v="Credit card"/>
    <n v="98.2"/>
    <n v="4.7619047620000003"/>
    <n v="6.4"/>
    <x v="0"/>
    <x v="0"/>
    <x v="2"/>
    <x v="2"/>
    <x v="2"/>
    <x v="0"/>
    <x v="6"/>
    <n v="2"/>
    <x v="3"/>
  </r>
  <r>
    <s v="767-97-4650"/>
    <n v="64.83"/>
    <n v="2"/>
    <n v="6.4829999999999997"/>
    <n v="136.143"/>
    <d v="2019-01-08T00:00:00"/>
    <d v="1900-01-28T03:08:00"/>
    <s v="Credit card"/>
    <n v="129.66"/>
    <n v="4.7619047620000003"/>
    <n v="8"/>
    <x v="0"/>
    <x v="0"/>
    <x v="3"/>
    <x v="2"/>
    <x v="2"/>
    <x v="0"/>
    <x v="6"/>
    <n v="3"/>
    <x v="3"/>
  </r>
  <r>
    <s v="648-83-1321"/>
    <n v="63.56"/>
    <n v="10"/>
    <n v="31.78"/>
    <n v="667.38"/>
    <d v="2019-01-16T00:00:00"/>
    <d v="1900-01-28T04:08:00"/>
    <s v="Cash"/>
    <n v="635.6"/>
    <n v="4.7619047620000003"/>
    <n v="4.3"/>
    <x v="0"/>
    <x v="1"/>
    <x v="2"/>
    <x v="0"/>
    <x v="0"/>
    <x v="0"/>
    <x v="5"/>
    <n v="4"/>
    <x v="3"/>
  </r>
  <r>
    <s v="173-57-2300"/>
    <n v="72.88"/>
    <n v="2"/>
    <n v="7.2880000000000003"/>
    <n v="153.048"/>
    <d v="2019-03-13T00:00:00"/>
    <d v="1900-01-28T05:08:00"/>
    <s v="Cash"/>
    <n v="145.76"/>
    <n v="4.7619047620000003"/>
    <n v="6.1"/>
    <x v="0"/>
    <x v="1"/>
    <x v="3"/>
    <x v="1"/>
    <x v="1"/>
    <x v="1"/>
    <x v="5"/>
    <n v="5"/>
    <x v="3"/>
  </r>
  <r>
    <s v="305-03-2383"/>
    <n v="67.099999999999994"/>
    <n v="3"/>
    <n v="10.065"/>
    <n v="211.36500000000001"/>
    <d v="2019-02-15T00:00:00"/>
    <d v="1900-01-28T06:08:00"/>
    <s v="Cash"/>
    <n v="201.3"/>
    <n v="4.7619047620000003"/>
    <n v="7.5"/>
    <x v="1"/>
    <x v="0"/>
    <x v="4"/>
    <x v="0"/>
    <x v="0"/>
    <x v="2"/>
    <x v="1"/>
    <n v="6"/>
    <x v="3"/>
  </r>
  <r>
    <s v="394-55-6384"/>
    <n v="70.19"/>
    <n v="9"/>
    <n v="31.5855"/>
    <n v="663.29549999999995"/>
    <d v="2019-01-25T00:00:00"/>
    <d v="1900-01-28T07:08:00"/>
    <s v="Cash"/>
    <n v="631.71"/>
    <n v="4.7619047620000003"/>
    <n v="6.7"/>
    <x v="0"/>
    <x v="0"/>
    <x v="3"/>
    <x v="1"/>
    <x v="1"/>
    <x v="0"/>
    <x v="1"/>
    <n v="7"/>
    <x v="3"/>
  </r>
  <r>
    <s v="266-20-6657"/>
    <n v="55.04"/>
    <n v="7"/>
    <n v="19.263999999999999"/>
    <n v="404.54399999999998"/>
    <d v="2019-03-12T00:00:00"/>
    <d v="1900-01-28T08:08:00"/>
    <s v="Ewallet"/>
    <n v="385.28"/>
    <n v="4.7619047620000003"/>
    <n v="5.2"/>
    <x v="0"/>
    <x v="1"/>
    <x v="4"/>
    <x v="1"/>
    <x v="1"/>
    <x v="1"/>
    <x v="6"/>
    <n v="8"/>
    <x v="3"/>
  </r>
  <r>
    <s v="689-05-1884"/>
    <n v="48.63"/>
    <n v="10"/>
    <n v="24.315000000000001"/>
    <n v="510.61500000000001"/>
    <d v="2019-03-04T00:00:00"/>
    <d v="1900-01-28T09:08:00"/>
    <s v="Cash"/>
    <n v="486.3"/>
    <n v="4.7619047620000003"/>
    <n v="8.8000000000000007"/>
    <x v="0"/>
    <x v="1"/>
    <x v="0"/>
    <x v="0"/>
    <x v="0"/>
    <x v="1"/>
    <x v="3"/>
    <n v="9"/>
    <x v="3"/>
  </r>
  <r>
    <s v="196-01-2849"/>
    <n v="73.38"/>
    <n v="7"/>
    <n v="25.683"/>
    <n v="539.34299999999996"/>
    <d v="2019-02-10T00:00:00"/>
    <d v="1900-01-28T10:08:00"/>
    <s v="Cash"/>
    <n v="513.66"/>
    <n v="4.7619047620000003"/>
    <n v="9.5"/>
    <x v="0"/>
    <x v="0"/>
    <x v="5"/>
    <x v="1"/>
    <x v="1"/>
    <x v="2"/>
    <x v="2"/>
    <n v="10"/>
    <x v="3"/>
  </r>
  <r>
    <s v="372-62-5264"/>
    <n v="52.6"/>
    <n v="9"/>
    <n v="23.67"/>
    <n v="497.07"/>
    <d v="2019-01-16T00:00:00"/>
    <d v="1900-01-28T11:08:00"/>
    <s v="Cash"/>
    <n v="473.4"/>
    <n v="4.7619047620000003"/>
    <n v="7.6"/>
    <x v="1"/>
    <x v="0"/>
    <x v="4"/>
    <x v="1"/>
    <x v="1"/>
    <x v="0"/>
    <x v="5"/>
    <n v="11"/>
    <x v="3"/>
  </r>
  <r>
    <s v="800-09-8606"/>
    <n v="87.37"/>
    <n v="5"/>
    <n v="21.842500000000001"/>
    <n v="458.6925"/>
    <d v="2019-01-29T00:00:00"/>
    <d v="1900-01-28T12:08:00"/>
    <s v="Cash"/>
    <n v="436.85"/>
    <n v="4.7619047620000003"/>
    <n v="6.6"/>
    <x v="0"/>
    <x v="0"/>
    <x v="2"/>
    <x v="0"/>
    <x v="0"/>
    <x v="0"/>
    <x v="6"/>
    <n v="12"/>
    <x v="3"/>
  </r>
  <r>
    <s v="182-52-7000"/>
    <n v="27.04"/>
    <n v="4"/>
    <n v="5.4080000000000004"/>
    <n v="113.568"/>
    <d v="2019-01-01T00:00:00"/>
    <d v="1900-01-28T13:08:00"/>
    <s v="Ewallet"/>
    <n v="108.16"/>
    <n v="4.7619047620000003"/>
    <n v="6.9"/>
    <x v="0"/>
    <x v="0"/>
    <x v="3"/>
    <x v="0"/>
    <x v="0"/>
    <x v="0"/>
    <x v="6"/>
    <n v="13"/>
    <x v="0"/>
  </r>
  <r>
    <s v="826-58-8051"/>
    <n v="62.19"/>
    <n v="4"/>
    <n v="12.438000000000001"/>
    <n v="261.19799999999998"/>
    <d v="2019-01-06T00:00:00"/>
    <d v="1900-01-28T14:08:00"/>
    <s v="Ewallet"/>
    <n v="248.76"/>
    <n v="4.7619047620000003"/>
    <n v="4.3"/>
    <x v="1"/>
    <x v="1"/>
    <x v="2"/>
    <x v="2"/>
    <x v="2"/>
    <x v="0"/>
    <x v="2"/>
    <n v="14"/>
    <x v="0"/>
  </r>
  <r>
    <s v="868-06-0466"/>
    <n v="69.58"/>
    <n v="9"/>
    <n v="31.311"/>
    <n v="657.53099999999995"/>
    <d v="2019-02-19T00:00:00"/>
    <d v="1900-01-28T15:08:00"/>
    <s v="Credit card"/>
    <n v="626.22"/>
    <n v="4.7619047620000003"/>
    <n v="7.8"/>
    <x v="0"/>
    <x v="1"/>
    <x v="1"/>
    <x v="0"/>
    <x v="0"/>
    <x v="2"/>
    <x v="6"/>
    <n v="15"/>
    <x v="0"/>
  </r>
  <r>
    <s v="751-41-9720"/>
    <n v="97.5"/>
    <n v="10"/>
    <n v="48.75"/>
    <n v="1023.75"/>
    <d v="2019-01-12T00:00:00"/>
    <d v="1900-01-28T16:08:00"/>
    <s v="Ewallet"/>
    <n v="975"/>
    <n v="4.7619047620000003"/>
    <n v="8"/>
    <x v="1"/>
    <x v="1"/>
    <x v="2"/>
    <x v="1"/>
    <x v="1"/>
    <x v="0"/>
    <x v="0"/>
    <n v="16"/>
    <x v="0"/>
  </r>
  <r>
    <s v="626-43-7888"/>
    <n v="60.41"/>
    <n v="8"/>
    <n v="24.164000000000001"/>
    <n v="507.44400000000002"/>
    <d v="2019-02-07T00:00:00"/>
    <d v="1900-01-28T17:08:00"/>
    <s v="Ewallet"/>
    <n v="483.28"/>
    <n v="4.7619047620000003"/>
    <n v="9.6"/>
    <x v="1"/>
    <x v="0"/>
    <x v="5"/>
    <x v="1"/>
    <x v="1"/>
    <x v="2"/>
    <x v="4"/>
    <n v="17"/>
    <x v="1"/>
  </r>
  <r>
    <s v="176-64-7711"/>
    <n v="32.32"/>
    <n v="3"/>
    <n v="4.8479999999999999"/>
    <n v="101.80800000000001"/>
    <d v="2019-03-27T00:00:00"/>
    <d v="1900-01-28T18:08:00"/>
    <s v="Credit card"/>
    <n v="96.96"/>
    <n v="4.7619047620000003"/>
    <n v="4.3"/>
    <x v="1"/>
    <x v="1"/>
    <x v="4"/>
    <x v="2"/>
    <x v="2"/>
    <x v="1"/>
    <x v="5"/>
    <n v="18"/>
    <x v="1"/>
  </r>
  <r>
    <s v="191-29-0321"/>
    <n v="19.77"/>
    <n v="10"/>
    <n v="9.8849999999999998"/>
    <n v="207.58500000000001"/>
    <d v="2019-02-27T00:00:00"/>
    <d v="1900-01-28T19:08:00"/>
    <s v="Credit card"/>
    <n v="197.7"/>
    <n v="4.7619047620000003"/>
    <n v="5"/>
    <x v="0"/>
    <x v="0"/>
    <x v="5"/>
    <x v="2"/>
    <x v="2"/>
    <x v="2"/>
    <x v="5"/>
    <n v="19"/>
    <x v="1"/>
  </r>
  <r>
    <s v="729-06-2010"/>
    <n v="80.47"/>
    <n v="9"/>
    <n v="36.211500000000001"/>
    <n v="760.44150000000002"/>
    <d v="2019-01-06T00:00:00"/>
    <d v="1900-01-28T20:08:00"/>
    <s v="Cash"/>
    <n v="724.23"/>
    <n v="4.7619047620000003"/>
    <n v="9.1999999999999993"/>
    <x v="0"/>
    <x v="1"/>
    <x v="0"/>
    <x v="2"/>
    <x v="2"/>
    <x v="0"/>
    <x v="2"/>
    <n v="20"/>
    <x v="1"/>
  </r>
  <r>
    <s v="640-48-5028"/>
    <n v="88.39"/>
    <n v="9"/>
    <n v="39.775500000000001"/>
    <n v="835.28549999999996"/>
    <d v="2019-03-02T00:00:00"/>
    <d v="1900-01-28T21:08:00"/>
    <s v="Cash"/>
    <n v="795.51"/>
    <n v="4.7619047620000003"/>
    <n v="6.3"/>
    <x v="0"/>
    <x v="0"/>
    <x v="2"/>
    <x v="2"/>
    <x v="2"/>
    <x v="1"/>
    <x v="0"/>
    <n v="21"/>
    <x v="1"/>
  </r>
  <r>
    <s v="186-79-9562"/>
    <n v="71.77"/>
    <n v="7"/>
    <n v="25.119499999999999"/>
    <n v="527.5095"/>
    <d v="2019-03-29T00:00:00"/>
    <d v="1900-01-28T22:08:00"/>
    <s v="Cash"/>
    <n v="502.39"/>
    <n v="4.7619047620000003"/>
    <n v="8.9"/>
    <x v="1"/>
    <x v="1"/>
    <x v="0"/>
    <x v="2"/>
    <x v="2"/>
    <x v="1"/>
    <x v="1"/>
    <n v="22"/>
    <x v="2"/>
  </r>
  <r>
    <s v="834-45-5519"/>
    <n v="43"/>
    <n v="4"/>
    <n v="8.6"/>
    <n v="180.6"/>
    <d v="2019-01-31T00:00:00"/>
    <d v="1900-01-28T23:08:00"/>
    <s v="Ewallet"/>
    <n v="172"/>
    <n v="4.7619047620000003"/>
    <n v="7.6"/>
    <x v="1"/>
    <x v="0"/>
    <x v="1"/>
    <x v="2"/>
    <x v="2"/>
    <x v="0"/>
    <x v="4"/>
    <n v="23"/>
    <x v="2"/>
  </r>
  <r>
    <s v="162-65-8559"/>
    <n v="68.98"/>
    <n v="1"/>
    <n v="3.4489999999999998"/>
    <n v="72.429000000000002"/>
    <d v="2019-01-21T00:00:00"/>
    <d v="1900-01-29T00:08:00"/>
    <s v="Cash"/>
    <n v="68.98"/>
    <n v="4.7619047620000003"/>
    <n v="4.8"/>
    <x v="0"/>
    <x v="1"/>
    <x v="4"/>
    <x v="1"/>
    <x v="1"/>
    <x v="0"/>
    <x v="3"/>
    <n v="0"/>
    <x v="3"/>
  </r>
  <r>
    <s v="760-27-5490"/>
    <n v="15.62"/>
    <n v="8"/>
    <n v="6.2480000000000002"/>
    <n v="131.208"/>
    <d v="2019-01-20T00:00:00"/>
    <d v="1900-01-29T01:08:00"/>
    <s v="Ewallet"/>
    <n v="124.96"/>
    <n v="4.7619047620000003"/>
    <n v="9.1"/>
    <x v="1"/>
    <x v="1"/>
    <x v="5"/>
    <x v="1"/>
    <x v="1"/>
    <x v="0"/>
    <x v="2"/>
    <n v="1"/>
    <x v="3"/>
  </r>
  <r>
    <s v="445-30-9252"/>
    <n v="25.7"/>
    <n v="3"/>
    <n v="3.855"/>
    <n v="80.954999999999998"/>
    <d v="2019-01-17T00:00:00"/>
    <d v="1900-01-29T02:08:00"/>
    <s v="Ewallet"/>
    <n v="77.099999999999994"/>
    <n v="4.7619047620000003"/>
    <n v="6.1"/>
    <x v="1"/>
    <x v="1"/>
    <x v="3"/>
    <x v="0"/>
    <x v="0"/>
    <x v="0"/>
    <x v="4"/>
    <n v="2"/>
    <x v="3"/>
  </r>
  <r>
    <s v="786-94-2700"/>
    <n v="80.62"/>
    <n v="6"/>
    <n v="24.186"/>
    <n v="507.90600000000001"/>
    <d v="2019-02-28T00:00:00"/>
    <d v="1900-01-29T03:08:00"/>
    <s v="Cash"/>
    <n v="483.72"/>
    <n v="4.7619047620000003"/>
    <n v="9.1"/>
    <x v="0"/>
    <x v="1"/>
    <x v="4"/>
    <x v="0"/>
    <x v="0"/>
    <x v="2"/>
    <x v="4"/>
    <n v="3"/>
    <x v="3"/>
  </r>
  <r>
    <s v="728-88-7867"/>
    <n v="75.53"/>
    <n v="4"/>
    <n v="15.106"/>
    <n v="317.226"/>
    <d v="2019-03-19T00:00:00"/>
    <d v="1900-01-29T04:08:00"/>
    <s v="Ewallet"/>
    <n v="302.12"/>
    <n v="4.7619047620000003"/>
    <n v="8.3000000000000007"/>
    <x v="0"/>
    <x v="0"/>
    <x v="2"/>
    <x v="1"/>
    <x v="1"/>
    <x v="1"/>
    <x v="6"/>
    <n v="4"/>
    <x v="3"/>
  </r>
  <r>
    <s v="183-21-3799"/>
    <n v="77.63"/>
    <n v="9"/>
    <n v="34.933500000000002"/>
    <n v="733.60350000000005"/>
    <d v="2019-02-19T00:00:00"/>
    <d v="1900-01-29T05:08:00"/>
    <s v="Ewallet"/>
    <n v="698.67"/>
    <n v="4.7619047620000003"/>
    <n v="7.2"/>
    <x v="1"/>
    <x v="0"/>
    <x v="1"/>
    <x v="1"/>
    <x v="1"/>
    <x v="2"/>
    <x v="6"/>
    <n v="5"/>
    <x v="3"/>
  </r>
  <r>
    <s v="268-20-3585"/>
    <n v="13.85"/>
    <n v="9"/>
    <n v="6.2324999999999999"/>
    <n v="130.88249999999999"/>
    <d v="2019-02-04T00:00:00"/>
    <d v="1900-01-29T06:08:00"/>
    <s v="Ewallet"/>
    <n v="124.65"/>
    <n v="4.7619047620000003"/>
    <n v="6"/>
    <x v="1"/>
    <x v="0"/>
    <x v="0"/>
    <x v="1"/>
    <x v="1"/>
    <x v="2"/>
    <x v="3"/>
    <n v="6"/>
    <x v="3"/>
  </r>
  <r>
    <s v="735-32-9839"/>
    <n v="98.7"/>
    <n v="8"/>
    <n v="39.479999999999997"/>
    <n v="829.08"/>
    <d v="2019-01-31T00:00:00"/>
    <d v="1900-01-29T07:08:00"/>
    <s v="Ewallet"/>
    <n v="789.6"/>
    <n v="4.7619047620000003"/>
    <n v="8.5"/>
    <x v="0"/>
    <x v="1"/>
    <x v="5"/>
    <x v="1"/>
    <x v="1"/>
    <x v="0"/>
    <x v="4"/>
    <n v="7"/>
    <x v="3"/>
  </r>
  <r>
    <s v="258-92-7466"/>
    <n v="35.68"/>
    <n v="5"/>
    <n v="8.92"/>
    <n v="187.32"/>
    <d v="2019-02-06T00:00:00"/>
    <d v="1900-01-29T08:08:00"/>
    <s v="Credit card"/>
    <n v="178.4"/>
    <n v="4.7619047620000003"/>
    <n v="6.6"/>
    <x v="1"/>
    <x v="0"/>
    <x v="0"/>
    <x v="0"/>
    <x v="0"/>
    <x v="2"/>
    <x v="5"/>
    <n v="8"/>
    <x v="3"/>
  </r>
  <r>
    <s v="857-16-3520"/>
    <n v="71.459999999999994"/>
    <n v="7"/>
    <n v="25.010999999999999"/>
    <n v="525.23099999999999"/>
    <d v="2019-03-28T00:00:00"/>
    <d v="1900-01-29T09:08:00"/>
    <s v="Ewallet"/>
    <n v="500.22"/>
    <n v="4.7619047620000003"/>
    <n v="4.5"/>
    <x v="0"/>
    <x v="0"/>
    <x v="5"/>
    <x v="0"/>
    <x v="0"/>
    <x v="1"/>
    <x v="4"/>
    <n v="9"/>
    <x v="3"/>
  </r>
  <r>
    <s v="482-17-1179"/>
    <n v="11.94"/>
    <n v="3"/>
    <n v="1.7909999999999999"/>
    <n v="37.610999999999997"/>
    <d v="2019-01-19T00:00:00"/>
    <d v="1900-01-29T10:08:00"/>
    <s v="Credit card"/>
    <n v="35.82"/>
    <n v="4.7619047620000003"/>
    <n v="8.1"/>
    <x v="0"/>
    <x v="1"/>
    <x v="1"/>
    <x v="0"/>
    <x v="0"/>
    <x v="0"/>
    <x v="0"/>
    <n v="10"/>
    <x v="3"/>
  </r>
  <r>
    <s v="788-21-5741"/>
    <n v="45.38"/>
    <n v="3"/>
    <n v="6.8070000000000004"/>
    <n v="142.947"/>
    <d v="2019-02-17T00:00:00"/>
    <d v="1900-01-29T11:08:00"/>
    <s v="Credit card"/>
    <n v="136.13999999999999"/>
    <n v="4.7619047620000003"/>
    <n v="7.2"/>
    <x v="1"/>
    <x v="1"/>
    <x v="5"/>
    <x v="0"/>
    <x v="0"/>
    <x v="2"/>
    <x v="2"/>
    <n v="11"/>
    <x v="3"/>
  </r>
  <r>
    <s v="821-14-9046"/>
    <n v="17.48"/>
    <n v="6"/>
    <n v="5.2439999999999998"/>
    <n v="110.124"/>
    <d v="2019-01-18T00:00:00"/>
    <d v="1900-01-29T12:08:00"/>
    <s v="Credit card"/>
    <n v="104.88"/>
    <n v="4.7619047620000003"/>
    <n v="6.1"/>
    <x v="0"/>
    <x v="0"/>
    <x v="5"/>
    <x v="2"/>
    <x v="2"/>
    <x v="0"/>
    <x v="1"/>
    <n v="12"/>
    <x v="3"/>
  </r>
  <r>
    <s v="418-05-0656"/>
    <n v="25.56"/>
    <n v="7"/>
    <n v="8.9459999999999997"/>
    <n v="187.86600000000001"/>
    <d v="2019-02-02T00:00:00"/>
    <d v="1900-01-29T13:08:00"/>
    <s v="Cash"/>
    <n v="178.92"/>
    <n v="4.7619047620000003"/>
    <n v="7.1"/>
    <x v="1"/>
    <x v="0"/>
    <x v="5"/>
    <x v="2"/>
    <x v="2"/>
    <x v="2"/>
    <x v="0"/>
    <n v="13"/>
    <x v="0"/>
  </r>
  <r>
    <s v="678-79-0726"/>
    <n v="90.63"/>
    <n v="9"/>
    <n v="40.783499999999997"/>
    <n v="856.45349999999996"/>
    <d v="2019-01-18T00:00:00"/>
    <d v="1900-01-29T14:08:00"/>
    <s v="Cash"/>
    <n v="815.67"/>
    <n v="4.7619047620000003"/>
    <n v="5.0999999999999996"/>
    <x v="0"/>
    <x v="0"/>
    <x v="3"/>
    <x v="1"/>
    <x v="1"/>
    <x v="0"/>
    <x v="1"/>
    <n v="14"/>
    <x v="0"/>
  </r>
  <r>
    <s v="776-68-1096"/>
    <n v="44.12"/>
    <n v="3"/>
    <n v="6.6180000000000003"/>
    <n v="138.97800000000001"/>
    <d v="2019-03-18T00:00:00"/>
    <d v="1900-01-29T15:08:00"/>
    <s v="Credit card"/>
    <n v="132.36000000000001"/>
    <n v="4.7619047620000003"/>
    <n v="7.9"/>
    <x v="1"/>
    <x v="1"/>
    <x v="2"/>
    <x v="2"/>
    <x v="2"/>
    <x v="1"/>
    <x v="3"/>
    <n v="15"/>
    <x v="0"/>
  </r>
  <r>
    <s v="592-46-1692"/>
    <n v="36.770000000000003"/>
    <n v="7"/>
    <n v="12.8695"/>
    <n v="270.2595"/>
    <d v="2019-01-11T00:00:00"/>
    <d v="1900-01-29T16:08:00"/>
    <s v="Cash"/>
    <n v="257.39"/>
    <n v="4.7619047620000003"/>
    <n v="7.4"/>
    <x v="0"/>
    <x v="0"/>
    <x v="4"/>
    <x v="1"/>
    <x v="1"/>
    <x v="0"/>
    <x v="1"/>
    <n v="16"/>
    <x v="0"/>
  </r>
  <r>
    <s v="434-35-9162"/>
    <n v="23.34"/>
    <n v="4"/>
    <n v="4.6680000000000001"/>
    <n v="98.028000000000006"/>
    <d v="2019-02-04T00:00:00"/>
    <d v="1900-01-29T17:08:00"/>
    <s v="Ewallet"/>
    <n v="93.36"/>
    <n v="4.7619047620000003"/>
    <n v="7.4"/>
    <x v="0"/>
    <x v="1"/>
    <x v="4"/>
    <x v="2"/>
    <x v="2"/>
    <x v="2"/>
    <x v="3"/>
    <n v="17"/>
    <x v="1"/>
  </r>
  <r>
    <s v="149-14-0304"/>
    <n v="28.5"/>
    <n v="8"/>
    <n v="11.4"/>
    <n v="239.4"/>
    <d v="2019-02-06T00:00:00"/>
    <d v="1900-01-29T18:08:00"/>
    <s v="Cash"/>
    <n v="228"/>
    <n v="4.7619047620000003"/>
    <n v="6.6"/>
    <x v="0"/>
    <x v="0"/>
    <x v="0"/>
    <x v="1"/>
    <x v="1"/>
    <x v="2"/>
    <x v="5"/>
    <n v="18"/>
    <x v="1"/>
  </r>
  <r>
    <s v="442-44-6497"/>
    <n v="55.57"/>
    <n v="3"/>
    <n v="8.3354999999999997"/>
    <n v="175.0455"/>
    <d v="2019-01-08T00:00:00"/>
    <d v="1900-01-29T19:08:00"/>
    <s v="Credit card"/>
    <n v="166.71"/>
    <n v="4.7619047620000003"/>
    <n v="5.9"/>
    <x v="0"/>
    <x v="1"/>
    <x v="2"/>
    <x v="1"/>
    <x v="1"/>
    <x v="0"/>
    <x v="6"/>
    <n v="19"/>
    <x v="1"/>
  </r>
  <r>
    <s v="174-64-0215"/>
    <n v="69.739999999999995"/>
    <n v="10"/>
    <n v="34.869999999999997"/>
    <n v="732.27"/>
    <d v="2019-03-05T00:00:00"/>
    <d v="1900-01-29T20:08:00"/>
    <s v="Credit card"/>
    <n v="697.4"/>
    <n v="4.7619047620000003"/>
    <n v="8.9"/>
    <x v="1"/>
    <x v="1"/>
    <x v="3"/>
    <x v="2"/>
    <x v="2"/>
    <x v="1"/>
    <x v="6"/>
    <n v="20"/>
    <x v="1"/>
  </r>
  <r>
    <s v="210-74-9613"/>
    <n v="97.26"/>
    <n v="4"/>
    <n v="19.452000000000002"/>
    <n v="408.49200000000002"/>
    <d v="2019-03-16T00:00:00"/>
    <d v="1900-01-29T21:08:00"/>
    <s v="Ewallet"/>
    <n v="389.04"/>
    <n v="4.7619047620000003"/>
    <n v="6.8"/>
    <x v="1"/>
    <x v="1"/>
    <x v="5"/>
    <x v="1"/>
    <x v="1"/>
    <x v="1"/>
    <x v="0"/>
    <n v="21"/>
    <x v="1"/>
  </r>
  <r>
    <s v="299-29-0180"/>
    <n v="52.18"/>
    <n v="7"/>
    <n v="18.263000000000002"/>
    <n v="383.52300000000002"/>
    <d v="2019-03-09T00:00:00"/>
    <d v="1900-01-29T22:08:00"/>
    <s v="Cash"/>
    <n v="365.26"/>
    <n v="4.7619047620000003"/>
    <n v="9.3000000000000007"/>
    <x v="0"/>
    <x v="0"/>
    <x v="2"/>
    <x v="2"/>
    <x v="2"/>
    <x v="1"/>
    <x v="0"/>
    <n v="22"/>
    <x v="2"/>
  </r>
  <r>
    <s v="247-11-2470"/>
    <n v="22.32"/>
    <n v="4"/>
    <n v="4.4640000000000004"/>
    <n v="93.744"/>
    <d v="2019-03-01T00:00:00"/>
    <d v="1900-01-29T23:08:00"/>
    <s v="Credit card"/>
    <n v="89.28"/>
    <n v="4.7619047620000003"/>
    <n v="4.4000000000000004"/>
    <x v="0"/>
    <x v="0"/>
    <x v="5"/>
    <x v="0"/>
    <x v="0"/>
    <x v="1"/>
    <x v="1"/>
    <n v="23"/>
    <x v="2"/>
  </r>
  <r>
    <s v="635-28-5728"/>
    <n v="56"/>
    <n v="3"/>
    <n v="8.4"/>
    <n v="176.4"/>
    <d v="2019-02-28T00:00:00"/>
    <d v="1900-01-30T00:08:00"/>
    <s v="Ewallet"/>
    <n v="168"/>
    <n v="4.7619047620000003"/>
    <n v="4.8"/>
    <x v="1"/>
    <x v="1"/>
    <x v="0"/>
    <x v="0"/>
    <x v="0"/>
    <x v="2"/>
    <x v="4"/>
    <n v="0"/>
    <x v="3"/>
  </r>
  <r>
    <s v="756-49-0168"/>
    <n v="19.7"/>
    <n v="1"/>
    <n v="0.98499999999999999"/>
    <n v="20.684999999999999"/>
    <d v="2019-02-08T00:00:00"/>
    <d v="1900-01-30T01:08:00"/>
    <s v="Ewallet"/>
    <n v="19.7"/>
    <n v="4.7619047620000003"/>
    <n v="9.5"/>
    <x v="0"/>
    <x v="1"/>
    <x v="5"/>
    <x v="0"/>
    <x v="0"/>
    <x v="2"/>
    <x v="1"/>
    <n v="1"/>
    <x v="3"/>
  </r>
  <r>
    <s v="438-23-1242"/>
    <n v="75.88"/>
    <n v="7"/>
    <n v="26.558"/>
    <n v="557.71799999999996"/>
    <d v="2019-01-24T00:00:00"/>
    <d v="1900-01-30T02:08:00"/>
    <s v="Ewallet"/>
    <n v="531.16"/>
    <n v="4.7619047620000003"/>
    <n v="8.9"/>
    <x v="1"/>
    <x v="1"/>
    <x v="1"/>
    <x v="2"/>
    <x v="2"/>
    <x v="0"/>
    <x v="4"/>
    <n v="2"/>
    <x v="3"/>
  </r>
  <r>
    <s v="238-45-6950"/>
    <n v="53.72"/>
    <n v="1"/>
    <n v="2.6859999999999999"/>
    <n v="56.405999999999999"/>
    <d v="2019-03-01T00:00:00"/>
    <d v="1900-01-30T03:08:00"/>
    <s v="Ewallet"/>
    <n v="53.72"/>
    <n v="4.7619047620000003"/>
    <n v="6.4"/>
    <x v="0"/>
    <x v="1"/>
    <x v="4"/>
    <x v="2"/>
    <x v="2"/>
    <x v="1"/>
    <x v="1"/>
    <n v="3"/>
    <x v="3"/>
  </r>
  <r>
    <s v="607-65-2441"/>
    <n v="81.95"/>
    <n v="10"/>
    <n v="40.975000000000001"/>
    <n v="860.47500000000002"/>
    <d v="2019-03-10T00:00:00"/>
    <d v="1900-01-30T04:08:00"/>
    <s v="Credit card"/>
    <n v="819.5"/>
    <n v="4.7619047620000003"/>
    <n v="6"/>
    <x v="0"/>
    <x v="1"/>
    <x v="0"/>
    <x v="1"/>
    <x v="1"/>
    <x v="1"/>
    <x v="2"/>
    <n v="4"/>
    <x v="3"/>
  </r>
  <r>
    <s v="386-27-7606"/>
    <n v="81.2"/>
    <n v="7"/>
    <n v="28.42"/>
    <n v="596.82000000000005"/>
    <d v="2019-03-23T00:00:00"/>
    <d v="1900-01-30T05:08:00"/>
    <s v="Credit card"/>
    <n v="568.4"/>
    <n v="4.7619047620000003"/>
    <n v="8.1"/>
    <x v="0"/>
    <x v="0"/>
    <x v="2"/>
    <x v="1"/>
    <x v="1"/>
    <x v="1"/>
    <x v="0"/>
    <n v="5"/>
    <x v="3"/>
  </r>
  <r>
    <s v="137-63-5492"/>
    <n v="58.76"/>
    <n v="10"/>
    <n v="29.38"/>
    <n v="616.98"/>
    <d v="2019-01-29T00:00:00"/>
    <d v="1900-01-30T06:08:00"/>
    <s v="Ewallet"/>
    <n v="587.6"/>
    <n v="4.7619047620000003"/>
    <n v="9"/>
    <x v="1"/>
    <x v="1"/>
    <x v="1"/>
    <x v="1"/>
    <x v="1"/>
    <x v="0"/>
    <x v="6"/>
    <n v="6"/>
    <x v="3"/>
  </r>
  <r>
    <s v="197-77-7132"/>
    <n v="91.56"/>
    <n v="8"/>
    <n v="36.624000000000002"/>
    <n v="769.10400000000004"/>
    <d v="2019-01-12T00:00:00"/>
    <d v="1900-01-30T07:08:00"/>
    <s v="Ewallet"/>
    <n v="732.48"/>
    <n v="4.7619047620000003"/>
    <n v="6"/>
    <x v="0"/>
    <x v="1"/>
    <x v="1"/>
    <x v="2"/>
    <x v="2"/>
    <x v="0"/>
    <x v="0"/>
    <n v="7"/>
    <x v="3"/>
  </r>
  <r>
    <s v="805-86-0265"/>
    <n v="93.96"/>
    <n v="9"/>
    <n v="42.281999999999996"/>
    <n v="887.92200000000003"/>
    <d v="2019-03-20T00:00:00"/>
    <d v="1900-01-30T08:08:00"/>
    <s v="Cash"/>
    <n v="845.64"/>
    <n v="4.7619047620000003"/>
    <n v="9.8000000000000007"/>
    <x v="1"/>
    <x v="1"/>
    <x v="2"/>
    <x v="0"/>
    <x v="0"/>
    <x v="1"/>
    <x v="5"/>
    <n v="8"/>
    <x v="3"/>
  </r>
  <r>
    <s v="733-29-1227"/>
    <n v="55.61"/>
    <n v="7"/>
    <n v="19.4635"/>
    <n v="408.73349999999999"/>
    <d v="2019-03-23T00:00:00"/>
    <d v="1900-01-30T09:08:00"/>
    <s v="Cash"/>
    <n v="389.27"/>
    <n v="4.7619047620000003"/>
    <n v="8.5"/>
    <x v="1"/>
    <x v="1"/>
    <x v="2"/>
    <x v="1"/>
    <x v="1"/>
    <x v="1"/>
    <x v="0"/>
    <n v="9"/>
    <x v="3"/>
  </r>
  <r>
    <s v="451-73-2711"/>
    <n v="84.83"/>
    <n v="1"/>
    <n v="4.2415000000000003"/>
    <n v="89.0715"/>
    <d v="2019-01-14T00:00:00"/>
    <d v="1900-01-30T10:08:00"/>
    <s v="Ewallet"/>
    <n v="84.83"/>
    <n v="4.7619047620000003"/>
    <n v="8.8000000000000007"/>
    <x v="1"/>
    <x v="1"/>
    <x v="4"/>
    <x v="1"/>
    <x v="1"/>
    <x v="0"/>
    <x v="3"/>
    <n v="10"/>
    <x v="3"/>
  </r>
  <r>
    <s v="373-14-0504"/>
    <n v="71.63"/>
    <n v="2"/>
    <n v="7.1630000000000003"/>
    <n v="150.423"/>
    <d v="2019-02-12T00:00:00"/>
    <d v="1900-01-30T11:08:00"/>
    <s v="Ewallet"/>
    <n v="143.26"/>
    <n v="4.7619047620000003"/>
    <n v="8.8000000000000007"/>
    <x v="0"/>
    <x v="0"/>
    <x v="3"/>
    <x v="0"/>
    <x v="0"/>
    <x v="2"/>
    <x v="6"/>
    <n v="11"/>
    <x v="3"/>
  </r>
  <r>
    <s v="546-80-2899"/>
    <n v="37.69"/>
    <n v="2"/>
    <n v="3.7690000000000001"/>
    <n v="79.149000000000001"/>
    <d v="2019-02-20T00:00:00"/>
    <d v="1900-01-30T12:08:00"/>
    <s v="Ewallet"/>
    <n v="75.38"/>
    <n v="4.7619047620000003"/>
    <n v="9.5"/>
    <x v="0"/>
    <x v="1"/>
    <x v="2"/>
    <x v="0"/>
    <x v="0"/>
    <x v="2"/>
    <x v="5"/>
    <n v="12"/>
    <x v="3"/>
  </r>
  <r>
    <s v="345-68-9016"/>
    <n v="31.67"/>
    <n v="8"/>
    <n v="12.667999999999999"/>
    <n v="266.02800000000002"/>
    <d v="2019-01-02T00:00:00"/>
    <d v="1900-01-30T13:08:00"/>
    <s v="Credit card"/>
    <n v="253.36"/>
    <n v="4.7619047620000003"/>
    <n v="5.6"/>
    <x v="0"/>
    <x v="0"/>
    <x v="3"/>
    <x v="1"/>
    <x v="1"/>
    <x v="0"/>
    <x v="5"/>
    <n v="13"/>
    <x v="0"/>
  </r>
  <r>
    <s v="390-17-5806"/>
    <n v="38.42"/>
    <n v="1"/>
    <n v="1.921"/>
    <n v="40.341000000000001"/>
    <d v="2019-02-02T00:00:00"/>
    <d v="1900-01-30T14:08:00"/>
    <s v="Cash"/>
    <n v="38.42"/>
    <n v="4.7619047620000003"/>
    <n v="8.6"/>
    <x v="0"/>
    <x v="0"/>
    <x v="4"/>
    <x v="1"/>
    <x v="1"/>
    <x v="2"/>
    <x v="0"/>
    <n v="14"/>
    <x v="0"/>
  </r>
  <r>
    <s v="457-13-1708"/>
    <n v="65.23"/>
    <n v="10"/>
    <n v="32.615000000000002"/>
    <n v="684.91499999999996"/>
    <d v="2019-01-08T00:00:00"/>
    <d v="1900-01-30T15:08:00"/>
    <s v="Credit card"/>
    <n v="652.29999999999995"/>
    <n v="4.7619047620000003"/>
    <n v="5.2"/>
    <x v="0"/>
    <x v="1"/>
    <x v="5"/>
    <x v="2"/>
    <x v="2"/>
    <x v="0"/>
    <x v="6"/>
    <n v="15"/>
    <x v="0"/>
  </r>
  <r>
    <s v="664-14-2882"/>
    <n v="10.53"/>
    <n v="5"/>
    <n v="2.6324999999999998"/>
    <n v="55.282499999999999"/>
    <d v="2019-01-30T00:00:00"/>
    <d v="1900-01-30T16:08:00"/>
    <s v="Credit card"/>
    <n v="52.65"/>
    <n v="4.7619047620000003"/>
    <n v="5.8"/>
    <x v="0"/>
    <x v="0"/>
    <x v="2"/>
    <x v="1"/>
    <x v="1"/>
    <x v="0"/>
    <x v="5"/>
    <n v="16"/>
    <x v="0"/>
  </r>
  <r>
    <s v="487-79-6868"/>
    <n v="12.29"/>
    <n v="9"/>
    <n v="5.5305"/>
    <n v="116.1405"/>
    <d v="2019-03-26T00:00:00"/>
    <d v="1900-01-30T17:08:00"/>
    <s v="Credit card"/>
    <n v="110.61"/>
    <n v="4.7619047620000003"/>
    <n v="8"/>
    <x v="0"/>
    <x v="0"/>
    <x v="2"/>
    <x v="2"/>
    <x v="2"/>
    <x v="1"/>
    <x v="6"/>
    <n v="17"/>
    <x v="1"/>
  </r>
  <r>
    <s v="314-23-4520"/>
    <n v="81.23"/>
    <n v="7"/>
    <n v="28.430499999999999"/>
    <n v="597.04049999999995"/>
    <d v="2019-01-15T00:00:00"/>
    <d v="1900-01-30T18:08:00"/>
    <s v="Cash"/>
    <n v="568.61"/>
    <n v="4.7619047620000003"/>
    <n v="9"/>
    <x v="0"/>
    <x v="1"/>
    <x v="0"/>
    <x v="1"/>
    <x v="1"/>
    <x v="0"/>
    <x v="6"/>
    <n v="18"/>
    <x v="1"/>
  </r>
  <r>
    <s v="210-30-7976"/>
    <n v="22.32"/>
    <n v="4"/>
    <n v="4.4640000000000004"/>
    <n v="93.744"/>
    <d v="2019-03-14T00:00:00"/>
    <d v="1900-01-30T19:08:00"/>
    <s v="Ewallet"/>
    <n v="89.28"/>
    <n v="4.7619047620000003"/>
    <n v="4.0999999999999996"/>
    <x v="0"/>
    <x v="0"/>
    <x v="5"/>
    <x v="2"/>
    <x v="2"/>
    <x v="1"/>
    <x v="4"/>
    <n v="19"/>
    <x v="1"/>
  </r>
  <r>
    <s v="585-86-8361"/>
    <n v="27.28"/>
    <n v="5"/>
    <n v="6.82"/>
    <n v="143.22"/>
    <d v="2019-02-03T00:00:00"/>
    <d v="1900-01-30T20:08:00"/>
    <s v="Credit card"/>
    <n v="136.4"/>
    <n v="4.7619047620000003"/>
    <n v="8.6"/>
    <x v="1"/>
    <x v="0"/>
    <x v="4"/>
    <x v="0"/>
    <x v="0"/>
    <x v="2"/>
    <x v="2"/>
    <n v="20"/>
    <x v="1"/>
  </r>
  <r>
    <s v="807-14-7833"/>
    <n v="17.420000000000002"/>
    <n v="10"/>
    <n v="8.7100000000000009"/>
    <n v="182.91"/>
    <d v="2019-02-22T00:00:00"/>
    <d v="1900-01-30T21:08:00"/>
    <s v="Ewallet"/>
    <n v="174.2"/>
    <n v="4.7619047620000003"/>
    <n v="7"/>
    <x v="0"/>
    <x v="0"/>
    <x v="1"/>
    <x v="0"/>
    <x v="0"/>
    <x v="2"/>
    <x v="1"/>
    <n v="21"/>
    <x v="1"/>
  </r>
  <r>
    <s v="775-72-1988"/>
    <n v="73.28"/>
    <n v="5"/>
    <n v="18.32"/>
    <n v="384.72"/>
    <d v="2019-01-24T00:00:00"/>
    <d v="1900-01-30T22:08:00"/>
    <s v="Ewallet"/>
    <n v="366.4"/>
    <n v="4.7619047620000003"/>
    <n v="8.4"/>
    <x v="1"/>
    <x v="1"/>
    <x v="2"/>
    <x v="2"/>
    <x v="2"/>
    <x v="0"/>
    <x v="4"/>
    <n v="22"/>
    <x v="2"/>
  </r>
  <r>
    <s v="288-38-3758"/>
    <n v="84.87"/>
    <n v="3"/>
    <n v="12.730499999999999"/>
    <n v="267.34050000000002"/>
    <d v="2019-01-25T00:00:00"/>
    <d v="1900-01-30T23:08:00"/>
    <s v="Ewallet"/>
    <n v="254.61"/>
    <n v="4.7619047620000003"/>
    <n v="7.4"/>
    <x v="0"/>
    <x v="0"/>
    <x v="5"/>
    <x v="1"/>
    <x v="1"/>
    <x v="0"/>
    <x v="1"/>
    <n v="23"/>
    <x v="2"/>
  </r>
  <r>
    <s v="652-43-6591"/>
    <n v="97.29"/>
    <n v="8"/>
    <n v="38.915999999999997"/>
    <n v="817.23599999999999"/>
    <d v="2019-03-09T00:00:00"/>
    <d v="1900-01-31T00:08:00"/>
    <s v="Credit card"/>
    <n v="778.32"/>
    <n v="4.7619047620000003"/>
    <n v="6.2"/>
    <x v="1"/>
    <x v="0"/>
    <x v="5"/>
    <x v="0"/>
    <x v="0"/>
    <x v="1"/>
    <x v="0"/>
    <n v="0"/>
    <x v="3"/>
  </r>
  <r>
    <s v="785-96-0615"/>
    <n v="35.74"/>
    <n v="8"/>
    <n v="14.295999999999999"/>
    <n v="300.21600000000001"/>
    <d v="2019-02-17T00:00:00"/>
    <d v="1900-01-31T01:08:00"/>
    <s v="Ewallet"/>
    <n v="285.92"/>
    <n v="4.7619047620000003"/>
    <n v="4.9000000000000004"/>
    <x v="0"/>
    <x v="0"/>
    <x v="1"/>
    <x v="2"/>
    <x v="2"/>
    <x v="2"/>
    <x v="2"/>
    <n v="1"/>
    <x v="3"/>
  </r>
  <r>
    <s v="406-46-7107"/>
    <n v="96.52"/>
    <n v="6"/>
    <n v="28.956"/>
    <n v="608.07600000000002"/>
    <d v="2019-01-11T00:00:00"/>
    <d v="1900-01-31T02:08:00"/>
    <s v="Cash"/>
    <n v="579.12"/>
    <n v="4.7619047620000003"/>
    <n v="4.5"/>
    <x v="1"/>
    <x v="0"/>
    <x v="2"/>
    <x v="0"/>
    <x v="0"/>
    <x v="0"/>
    <x v="1"/>
    <n v="2"/>
    <x v="3"/>
  </r>
  <r>
    <s v="250-17-5703"/>
    <n v="18.850000000000001"/>
    <n v="10"/>
    <n v="9.4250000000000007"/>
    <n v="197.92500000000001"/>
    <d v="2019-02-27T00:00:00"/>
    <d v="1900-01-31T03:08:00"/>
    <s v="Ewallet"/>
    <n v="188.5"/>
    <n v="4.7619047620000003"/>
    <n v="5.6"/>
    <x v="0"/>
    <x v="1"/>
    <x v="4"/>
    <x v="0"/>
    <x v="0"/>
    <x v="2"/>
    <x v="5"/>
    <n v="3"/>
    <x v="3"/>
  </r>
  <r>
    <s v="156-95-3964"/>
    <n v="55.39"/>
    <n v="4"/>
    <n v="11.077999999999999"/>
    <n v="232.63800000000001"/>
    <d v="2019-03-25T00:00:00"/>
    <d v="1900-01-31T04:08:00"/>
    <s v="Ewallet"/>
    <n v="221.56"/>
    <n v="4.7619047620000003"/>
    <n v="8"/>
    <x v="1"/>
    <x v="0"/>
    <x v="4"/>
    <x v="0"/>
    <x v="0"/>
    <x v="1"/>
    <x v="3"/>
    <n v="4"/>
    <x v="3"/>
  </r>
  <r>
    <s v="842-40-8179"/>
    <n v="77.2"/>
    <n v="10"/>
    <n v="38.6"/>
    <n v="810.6"/>
    <d v="2019-02-11T00:00:00"/>
    <d v="1900-01-31T05:08:00"/>
    <s v="Credit card"/>
    <n v="772"/>
    <n v="4.7619047620000003"/>
    <n v="5.6"/>
    <x v="0"/>
    <x v="0"/>
    <x v="4"/>
    <x v="2"/>
    <x v="2"/>
    <x v="2"/>
    <x v="3"/>
    <n v="5"/>
    <x v="3"/>
  </r>
  <r>
    <s v="525-09-8450"/>
    <n v="72.13"/>
    <n v="10"/>
    <n v="36.064999999999998"/>
    <n v="757.36500000000001"/>
    <d v="2019-01-31T00:00:00"/>
    <d v="1900-01-31T06:08:00"/>
    <s v="Credit card"/>
    <n v="721.3"/>
    <n v="4.7619047620000003"/>
    <n v="4.2"/>
    <x v="1"/>
    <x v="1"/>
    <x v="1"/>
    <x v="2"/>
    <x v="2"/>
    <x v="0"/>
    <x v="4"/>
    <n v="6"/>
    <x v="3"/>
  </r>
  <r>
    <s v="410-67-1709"/>
    <n v="63.88"/>
    <n v="8"/>
    <n v="25.552"/>
    <n v="536.59199999999998"/>
    <d v="2019-01-20T00:00:00"/>
    <d v="1900-01-31T07:08:00"/>
    <s v="Ewallet"/>
    <n v="511.04"/>
    <n v="4.7619047620000003"/>
    <n v="9.9"/>
    <x v="0"/>
    <x v="0"/>
    <x v="5"/>
    <x v="0"/>
    <x v="0"/>
    <x v="0"/>
    <x v="2"/>
    <n v="7"/>
    <x v="3"/>
  </r>
  <r>
    <s v="587-73-4862"/>
    <n v="10.69"/>
    <n v="5"/>
    <n v="2.6724999999999999"/>
    <n v="56.122500000000002"/>
    <d v="2019-03-26T00:00:00"/>
    <d v="1900-01-31T08:08:00"/>
    <s v="Ewallet"/>
    <n v="53.45"/>
    <n v="4.7619047620000003"/>
    <n v="7.6"/>
    <x v="0"/>
    <x v="0"/>
    <x v="0"/>
    <x v="0"/>
    <x v="0"/>
    <x v="1"/>
    <x v="6"/>
    <n v="8"/>
    <x v="3"/>
  </r>
  <r>
    <s v="787-87-2010"/>
    <n v="55.5"/>
    <n v="4"/>
    <n v="11.1"/>
    <n v="233.1"/>
    <d v="2019-01-20T00:00:00"/>
    <d v="1900-01-31T09:08:00"/>
    <s v="Credit card"/>
    <n v="222"/>
    <n v="4.7619047620000003"/>
    <n v="6.6"/>
    <x v="0"/>
    <x v="1"/>
    <x v="0"/>
    <x v="0"/>
    <x v="0"/>
    <x v="0"/>
    <x v="2"/>
    <n v="9"/>
    <x v="3"/>
  </r>
  <r>
    <s v="593-14-4239"/>
    <n v="95.46"/>
    <n v="8"/>
    <n v="38.183999999999997"/>
    <n v="801.86400000000003"/>
    <d v="2019-03-05T00:00:00"/>
    <d v="1900-01-31T10:08:00"/>
    <s v="Ewallet"/>
    <n v="763.68"/>
    <n v="4.7619047620000003"/>
    <n v="4.7"/>
    <x v="1"/>
    <x v="0"/>
    <x v="2"/>
    <x v="2"/>
    <x v="2"/>
    <x v="1"/>
    <x v="6"/>
    <n v="10"/>
    <x v="3"/>
  </r>
  <r>
    <s v="801-88-0346"/>
    <n v="76.06"/>
    <n v="3"/>
    <n v="11.409000000000001"/>
    <n v="239.589"/>
    <d v="2019-01-05T00:00:00"/>
    <d v="1900-01-31T11:08:00"/>
    <s v="Credit card"/>
    <n v="228.18"/>
    <n v="4.7619047620000003"/>
    <n v="9.8000000000000007"/>
    <x v="1"/>
    <x v="0"/>
    <x v="5"/>
    <x v="1"/>
    <x v="1"/>
    <x v="0"/>
    <x v="0"/>
    <n v="11"/>
    <x v="3"/>
  </r>
  <r>
    <s v="388-76-2555"/>
    <n v="13.69"/>
    <n v="6"/>
    <n v="4.1070000000000002"/>
    <n v="86.247"/>
    <d v="2019-02-13T00:00:00"/>
    <d v="1900-01-31T12:08:00"/>
    <s v="Cash"/>
    <n v="82.14"/>
    <n v="4.7619047620000003"/>
    <n v="6.3"/>
    <x v="1"/>
    <x v="1"/>
    <x v="3"/>
    <x v="2"/>
    <x v="2"/>
    <x v="2"/>
    <x v="5"/>
    <n v="12"/>
    <x v="3"/>
  </r>
  <r>
    <s v="711-31-1234"/>
    <n v="95.64"/>
    <n v="4"/>
    <n v="19.128"/>
    <n v="401.68799999999999"/>
    <d v="2019-03-16T00:00:00"/>
    <d v="1900-01-31T13:08:00"/>
    <s v="Cash"/>
    <n v="382.56"/>
    <n v="4.7619047620000003"/>
    <n v="7.9"/>
    <x v="1"/>
    <x v="0"/>
    <x v="1"/>
    <x v="2"/>
    <x v="2"/>
    <x v="1"/>
    <x v="0"/>
    <n v="13"/>
    <x v="0"/>
  </r>
  <r>
    <s v="886-54-6089"/>
    <n v="11.43"/>
    <n v="6"/>
    <n v="3.4289999999999998"/>
    <n v="72.009"/>
    <d v="2019-01-15T00:00:00"/>
    <d v="1900-01-31T14:08:00"/>
    <s v="Cash"/>
    <n v="68.58"/>
    <n v="4.7619047620000003"/>
    <n v="7.7"/>
    <x v="1"/>
    <x v="0"/>
    <x v="2"/>
    <x v="0"/>
    <x v="0"/>
    <x v="0"/>
    <x v="6"/>
    <n v="14"/>
    <x v="0"/>
  </r>
  <r>
    <s v="707-32-7409"/>
    <n v="95.54"/>
    <n v="4"/>
    <n v="19.108000000000001"/>
    <n v="401.26799999999997"/>
    <d v="2019-02-26T00:00:00"/>
    <d v="1900-01-31T15:08:00"/>
    <s v="Ewallet"/>
    <n v="382.16"/>
    <n v="4.7619047620000003"/>
    <n v="4.5"/>
    <x v="0"/>
    <x v="0"/>
    <x v="3"/>
    <x v="2"/>
    <x v="2"/>
    <x v="2"/>
    <x v="6"/>
    <n v="15"/>
    <x v="0"/>
  </r>
  <r>
    <s v="759-98-4285"/>
    <n v="85.87"/>
    <n v="7"/>
    <n v="30.054500000000001"/>
    <n v="631.14449999999999"/>
    <d v="2019-02-27T00:00:00"/>
    <d v="1900-01-31T16:08:00"/>
    <s v="Credit card"/>
    <n v="601.09"/>
    <n v="4.7619047620000003"/>
    <n v="8"/>
    <x v="0"/>
    <x v="0"/>
    <x v="0"/>
    <x v="1"/>
    <x v="1"/>
    <x v="2"/>
    <x v="5"/>
    <n v="16"/>
    <x v="0"/>
  </r>
  <r>
    <s v="201-63-8275"/>
    <n v="67.989999999999995"/>
    <n v="7"/>
    <n v="23.796500000000002"/>
    <n v="499.72649999999999"/>
    <d v="2019-02-17T00:00:00"/>
    <d v="1900-01-31T17:08:00"/>
    <s v="Ewallet"/>
    <n v="475.93"/>
    <n v="4.7619047620000003"/>
    <n v="5.7"/>
    <x v="0"/>
    <x v="0"/>
    <x v="3"/>
    <x v="1"/>
    <x v="1"/>
    <x v="2"/>
    <x v="2"/>
    <n v="17"/>
    <x v="1"/>
  </r>
  <r>
    <s v="471-06-8611"/>
    <n v="52.42"/>
    <n v="1"/>
    <n v="2.621"/>
    <n v="55.040999999999997"/>
    <d v="2019-02-06T00:00:00"/>
    <d v="1900-01-31T18:08:00"/>
    <s v="Credit card"/>
    <n v="52.42"/>
    <n v="4.7619047620000003"/>
    <n v="6.3"/>
    <x v="1"/>
    <x v="0"/>
    <x v="4"/>
    <x v="1"/>
    <x v="1"/>
    <x v="2"/>
    <x v="5"/>
    <n v="18"/>
    <x v="1"/>
  </r>
  <r>
    <s v="200-16-5952"/>
    <n v="65.650000000000006"/>
    <n v="2"/>
    <n v="6.5650000000000004"/>
    <n v="137.86500000000001"/>
    <d v="2019-01-17T00:00:00"/>
    <d v="1900-01-31T19:08:00"/>
    <s v="Cash"/>
    <n v="131.30000000000001"/>
    <n v="4.7619047620000003"/>
    <n v="6"/>
    <x v="0"/>
    <x v="1"/>
    <x v="4"/>
    <x v="1"/>
    <x v="1"/>
    <x v="0"/>
    <x v="4"/>
    <n v="19"/>
    <x v="1"/>
  </r>
  <r>
    <s v="120-54-2248"/>
    <n v="28.86"/>
    <n v="5"/>
    <n v="7.2149999999999999"/>
    <n v="151.51499999999999"/>
    <d v="2019-01-22T00:00:00"/>
    <d v="1900-01-31T20:08:00"/>
    <s v="Credit card"/>
    <n v="144.30000000000001"/>
    <n v="4.7619047620000003"/>
    <n v="8"/>
    <x v="1"/>
    <x v="0"/>
    <x v="4"/>
    <x v="2"/>
    <x v="2"/>
    <x v="0"/>
    <x v="6"/>
    <n v="20"/>
    <x v="1"/>
  </r>
  <r>
    <s v="102-77-2261"/>
    <n v="65.31"/>
    <n v="7"/>
    <n v="22.858499999999999"/>
    <n v="480.02850000000001"/>
    <d v="2019-03-05T00:00:00"/>
    <d v="1900-01-31T21:08:00"/>
    <s v="Credit card"/>
    <n v="457.17"/>
    <n v="4.7619047620000003"/>
    <n v="4.2"/>
    <x v="0"/>
    <x v="1"/>
    <x v="0"/>
    <x v="1"/>
    <x v="1"/>
    <x v="1"/>
    <x v="6"/>
    <n v="21"/>
    <x v="1"/>
  </r>
  <r>
    <s v="875-31-8302"/>
    <n v="93.38"/>
    <n v="1"/>
    <n v="4.6689999999999996"/>
    <n v="98.049000000000007"/>
    <d v="2019-01-03T00:00:00"/>
    <d v="1900-01-31T22:08:00"/>
    <s v="Cash"/>
    <n v="93.38"/>
    <n v="4.7619047620000003"/>
    <n v="9.6"/>
    <x v="1"/>
    <x v="1"/>
    <x v="3"/>
    <x v="2"/>
    <x v="2"/>
    <x v="0"/>
    <x v="4"/>
    <n v="22"/>
    <x v="2"/>
  </r>
  <r>
    <s v="102-06-2002"/>
    <n v="25.25"/>
    <n v="5"/>
    <n v="6.3125"/>
    <n v="132.5625"/>
    <d v="2019-03-20T00:00:00"/>
    <d v="1900-01-31T23:08:00"/>
    <s v="Cash"/>
    <n v="126.25"/>
    <n v="4.7619047620000003"/>
    <n v="6.1"/>
    <x v="0"/>
    <x v="1"/>
    <x v="3"/>
    <x v="1"/>
    <x v="1"/>
    <x v="1"/>
    <x v="5"/>
    <n v="23"/>
    <x v="2"/>
  </r>
  <r>
    <s v="457-94-0464"/>
    <n v="87.87"/>
    <n v="9"/>
    <n v="39.541499999999999"/>
    <n v="830.37149999999997"/>
    <d v="2019-01-31T00:00:00"/>
    <d v="1900-02-01T00:08:00"/>
    <s v="Ewallet"/>
    <n v="790.83"/>
    <n v="4.7619047620000003"/>
    <n v="5.6"/>
    <x v="0"/>
    <x v="1"/>
    <x v="1"/>
    <x v="2"/>
    <x v="2"/>
    <x v="0"/>
    <x v="4"/>
    <n v="0"/>
    <x v="3"/>
  </r>
  <r>
    <s v="629-42-4133"/>
    <n v="21.8"/>
    <n v="8"/>
    <n v="8.7200000000000006"/>
    <n v="183.12"/>
    <d v="2019-02-19T00:00:00"/>
    <d v="1900-02-01T01:08:00"/>
    <s v="Cash"/>
    <n v="174.4"/>
    <n v="4.7619047620000003"/>
    <n v="8.3000000000000007"/>
    <x v="1"/>
    <x v="1"/>
    <x v="0"/>
    <x v="1"/>
    <x v="1"/>
    <x v="2"/>
    <x v="6"/>
    <n v="1"/>
    <x v="3"/>
  </r>
  <r>
    <s v="534-53-3526"/>
    <n v="94.76"/>
    <n v="4"/>
    <n v="18.952000000000002"/>
    <n v="397.99200000000002"/>
    <d v="2019-02-11T00:00:00"/>
    <d v="1900-02-01T02:08:00"/>
    <s v="Ewallet"/>
    <n v="379.04"/>
    <n v="4.7619047620000003"/>
    <n v="7.8"/>
    <x v="1"/>
    <x v="0"/>
    <x v="3"/>
    <x v="0"/>
    <x v="0"/>
    <x v="2"/>
    <x v="3"/>
    <n v="2"/>
    <x v="3"/>
  </r>
  <r>
    <s v="307-04-2070"/>
    <n v="30.62"/>
    <n v="1"/>
    <n v="1.5309999999999999"/>
    <n v="32.151000000000003"/>
    <d v="2019-02-05T00:00:00"/>
    <d v="1900-02-01T03:08:00"/>
    <s v="Credit card"/>
    <n v="30.62"/>
    <n v="4.7619047620000003"/>
    <n v="4.0999999999999996"/>
    <x v="0"/>
    <x v="0"/>
    <x v="5"/>
    <x v="0"/>
    <x v="0"/>
    <x v="2"/>
    <x v="6"/>
    <n v="3"/>
    <x v="3"/>
  </r>
  <r>
    <s v="468-99-7231"/>
    <n v="44.01"/>
    <n v="8"/>
    <n v="17.603999999999999"/>
    <n v="369.68400000000003"/>
    <d v="2019-03-03T00:00:00"/>
    <d v="1900-02-01T04:08:00"/>
    <s v="Cash"/>
    <n v="352.08"/>
    <n v="4.7619047620000003"/>
    <n v="8.8000000000000007"/>
    <x v="1"/>
    <x v="0"/>
    <x v="2"/>
    <x v="1"/>
    <x v="1"/>
    <x v="1"/>
    <x v="2"/>
    <n v="4"/>
    <x v="3"/>
  </r>
  <r>
    <s v="516-77-6464"/>
    <n v="10.16"/>
    <n v="5"/>
    <n v="2.54"/>
    <n v="53.34"/>
    <d v="2019-02-24T00:00:00"/>
    <d v="1900-02-01T05:08:00"/>
    <s v="Ewallet"/>
    <n v="50.8"/>
    <n v="4.7619047620000003"/>
    <n v="4.0999999999999996"/>
    <x v="0"/>
    <x v="0"/>
    <x v="0"/>
    <x v="1"/>
    <x v="1"/>
    <x v="2"/>
    <x v="2"/>
    <n v="5"/>
    <x v="3"/>
  </r>
  <r>
    <s v="404-91-5964"/>
    <n v="74.58"/>
    <n v="7"/>
    <n v="26.103000000000002"/>
    <n v="548.16300000000001"/>
    <d v="2019-02-04T00:00:00"/>
    <d v="1900-02-01T06:08:00"/>
    <s v="Credit card"/>
    <n v="522.05999999999995"/>
    <n v="4.7619047620000003"/>
    <n v="9"/>
    <x v="1"/>
    <x v="1"/>
    <x v="1"/>
    <x v="0"/>
    <x v="0"/>
    <x v="2"/>
    <x v="3"/>
    <n v="6"/>
    <x v="3"/>
  </r>
  <r>
    <s v="886-77-9084"/>
    <n v="71.89"/>
    <n v="8"/>
    <n v="28.756"/>
    <n v="603.87599999999998"/>
    <d v="2019-02-19T00:00:00"/>
    <d v="1900-02-01T07:08:00"/>
    <s v="Ewallet"/>
    <n v="575.12"/>
    <n v="4.7619047620000003"/>
    <n v="5.5"/>
    <x v="1"/>
    <x v="1"/>
    <x v="1"/>
    <x v="1"/>
    <x v="1"/>
    <x v="2"/>
    <x v="6"/>
    <n v="7"/>
    <x v="3"/>
  </r>
  <r>
    <s v="790-38-4466"/>
    <n v="10.99"/>
    <n v="5"/>
    <n v="2.7475000000000001"/>
    <n v="57.697499999999998"/>
    <d v="2019-01-23T00:00:00"/>
    <d v="1900-02-01T08:08:00"/>
    <s v="Credit card"/>
    <n v="54.95"/>
    <n v="4.7619047620000003"/>
    <n v="9.3000000000000007"/>
    <x v="1"/>
    <x v="0"/>
    <x v="0"/>
    <x v="1"/>
    <x v="1"/>
    <x v="0"/>
    <x v="5"/>
    <n v="8"/>
    <x v="3"/>
  </r>
  <r>
    <s v="704-10-4056"/>
    <n v="60.47"/>
    <n v="3"/>
    <n v="9.0704999999999991"/>
    <n v="190.48050000000001"/>
    <d v="2019-01-14T00:00:00"/>
    <d v="1900-02-01T09:08:00"/>
    <s v="Credit card"/>
    <n v="181.41"/>
    <n v="4.7619047620000003"/>
    <n v="5.6"/>
    <x v="0"/>
    <x v="1"/>
    <x v="0"/>
    <x v="1"/>
    <x v="1"/>
    <x v="0"/>
    <x v="3"/>
    <n v="9"/>
    <x v="3"/>
  </r>
  <r>
    <s v="497-37-6538"/>
    <n v="58.91"/>
    <n v="7"/>
    <n v="20.618500000000001"/>
    <n v="432.98849999999999"/>
    <d v="2019-01-17T00:00:00"/>
    <d v="1900-02-01T10:08:00"/>
    <s v="Ewallet"/>
    <n v="412.37"/>
    <n v="4.7619047620000003"/>
    <n v="9.6999999999999993"/>
    <x v="1"/>
    <x v="1"/>
    <x v="3"/>
    <x v="0"/>
    <x v="0"/>
    <x v="0"/>
    <x v="4"/>
    <n v="10"/>
    <x v="3"/>
  </r>
  <r>
    <s v="651-96-5970"/>
    <n v="46.41"/>
    <n v="1"/>
    <n v="2.3205"/>
    <n v="48.730499999999999"/>
    <d v="2019-03-03T00:00:00"/>
    <d v="1900-02-01T11:08:00"/>
    <s v="Credit card"/>
    <n v="46.41"/>
    <n v="4.7619047620000003"/>
    <n v="4"/>
    <x v="1"/>
    <x v="1"/>
    <x v="5"/>
    <x v="0"/>
    <x v="0"/>
    <x v="1"/>
    <x v="2"/>
    <n v="11"/>
    <x v="3"/>
  </r>
  <r>
    <s v="400-80-4065"/>
    <n v="68.55"/>
    <n v="4"/>
    <n v="13.71"/>
    <n v="287.91000000000003"/>
    <d v="2019-02-15T00:00:00"/>
    <d v="1900-02-01T12:08:00"/>
    <s v="Credit card"/>
    <n v="274.2"/>
    <n v="4.7619047620000003"/>
    <n v="9.1999999999999993"/>
    <x v="0"/>
    <x v="1"/>
    <x v="0"/>
    <x v="1"/>
    <x v="1"/>
    <x v="2"/>
    <x v="1"/>
    <n v="12"/>
    <x v="3"/>
  </r>
  <r>
    <s v="744-16-7898"/>
    <n v="97.37"/>
    <n v="10"/>
    <n v="48.685000000000002"/>
    <n v="1022.385"/>
    <d v="2019-01-15T00:00:00"/>
    <d v="1900-02-01T13:08:00"/>
    <s v="Credit card"/>
    <n v="973.7"/>
    <n v="4.7619047620000003"/>
    <n v="4.9000000000000004"/>
    <x v="1"/>
    <x v="0"/>
    <x v="2"/>
    <x v="2"/>
    <x v="2"/>
    <x v="0"/>
    <x v="6"/>
    <n v="13"/>
    <x v="0"/>
  </r>
  <r>
    <s v="263-12-5321"/>
    <n v="92.6"/>
    <n v="7"/>
    <n v="32.409999999999997"/>
    <n v="680.61"/>
    <d v="2019-02-27T00:00:00"/>
    <d v="1900-02-01T14:08:00"/>
    <s v="Credit card"/>
    <n v="648.20000000000005"/>
    <n v="4.7619047620000003"/>
    <n v="9.3000000000000007"/>
    <x v="0"/>
    <x v="1"/>
    <x v="1"/>
    <x v="0"/>
    <x v="0"/>
    <x v="2"/>
    <x v="5"/>
    <n v="14"/>
    <x v="0"/>
  </r>
  <r>
    <s v="702-72-0487"/>
    <n v="46.61"/>
    <n v="2"/>
    <n v="4.6609999999999996"/>
    <n v="97.881"/>
    <d v="2019-02-26T00:00:00"/>
    <d v="1900-02-01T15:08:00"/>
    <s v="Credit card"/>
    <n v="93.22"/>
    <n v="4.7619047620000003"/>
    <n v="6.6"/>
    <x v="1"/>
    <x v="0"/>
    <x v="1"/>
    <x v="0"/>
    <x v="0"/>
    <x v="2"/>
    <x v="6"/>
    <n v="15"/>
    <x v="0"/>
  </r>
  <r>
    <s v="605-83-1050"/>
    <n v="27.18"/>
    <n v="2"/>
    <n v="2.718"/>
    <n v="57.078000000000003"/>
    <d v="2019-03-15T00:00:00"/>
    <d v="1900-02-01T16:08:00"/>
    <s v="Ewallet"/>
    <n v="54.36"/>
    <n v="4.7619047620000003"/>
    <n v="4.3"/>
    <x v="1"/>
    <x v="1"/>
    <x v="5"/>
    <x v="2"/>
    <x v="2"/>
    <x v="1"/>
    <x v="1"/>
    <n v="16"/>
    <x v="0"/>
  </r>
  <r>
    <s v="443-60-9639"/>
    <n v="60.87"/>
    <n v="1"/>
    <n v="3.0434999999999999"/>
    <n v="63.913499999999999"/>
    <d v="2019-01-24T00:00:00"/>
    <d v="1900-02-01T17:08:00"/>
    <s v="Cash"/>
    <n v="60.87"/>
    <n v="4.7619047620000003"/>
    <n v="5.5"/>
    <x v="0"/>
    <x v="0"/>
    <x v="2"/>
    <x v="1"/>
    <x v="1"/>
    <x v="0"/>
    <x v="4"/>
    <n v="17"/>
    <x v="1"/>
  </r>
  <r>
    <s v="864-24-7918"/>
    <n v="24.49"/>
    <n v="10"/>
    <n v="12.244999999999999"/>
    <n v="257.14499999999998"/>
    <d v="2019-02-22T00:00:00"/>
    <d v="1900-02-01T18:08:00"/>
    <s v="Cash"/>
    <n v="244.9"/>
    <n v="4.7619047620000003"/>
    <n v="8.1"/>
    <x v="0"/>
    <x v="0"/>
    <x v="3"/>
    <x v="0"/>
    <x v="0"/>
    <x v="2"/>
    <x v="1"/>
    <n v="18"/>
    <x v="1"/>
  </r>
  <r>
    <s v="359-94-5395"/>
    <n v="92.78"/>
    <n v="1"/>
    <n v="4.6390000000000002"/>
    <n v="97.418999999999997"/>
    <d v="2019-03-15T00:00:00"/>
    <d v="1900-02-01T19:08:00"/>
    <s v="Credit card"/>
    <n v="92.78"/>
    <n v="4.7619047620000003"/>
    <n v="9.8000000000000007"/>
    <x v="1"/>
    <x v="1"/>
    <x v="0"/>
    <x v="2"/>
    <x v="2"/>
    <x v="1"/>
    <x v="1"/>
    <n v="19"/>
    <x v="1"/>
  </r>
  <r>
    <s v="401-09-4232"/>
    <n v="86.69"/>
    <n v="5"/>
    <n v="21.672499999999999"/>
    <n v="455.1225"/>
    <d v="2019-02-11T00:00:00"/>
    <d v="1900-02-01T20:08:00"/>
    <s v="Ewallet"/>
    <n v="433.45"/>
    <n v="4.7619047620000003"/>
    <n v="9.4"/>
    <x v="0"/>
    <x v="1"/>
    <x v="2"/>
    <x v="1"/>
    <x v="1"/>
    <x v="2"/>
    <x v="3"/>
    <n v="20"/>
    <x v="1"/>
  </r>
  <r>
    <s v="751-15-6198"/>
    <n v="23.01"/>
    <n v="6"/>
    <n v="6.9029999999999996"/>
    <n v="144.96299999999999"/>
    <d v="2019-01-12T00:00:00"/>
    <d v="1900-02-01T21:08:00"/>
    <s v="Ewallet"/>
    <n v="138.06"/>
    <n v="4.7619047620000003"/>
    <n v="7.9"/>
    <x v="1"/>
    <x v="1"/>
    <x v="3"/>
    <x v="2"/>
    <x v="2"/>
    <x v="0"/>
    <x v="0"/>
    <n v="21"/>
    <x v="1"/>
  </r>
  <r>
    <s v="324-41-6833"/>
    <n v="30.2"/>
    <n v="8"/>
    <n v="12.08"/>
    <n v="253.68"/>
    <d v="2019-03-03T00:00:00"/>
    <d v="1900-02-01T22:08:00"/>
    <s v="Ewallet"/>
    <n v="241.6"/>
    <n v="4.7619047620000003"/>
    <n v="5.0999999999999996"/>
    <x v="0"/>
    <x v="0"/>
    <x v="1"/>
    <x v="1"/>
    <x v="1"/>
    <x v="1"/>
    <x v="2"/>
    <n v="22"/>
    <x v="2"/>
  </r>
  <r>
    <s v="474-33-8305"/>
    <n v="67.39"/>
    <n v="7"/>
    <n v="23.586500000000001"/>
    <n v="495.31650000000002"/>
    <d v="2019-03-23T00:00:00"/>
    <d v="1900-02-01T23:08:00"/>
    <s v="Ewallet"/>
    <n v="471.73"/>
    <n v="4.7619047620000003"/>
    <n v="6.9"/>
    <x v="0"/>
    <x v="1"/>
    <x v="5"/>
    <x v="1"/>
    <x v="1"/>
    <x v="1"/>
    <x v="0"/>
    <n v="23"/>
    <x v="2"/>
  </r>
  <r>
    <s v="759-29-9521"/>
    <n v="48.96"/>
    <n v="9"/>
    <n v="22.032"/>
    <n v="462.67200000000003"/>
    <d v="2019-03-04T00:00:00"/>
    <d v="1900-02-02T00:08:00"/>
    <s v="Cash"/>
    <n v="440.64"/>
    <n v="4.7619047620000003"/>
    <n v="8"/>
    <x v="0"/>
    <x v="0"/>
    <x v="5"/>
    <x v="0"/>
    <x v="0"/>
    <x v="1"/>
    <x v="3"/>
    <n v="0"/>
    <x v="3"/>
  </r>
  <r>
    <s v="831-81-6575"/>
    <n v="75.59"/>
    <n v="9"/>
    <n v="34.015500000000003"/>
    <n v="714.32550000000003"/>
    <d v="2019-02-23T00:00:00"/>
    <d v="1900-02-02T01:08:00"/>
    <s v="Cash"/>
    <n v="680.31"/>
    <n v="4.7619047620000003"/>
    <n v="8"/>
    <x v="0"/>
    <x v="0"/>
    <x v="1"/>
    <x v="2"/>
    <x v="2"/>
    <x v="2"/>
    <x v="0"/>
    <n v="1"/>
    <x v="3"/>
  </r>
  <r>
    <s v="220-68-6701"/>
    <n v="77.47"/>
    <n v="4"/>
    <n v="15.494"/>
    <n v="325.37400000000002"/>
    <d v="2019-03-17T00:00:00"/>
    <d v="1900-02-02T02:08:00"/>
    <s v="Cash"/>
    <n v="309.88"/>
    <n v="4.7619047620000003"/>
    <n v="4.2"/>
    <x v="1"/>
    <x v="0"/>
    <x v="2"/>
    <x v="0"/>
    <x v="0"/>
    <x v="1"/>
    <x v="2"/>
    <n v="2"/>
    <x v="3"/>
  </r>
  <r>
    <s v="618-34-8551"/>
    <n v="93.18"/>
    <n v="2"/>
    <n v="9.3179999999999996"/>
    <n v="195.678"/>
    <d v="2019-01-16T00:00:00"/>
    <d v="1900-02-02T03:08:00"/>
    <s v="Credit card"/>
    <n v="186.36"/>
    <n v="4.7619047620000003"/>
    <n v="8.5"/>
    <x v="1"/>
    <x v="0"/>
    <x v="3"/>
    <x v="0"/>
    <x v="0"/>
    <x v="0"/>
    <x v="5"/>
    <n v="3"/>
    <x v="3"/>
  </r>
  <r>
    <s v="257-60-7754"/>
    <n v="50.23"/>
    <n v="4"/>
    <n v="10.045999999999999"/>
    <n v="210.96600000000001"/>
    <d v="2019-01-08T00:00:00"/>
    <d v="1900-02-02T04:08:00"/>
    <s v="Cash"/>
    <n v="200.92"/>
    <n v="4.7619047620000003"/>
    <n v="9"/>
    <x v="1"/>
    <x v="0"/>
    <x v="1"/>
    <x v="0"/>
    <x v="0"/>
    <x v="0"/>
    <x v="6"/>
    <n v="4"/>
    <x v="3"/>
  </r>
  <r>
    <s v="559-61-5987"/>
    <n v="17.75"/>
    <n v="1"/>
    <n v="0.88749999999999996"/>
    <n v="18.637499999999999"/>
    <d v="2019-01-14T00:00:00"/>
    <d v="1900-02-02T05:08:00"/>
    <s v="Cash"/>
    <n v="17.75"/>
    <n v="4.7619047620000003"/>
    <n v="8.6"/>
    <x v="1"/>
    <x v="0"/>
    <x v="0"/>
    <x v="2"/>
    <x v="2"/>
    <x v="0"/>
    <x v="3"/>
    <n v="5"/>
    <x v="3"/>
  </r>
  <r>
    <s v="189-55-2313"/>
    <n v="62.18"/>
    <n v="10"/>
    <n v="31.09"/>
    <n v="652.89"/>
    <d v="2019-01-31T00:00:00"/>
    <d v="1900-02-02T06:08:00"/>
    <s v="Ewallet"/>
    <n v="621.79999999999995"/>
    <n v="4.7619047620000003"/>
    <n v="6"/>
    <x v="1"/>
    <x v="0"/>
    <x v="5"/>
    <x v="1"/>
    <x v="1"/>
    <x v="0"/>
    <x v="4"/>
    <n v="6"/>
    <x v="3"/>
  </r>
  <r>
    <s v="565-91-4567"/>
    <n v="10.75"/>
    <n v="8"/>
    <n v="4.3"/>
    <n v="90.3"/>
    <d v="2019-03-15T00:00:00"/>
    <d v="1900-02-02T07:08:00"/>
    <s v="Ewallet"/>
    <n v="86"/>
    <n v="4.7619047620000003"/>
    <n v="6.2"/>
    <x v="1"/>
    <x v="1"/>
    <x v="0"/>
    <x v="2"/>
    <x v="2"/>
    <x v="1"/>
    <x v="1"/>
    <n v="7"/>
    <x v="3"/>
  </r>
  <r>
    <s v="380-60-5336"/>
    <n v="40.26"/>
    <n v="10"/>
    <n v="20.13"/>
    <n v="422.73"/>
    <d v="2019-02-24T00:00:00"/>
    <d v="1900-02-02T08:08:00"/>
    <s v="Credit card"/>
    <n v="402.6"/>
    <n v="4.7619047620000003"/>
    <n v="5"/>
    <x v="1"/>
    <x v="0"/>
    <x v="1"/>
    <x v="0"/>
    <x v="0"/>
    <x v="2"/>
    <x v="2"/>
    <n v="8"/>
    <x v="3"/>
  </r>
  <r>
    <s v="815-04-6282"/>
    <n v="64.97"/>
    <n v="5"/>
    <n v="16.2425"/>
    <n v="341.09249999999997"/>
    <d v="2019-02-08T00:00:00"/>
    <d v="1900-02-02T09:08:00"/>
    <s v="Credit card"/>
    <n v="324.85000000000002"/>
    <n v="4.7619047620000003"/>
    <n v="6.5"/>
    <x v="0"/>
    <x v="0"/>
    <x v="3"/>
    <x v="1"/>
    <x v="1"/>
    <x v="2"/>
    <x v="1"/>
    <n v="9"/>
    <x v="3"/>
  </r>
  <r>
    <s v="674-56-6360"/>
    <n v="95.15"/>
    <n v="1"/>
    <n v="4.7575000000000003"/>
    <n v="99.907499999999999"/>
    <d v="2019-03-22T00:00:00"/>
    <d v="1900-02-02T10:08:00"/>
    <s v="Cash"/>
    <n v="95.15"/>
    <n v="4.7619047620000003"/>
    <n v="6"/>
    <x v="1"/>
    <x v="1"/>
    <x v="1"/>
    <x v="0"/>
    <x v="0"/>
    <x v="1"/>
    <x v="1"/>
    <n v="10"/>
    <x v="3"/>
  </r>
  <r>
    <s v="778-34-2523"/>
    <n v="48.62"/>
    <n v="8"/>
    <n v="19.448"/>
    <n v="408.40800000000002"/>
    <d v="2019-01-24T00:00:00"/>
    <d v="1900-02-02T11:08:00"/>
    <s v="Cash"/>
    <n v="388.96"/>
    <n v="4.7619047620000003"/>
    <n v="5"/>
    <x v="0"/>
    <x v="0"/>
    <x v="1"/>
    <x v="0"/>
    <x v="0"/>
    <x v="0"/>
    <x v="4"/>
    <n v="11"/>
    <x v="3"/>
  </r>
  <r>
    <s v="499-27-7781"/>
    <n v="53.21"/>
    <n v="8"/>
    <n v="21.283999999999999"/>
    <n v="446.964"/>
    <d v="2019-03-14T00:00:00"/>
    <d v="1900-02-02T12:08:00"/>
    <s v="Ewallet"/>
    <n v="425.68"/>
    <n v="4.7619047620000003"/>
    <n v="5"/>
    <x v="1"/>
    <x v="0"/>
    <x v="4"/>
    <x v="2"/>
    <x v="2"/>
    <x v="1"/>
    <x v="4"/>
    <n v="12"/>
    <x v="3"/>
  </r>
  <r>
    <s v="477-59-2456"/>
    <n v="45.44"/>
    <n v="7"/>
    <n v="15.904"/>
    <n v="333.98399999999998"/>
    <d v="2019-01-23T00:00:00"/>
    <d v="1900-02-02T13:08:00"/>
    <s v="Cash"/>
    <n v="318.08"/>
    <n v="4.7619047620000003"/>
    <n v="9.1999999999999993"/>
    <x v="1"/>
    <x v="0"/>
    <x v="5"/>
    <x v="1"/>
    <x v="1"/>
    <x v="0"/>
    <x v="5"/>
    <n v="13"/>
    <x v="0"/>
  </r>
  <r>
    <s v="832-51-6761"/>
    <n v="33.880000000000003"/>
    <n v="8"/>
    <n v="13.552"/>
    <n v="284.59199999999998"/>
    <d v="2019-01-19T00:00:00"/>
    <d v="1900-02-02T14:08:00"/>
    <s v="Ewallet"/>
    <n v="271.04000000000002"/>
    <n v="4.7619047620000003"/>
    <n v="9.6"/>
    <x v="1"/>
    <x v="1"/>
    <x v="4"/>
    <x v="0"/>
    <x v="0"/>
    <x v="0"/>
    <x v="0"/>
    <n v="14"/>
    <x v="0"/>
  </r>
  <r>
    <s v="869-11-3082"/>
    <n v="96.16"/>
    <n v="4"/>
    <n v="19.231999999999999"/>
    <n v="403.87200000000001"/>
    <d v="2019-01-27T00:00:00"/>
    <d v="1900-02-02T15:08:00"/>
    <s v="Credit card"/>
    <n v="384.64"/>
    <n v="4.7619047620000003"/>
    <n v="8.4"/>
    <x v="0"/>
    <x v="1"/>
    <x v="0"/>
    <x v="2"/>
    <x v="2"/>
    <x v="0"/>
    <x v="2"/>
    <n v="15"/>
    <x v="0"/>
  </r>
  <r>
    <s v="190-59-3964"/>
    <n v="47.16"/>
    <n v="5"/>
    <n v="11.79"/>
    <n v="247.59"/>
    <d v="2019-02-03T00:00:00"/>
    <d v="1900-02-02T16:08:00"/>
    <s v="Credit card"/>
    <n v="235.8"/>
    <n v="4.7619047620000003"/>
    <n v="6"/>
    <x v="0"/>
    <x v="1"/>
    <x v="4"/>
    <x v="2"/>
    <x v="2"/>
    <x v="2"/>
    <x v="2"/>
    <n v="16"/>
    <x v="0"/>
  </r>
  <r>
    <s v="366-43-6862"/>
    <n v="52.89"/>
    <n v="4"/>
    <n v="10.577999999999999"/>
    <n v="222.13800000000001"/>
    <d v="2019-03-25T00:00:00"/>
    <d v="1900-02-02T17:08:00"/>
    <s v="Ewallet"/>
    <n v="211.56"/>
    <n v="4.7619047620000003"/>
    <n v="6.7"/>
    <x v="1"/>
    <x v="1"/>
    <x v="1"/>
    <x v="2"/>
    <x v="2"/>
    <x v="1"/>
    <x v="3"/>
    <n v="17"/>
    <x v="1"/>
  </r>
  <r>
    <s v="186-43-8965"/>
    <n v="47.68"/>
    <n v="2"/>
    <n v="4.7679999999999998"/>
    <n v="100.128"/>
    <d v="2019-02-24T00:00:00"/>
    <d v="1900-02-02T18:08:00"/>
    <s v="Credit card"/>
    <n v="95.36"/>
    <n v="4.7619047620000003"/>
    <n v="4.0999999999999996"/>
    <x v="0"/>
    <x v="0"/>
    <x v="2"/>
    <x v="0"/>
    <x v="0"/>
    <x v="2"/>
    <x v="2"/>
    <n v="18"/>
    <x v="1"/>
  </r>
  <r>
    <s v="784-21-9238"/>
    <n v="10.17"/>
    <n v="1"/>
    <n v="0.50849999999999995"/>
    <n v="10.6785"/>
    <d v="2019-02-07T00:00:00"/>
    <d v="1900-02-02T19:08:00"/>
    <s v="Cash"/>
    <n v="10.17"/>
    <n v="4.7619047620000003"/>
    <n v="5.9"/>
    <x v="0"/>
    <x v="1"/>
    <x v="3"/>
    <x v="1"/>
    <x v="1"/>
    <x v="2"/>
    <x v="4"/>
    <n v="19"/>
    <x v="1"/>
  </r>
  <r>
    <s v="276-75-6884"/>
    <n v="68.709999999999994"/>
    <n v="3"/>
    <n v="10.3065"/>
    <n v="216.4365"/>
    <d v="2019-03-04T00:00:00"/>
    <d v="1900-02-02T20:08:00"/>
    <s v="Cash"/>
    <n v="206.13"/>
    <n v="4.7619047620000003"/>
    <n v="8.6999999999999993"/>
    <x v="1"/>
    <x v="0"/>
    <x v="0"/>
    <x v="0"/>
    <x v="0"/>
    <x v="1"/>
    <x v="3"/>
    <n v="20"/>
    <x v="1"/>
  </r>
  <r>
    <s v="109-86-4363"/>
    <n v="60.08"/>
    <n v="7"/>
    <n v="21.027999999999999"/>
    <n v="441.58800000000002"/>
    <d v="2019-02-14T00:00:00"/>
    <d v="1900-02-02T21:08:00"/>
    <s v="Credit card"/>
    <n v="420.56"/>
    <n v="4.7619047620000003"/>
    <n v="4.5"/>
    <x v="0"/>
    <x v="0"/>
    <x v="3"/>
    <x v="2"/>
    <x v="2"/>
    <x v="2"/>
    <x v="4"/>
    <n v="21"/>
    <x v="1"/>
  </r>
  <r>
    <s v="569-76-2760"/>
    <n v="22.01"/>
    <n v="4"/>
    <n v="4.4020000000000001"/>
    <n v="92.441999999999993"/>
    <d v="2019-01-29T00:00:00"/>
    <d v="1900-02-02T22:08:00"/>
    <s v="Credit card"/>
    <n v="88.04"/>
    <n v="4.7619047620000003"/>
    <n v="6.6"/>
    <x v="0"/>
    <x v="0"/>
    <x v="3"/>
    <x v="0"/>
    <x v="0"/>
    <x v="0"/>
    <x v="6"/>
    <n v="22"/>
    <x v="2"/>
  </r>
  <r>
    <s v="222-42-0244"/>
    <n v="72.11"/>
    <n v="9"/>
    <n v="32.4495"/>
    <n v="681.43949999999995"/>
    <d v="2019-01-28T00:00:00"/>
    <d v="1900-02-02T23:08:00"/>
    <s v="Credit card"/>
    <n v="648.99"/>
    <n v="4.7619047620000003"/>
    <n v="7.7"/>
    <x v="0"/>
    <x v="0"/>
    <x v="0"/>
    <x v="2"/>
    <x v="2"/>
    <x v="0"/>
    <x v="3"/>
    <n v="23"/>
    <x v="2"/>
  </r>
  <r>
    <s v="760-53-9233"/>
    <n v="41.28"/>
    <n v="3"/>
    <n v="6.1920000000000002"/>
    <n v="130.03200000000001"/>
    <d v="2019-03-26T00:00:00"/>
    <d v="1900-02-03T00:08:00"/>
    <s v="Credit card"/>
    <n v="123.84"/>
    <n v="4.7619047620000003"/>
    <n v="8.5"/>
    <x v="0"/>
    <x v="1"/>
    <x v="5"/>
    <x v="0"/>
    <x v="0"/>
    <x v="1"/>
    <x v="6"/>
    <n v="0"/>
    <x v="3"/>
  </r>
  <r>
    <s v="538-22-0304"/>
    <n v="64.95"/>
    <n v="10"/>
    <n v="32.475000000000001"/>
    <n v="681.97500000000002"/>
    <d v="2019-03-24T00:00:00"/>
    <d v="1900-02-03T01:08:00"/>
    <s v="Cash"/>
    <n v="649.5"/>
    <n v="4.7619047620000003"/>
    <n v="5.2"/>
    <x v="1"/>
    <x v="1"/>
    <x v="1"/>
    <x v="1"/>
    <x v="1"/>
    <x v="1"/>
    <x v="2"/>
    <n v="1"/>
    <x v="3"/>
  </r>
  <r>
    <s v="416-17-9926"/>
    <n v="74.22"/>
    <n v="10"/>
    <n v="37.11"/>
    <n v="779.31"/>
    <d v="2019-01-01T00:00:00"/>
    <d v="1900-02-03T02:08:00"/>
    <s v="Credit card"/>
    <n v="742.2"/>
    <n v="4.7619047620000003"/>
    <n v="4.3"/>
    <x v="0"/>
    <x v="0"/>
    <x v="1"/>
    <x v="0"/>
    <x v="0"/>
    <x v="0"/>
    <x v="6"/>
    <n v="2"/>
    <x v="3"/>
  </r>
  <r>
    <s v="237-44-6163"/>
    <n v="10.56"/>
    <n v="8"/>
    <n v="4.2240000000000002"/>
    <n v="88.703999999999994"/>
    <d v="2019-01-24T00:00:00"/>
    <d v="1900-02-03T03:08:00"/>
    <s v="Cash"/>
    <n v="84.48"/>
    <n v="4.7619047620000003"/>
    <n v="7.6"/>
    <x v="1"/>
    <x v="1"/>
    <x v="1"/>
    <x v="0"/>
    <x v="0"/>
    <x v="0"/>
    <x v="4"/>
    <n v="3"/>
    <x v="3"/>
  </r>
  <r>
    <s v="636-17-0325"/>
    <n v="62.57"/>
    <n v="4"/>
    <n v="12.513999999999999"/>
    <n v="262.79399999999998"/>
    <d v="2019-02-25T00:00:00"/>
    <d v="1900-02-03T04:08:00"/>
    <s v="Cash"/>
    <n v="250.28"/>
    <n v="4.7619047620000003"/>
    <n v="9.5"/>
    <x v="1"/>
    <x v="1"/>
    <x v="0"/>
    <x v="2"/>
    <x v="2"/>
    <x v="2"/>
    <x v="3"/>
    <n v="4"/>
    <x v="3"/>
  </r>
  <r>
    <s v="343-75-9322"/>
    <n v="11.85"/>
    <n v="8"/>
    <n v="4.74"/>
    <n v="99.54"/>
    <d v="2019-01-09T00:00:00"/>
    <d v="1900-02-03T05:08:00"/>
    <s v="Cash"/>
    <n v="94.8"/>
    <n v="4.7619047620000003"/>
    <n v="4.0999999999999996"/>
    <x v="0"/>
    <x v="0"/>
    <x v="3"/>
    <x v="2"/>
    <x v="2"/>
    <x v="0"/>
    <x v="5"/>
    <n v="5"/>
    <x v="3"/>
  </r>
  <r>
    <s v="528-14-9470"/>
    <n v="91.3"/>
    <n v="1"/>
    <n v="4.5650000000000004"/>
    <n v="95.864999999999995"/>
    <d v="2019-02-14T00:00:00"/>
    <d v="1900-02-03T06:08:00"/>
    <s v="Ewallet"/>
    <n v="91.3"/>
    <n v="4.7619047620000003"/>
    <n v="9.1999999999999993"/>
    <x v="0"/>
    <x v="1"/>
    <x v="0"/>
    <x v="0"/>
    <x v="0"/>
    <x v="2"/>
    <x v="4"/>
    <n v="6"/>
    <x v="3"/>
  </r>
  <r>
    <s v="427-45-9297"/>
    <n v="40.729999999999997"/>
    <n v="7"/>
    <n v="14.2555"/>
    <n v="299.3655"/>
    <d v="2019-03-12T00:00:00"/>
    <d v="1900-02-03T07:08:00"/>
    <s v="Ewallet"/>
    <n v="285.11"/>
    <n v="4.7619047620000003"/>
    <n v="5.4"/>
    <x v="0"/>
    <x v="0"/>
    <x v="2"/>
    <x v="2"/>
    <x v="2"/>
    <x v="1"/>
    <x v="6"/>
    <n v="7"/>
    <x v="3"/>
  </r>
  <r>
    <s v="807-34-3742"/>
    <n v="52.38"/>
    <n v="1"/>
    <n v="2.6190000000000002"/>
    <n v="54.999000000000002"/>
    <d v="2019-03-26T00:00:00"/>
    <d v="1900-02-03T08:08:00"/>
    <s v="Cash"/>
    <n v="52.38"/>
    <n v="4.7619047620000003"/>
    <n v="5.8"/>
    <x v="1"/>
    <x v="1"/>
    <x v="5"/>
    <x v="0"/>
    <x v="0"/>
    <x v="1"/>
    <x v="6"/>
    <n v="8"/>
    <x v="3"/>
  </r>
  <r>
    <s v="288-62-1085"/>
    <n v="38.54"/>
    <n v="5"/>
    <n v="9.6349999999999998"/>
    <n v="202.33500000000001"/>
    <d v="2019-01-09T00:00:00"/>
    <d v="1900-02-03T09:08:00"/>
    <s v="Ewallet"/>
    <n v="192.7"/>
    <n v="4.7619047620000003"/>
    <n v="5.6"/>
    <x v="0"/>
    <x v="1"/>
    <x v="5"/>
    <x v="0"/>
    <x v="0"/>
    <x v="0"/>
    <x v="5"/>
    <n v="9"/>
    <x v="3"/>
  </r>
  <r>
    <s v="670-71-7306"/>
    <n v="44.63"/>
    <n v="6"/>
    <n v="13.388999999999999"/>
    <n v="281.16899999999998"/>
    <d v="2019-01-02T00:00:00"/>
    <d v="1900-02-03T10:08:00"/>
    <s v="Credit card"/>
    <n v="267.77999999999997"/>
    <n v="4.7619047620000003"/>
    <n v="5.0999999999999996"/>
    <x v="1"/>
    <x v="1"/>
    <x v="3"/>
    <x v="2"/>
    <x v="2"/>
    <x v="0"/>
    <x v="5"/>
    <n v="10"/>
    <x v="3"/>
  </r>
  <r>
    <s v="660-29-7083"/>
    <n v="55.87"/>
    <n v="10"/>
    <n v="27.934999999999999"/>
    <n v="586.63499999999999"/>
    <d v="2019-01-15T00:00:00"/>
    <d v="1900-02-03T11:08:00"/>
    <s v="Cash"/>
    <n v="558.70000000000005"/>
    <n v="4.7619047620000003"/>
    <n v="5.8"/>
    <x v="1"/>
    <x v="1"/>
    <x v="1"/>
    <x v="1"/>
    <x v="1"/>
    <x v="0"/>
    <x v="6"/>
    <n v="11"/>
    <x v="3"/>
  </r>
  <r>
    <s v="271-77-8740"/>
    <n v="29.22"/>
    <n v="6"/>
    <n v="8.766"/>
    <n v="184.08600000000001"/>
    <d v="2019-01-01T00:00:00"/>
    <d v="1900-02-03T12:08:00"/>
    <s v="Ewallet"/>
    <n v="175.32"/>
    <n v="4.7619047620000003"/>
    <n v="5"/>
    <x v="0"/>
    <x v="0"/>
    <x v="3"/>
    <x v="1"/>
    <x v="1"/>
    <x v="0"/>
    <x v="6"/>
    <n v="12"/>
    <x v="3"/>
  </r>
  <r>
    <s v="497-36-0989"/>
    <n v="51.94"/>
    <n v="3"/>
    <n v="7.7910000000000004"/>
    <n v="163.61099999999999"/>
    <d v="2019-02-15T00:00:00"/>
    <d v="1900-02-03T13:08:00"/>
    <s v="Cash"/>
    <n v="155.82"/>
    <n v="4.7619047620000003"/>
    <n v="7.9"/>
    <x v="1"/>
    <x v="1"/>
    <x v="5"/>
    <x v="0"/>
    <x v="0"/>
    <x v="2"/>
    <x v="1"/>
    <n v="13"/>
    <x v="0"/>
  </r>
  <r>
    <s v="291-59-1384"/>
    <n v="60.3"/>
    <n v="1"/>
    <n v="3.0150000000000001"/>
    <n v="63.314999999999998"/>
    <d v="2019-02-28T00:00:00"/>
    <d v="1900-02-03T14:08:00"/>
    <s v="Cash"/>
    <n v="60.3"/>
    <n v="4.7619047620000003"/>
    <n v="6"/>
    <x v="1"/>
    <x v="1"/>
    <x v="1"/>
    <x v="2"/>
    <x v="2"/>
    <x v="2"/>
    <x v="4"/>
    <n v="14"/>
    <x v="0"/>
  </r>
  <r>
    <s v="860-73-6466"/>
    <n v="39.47"/>
    <n v="2"/>
    <n v="3.9470000000000001"/>
    <n v="82.887"/>
    <d v="2019-03-02T00:00:00"/>
    <d v="1900-02-03T15:08:00"/>
    <s v="Credit card"/>
    <n v="78.94"/>
    <n v="4.7619047620000003"/>
    <n v="5"/>
    <x v="0"/>
    <x v="0"/>
    <x v="3"/>
    <x v="0"/>
    <x v="0"/>
    <x v="1"/>
    <x v="0"/>
    <n v="15"/>
    <x v="0"/>
  </r>
  <r>
    <s v="549-23-9016"/>
    <n v="14.87"/>
    <n v="2"/>
    <n v="1.4870000000000001"/>
    <n v="31.227"/>
    <d v="2019-02-13T00:00:00"/>
    <d v="1900-02-03T16:08:00"/>
    <s v="Credit card"/>
    <n v="29.74"/>
    <n v="4.7619047620000003"/>
    <n v="8.9"/>
    <x v="0"/>
    <x v="0"/>
    <x v="4"/>
    <x v="1"/>
    <x v="1"/>
    <x v="2"/>
    <x v="5"/>
    <n v="16"/>
    <x v="0"/>
  </r>
  <r>
    <s v="896-34-0956"/>
    <n v="21.32"/>
    <n v="1"/>
    <n v="1.0660000000000001"/>
    <n v="22.385999999999999"/>
    <d v="2019-01-26T00:00:00"/>
    <d v="1900-02-03T17:08:00"/>
    <s v="Cash"/>
    <n v="21.32"/>
    <n v="4.7619047620000003"/>
    <n v="5.9"/>
    <x v="1"/>
    <x v="1"/>
    <x v="5"/>
    <x v="0"/>
    <x v="0"/>
    <x v="0"/>
    <x v="0"/>
    <n v="17"/>
    <x v="1"/>
  </r>
  <r>
    <s v="804-38-3935"/>
    <n v="93.78"/>
    <n v="3"/>
    <n v="14.067"/>
    <n v="295.40699999999998"/>
    <d v="2019-01-30T00:00:00"/>
    <d v="1900-02-03T18:08:00"/>
    <s v="Credit card"/>
    <n v="281.33999999999997"/>
    <n v="4.7619047620000003"/>
    <n v="5.9"/>
    <x v="0"/>
    <x v="1"/>
    <x v="1"/>
    <x v="0"/>
    <x v="0"/>
    <x v="0"/>
    <x v="5"/>
    <n v="18"/>
    <x v="1"/>
  </r>
  <r>
    <s v="585-90-0249"/>
    <n v="73.260000000000005"/>
    <n v="1"/>
    <n v="3.6629999999999998"/>
    <n v="76.923000000000002"/>
    <d v="2019-01-27T00:00:00"/>
    <d v="1900-02-03T19:08:00"/>
    <s v="Ewallet"/>
    <n v="73.260000000000005"/>
    <n v="4.7619047620000003"/>
    <n v="9.6999999999999993"/>
    <x v="0"/>
    <x v="1"/>
    <x v="1"/>
    <x v="0"/>
    <x v="0"/>
    <x v="0"/>
    <x v="2"/>
    <n v="19"/>
    <x v="1"/>
  </r>
  <r>
    <s v="862-29-5914"/>
    <n v="22.38"/>
    <n v="1"/>
    <n v="1.119"/>
    <n v="23.498999999999999"/>
    <d v="2019-01-30T00:00:00"/>
    <d v="1900-02-03T20:08:00"/>
    <s v="Credit card"/>
    <n v="22.38"/>
    <n v="4.7619047620000003"/>
    <n v="8.6"/>
    <x v="1"/>
    <x v="0"/>
    <x v="3"/>
    <x v="1"/>
    <x v="1"/>
    <x v="0"/>
    <x v="5"/>
    <n v="20"/>
    <x v="1"/>
  </r>
  <r>
    <s v="845-94-6841"/>
    <n v="72.88"/>
    <n v="9"/>
    <n v="32.795999999999999"/>
    <n v="688.71600000000001"/>
    <d v="2019-01-08T00:00:00"/>
    <d v="1900-02-03T21:08:00"/>
    <s v="Cash"/>
    <n v="655.92"/>
    <n v="4.7619047620000003"/>
    <n v="4"/>
    <x v="0"/>
    <x v="0"/>
    <x v="4"/>
    <x v="1"/>
    <x v="1"/>
    <x v="0"/>
    <x v="6"/>
    <n v="21"/>
    <x v="1"/>
  </r>
  <r>
    <s v="125-45-2293"/>
    <n v="99.1"/>
    <n v="6"/>
    <n v="29.73"/>
    <n v="624.33000000000004"/>
    <d v="2019-01-19T00:00:00"/>
    <d v="1900-02-03T22:08:00"/>
    <s v="Cash"/>
    <n v="594.6"/>
    <n v="4.7619047620000003"/>
    <n v="4.2"/>
    <x v="1"/>
    <x v="0"/>
    <x v="5"/>
    <x v="0"/>
    <x v="0"/>
    <x v="0"/>
    <x v="0"/>
    <n v="22"/>
    <x v="2"/>
  </r>
  <r>
    <s v="843-73-4724"/>
    <n v="74.099999999999994"/>
    <n v="1"/>
    <n v="3.7050000000000001"/>
    <n v="77.805000000000007"/>
    <d v="2019-01-25T00:00:00"/>
    <d v="1900-02-03T23:08:00"/>
    <s v="Cash"/>
    <n v="74.099999999999994"/>
    <n v="4.7619047620000003"/>
    <n v="9.1999999999999993"/>
    <x v="1"/>
    <x v="1"/>
    <x v="5"/>
    <x v="0"/>
    <x v="0"/>
    <x v="0"/>
    <x v="1"/>
    <n v="23"/>
    <x v="2"/>
  </r>
  <r>
    <s v="409-33-9708"/>
    <n v="98.48"/>
    <n v="2"/>
    <n v="9.8480000000000008"/>
    <n v="206.80799999999999"/>
    <d v="2019-02-19T00:00:00"/>
    <d v="1900-02-04T00:08:00"/>
    <s v="Ewallet"/>
    <n v="196.96"/>
    <n v="4.7619047620000003"/>
    <n v="9.1999999999999993"/>
    <x v="1"/>
    <x v="0"/>
    <x v="5"/>
    <x v="0"/>
    <x v="0"/>
    <x v="2"/>
    <x v="6"/>
    <n v="0"/>
    <x v="3"/>
  </r>
  <r>
    <s v="658-66-3967"/>
    <n v="53.19"/>
    <n v="7"/>
    <n v="18.616499999999998"/>
    <n v="390.94650000000001"/>
    <d v="2019-01-14T00:00:00"/>
    <d v="1900-02-04T01:08:00"/>
    <s v="Ewallet"/>
    <n v="372.33"/>
    <n v="4.7619047620000003"/>
    <n v="5"/>
    <x v="1"/>
    <x v="1"/>
    <x v="0"/>
    <x v="1"/>
    <x v="1"/>
    <x v="0"/>
    <x v="3"/>
    <n v="1"/>
    <x v="3"/>
  </r>
  <r>
    <s v="866-70-2814"/>
    <n v="52.79"/>
    <n v="10"/>
    <n v="26.395"/>
    <n v="554.29499999999996"/>
    <d v="2019-02-25T00:00:00"/>
    <d v="1900-02-04T02:08:00"/>
    <s v="Ewallet"/>
    <n v="527.9"/>
    <n v="4.7619047620000003"/>
    <n v="10"/>
    <x v="1"/>
    <x v="0"/>
    <x v="1"/>
    <x v="2"/>
    <x v="2"/>
    <x v="2"/>
    <x v="3"/>
    <n v="2"/>
    <x v="3"/>
  </r>
  <r>
    <s v="160-22-2687"/>
    <n v="95.95"/>
    <n v="5"/>
    <n v="23.987500000000001"/>
    <n v="503.73750000000001"/>
    <d v="2019-01-23T00:00:00"/>
    <d v="1900-02-04T03:08:00"/>
    <s v="Ewallet"/>
    <n v="479.75"/>
    <n v="4.7619047620000003"/>
    <n v="8.8000000000000007"/>
    <x v="0"/>
    <x v="0"/>
    <x v="0"/>
    <x v="0"/>
    <x v="0"/>
    <x v="0"/>
    <x v="5"/>
    <n v="3"/>
    <x v="3"/>
  </r>
  <r>
    <s v="895-03-6665"/>
    <n v="36.51"/>
    <n v="9"/>
    <n v="16.429500000000001"/>
    <n v="345.01949999999999"/>
    <d v="2019-02-16T00:00:00"/>
    <d v="1900-02-04T04:08:00"/>
    <s v="Cash"/>
    <n v="328.59"/>
    <n v="4.7619047620000003"/>
    <n v="4.2"/>
    <x v="1"/>
    <x v="0"/>
    <x v="5"/>
    <x v="2"/>
    <x v="2"/>
    <x v="2"/>
    <x v="0"/>
    <n v="4"/>
    <x v="3"/>
  </r>
  <r>
    <s v="770-42-8960"/>
    <n v="21.12"/>
    <n v="8"/>
    <n v="8.4480000000000004"/>
    <n v="177.40799999999999"/>
    <d v="2019-01-01T00:00:00"/>
    <d v="1900-02-04T05:08:00"/>
    <s v="Cash"/>
    <n v="168.96"/>
    <n v="4.7619047620000003"/>
    <n v="6.3"/>
    <x v="1"/>
    <x v="1"/>
    <x v="4"/>
    <x v="2"/>
    <x v="2"/>
    <x v="0"/>
    <x v="6"/>
    <n v="5"/>
    <x v="3"/>
  </r>
  <r>
    <s v="748-45-2862"/>
    <n v="28.31"/>
    <n v="4"/>
    <n v="5.6619999999999999"/>
    <n v="118.902"/>
    <d v="2019-03-07T00:00:00"/>
    <d v="1900-02-04T06:08:00"/>
    <s v="Cash"/>
    <n v="113.24"/>
    <n v="4.7619047620000003"/>
    <n v="8.1999999999999993"/>
    <x v="0"/>
    <x v="0"/>
    <x v="2"/>
    <x v="0"/>
    <x v="0"/>
    <x v="1"/>
    <x v="4"/>
    <n v="6"/>
    <x v="3"/>
  </r>
  <r>
    <s v="234-36-2483"/>
    <n v="57.59"/>
    <n v="6"/>
    <n v="17.277000000000001"/>
    <n v="362.81700000000001"/>
    <d v="2019-02-15T00:00:00"/>
    <d v="1900-02-04T07:08:00"/>
    <s v="Cash"/>
    <n v="345.54"/>
    <n v="4.7619047620000003"/>
    <n v="5.0999999999999996"/>
    <x v="1"/>
    <x v="1"/>
    <x v="0"/>
    <x v="2"/>
    <x v="2"/>
    <x v="2"/>
    <x v="1"/>
    <n v="7"/>
    <x v="3"/>
  </r>
  <r>
    <s v="316-66-3011"/>
    <n v="47.63"/>
    <n v="9"/>
    <n v="21.433499999999999"/>
    <n v="450.1035"/>
    <d v="2019-01-23T00:00:00"/>
    <d v="1900-02-04T08:08:00"/>
    <s v="Cash"/>
    <n v="428.67"/>
    <n v="4.7619047620000003"/>
    <n v="5"/>
    <x v="0"/>
    <x v="0"/>
    <x v="4"/>
    <x v="0"/>
    <x v="0"/>
    <x v="0"/>
    <x v="5"/>
    <n v="8"/>
    <x v="3"/>
  </r>
  <r>
    <s v="848-95-6252"/>
    <n v="86.27"/>
    <n v="1"/>
    <n v="4.3135000000000003"/>
    <n v="90.583500000000001"/>
    <d v="2019-02-20T00:00:00"/>
    <d v="1900-02-04T09:08:00"/>
    <s v="Ewallet"/>
    <n v="86.27"/>
    <n v="4.7619047620000003"/>
    <n v="7"/>
    <x v="0"/>
    <x v="0"/>
    <x v="2"/>
    <x v="1"/>
    <x v="1"/>
    <x v="2"/>
    <x v="5"/>
    <n v="9"/>
    <x v="3"/>
  </r>
  <r>
    <s v="840-76-5966"/>
    <n v="12.76"/>
    <n v="2"/>
    <n v="1.276"/>
    <n v="26.795999999999999"/>
    <d v="2019-01-08T00:00:00"/>
    <d v="1900-02-04T10:08:00"/>
    <s v="Ewallet"/>
    <n v="25.52"/>
    <n v="4.7619047620000003"/>
    <n v="7.8"/>
    <x v="0"/>
    <x v="1"/>
    <x v="3"/>
    <x v="0"/>
    <x v="0"/>
    <x v="0"/>
    <x v="6"/>
    <n v="10"/>
    <x v="3"/>
  </r>
  <r>
    <s v="152-03-4217"/>
    <n v="11.28"/>
    <n v="9"/>
    <n v="5.0759999999999996"/>
    <n v="106.596"/>
    <d v="2019-03-17T00:00:00"/>
    <d v="1900-02-04T11:08:00"/>
    <s v="Credit card"/>
    <n v="101.52"/>
    <n v="4.7619047620000003"/>
    <n v="4.3"/>
    <x v="1"/>
    <x v="0"/>
    <x v="2"/>
    <x v="2"/>
    <x v="2"/>
    <x v="1"/>
    <x v="2"/>
    <n v="11"/>
    <x v="3"/>
  </r>
  <r>
    <s v="533-66-5566"/>
    <n v="51.07"/>
    <n v="7"/>
    <n v="17.874500000000001"/>
    <n v="375.36450000000002"/>
    <d v="2019-01-12T00:00:00"/>
    <d v="1900-02-04T12:08:00"/>
    <s v="Cash"/>
    <n v="357.49"/>
    <n v="4.7619047620000003"/>
    <n v="7"/>
    <x v="1"/>
    <x v="0"/>
    <x v="2"/>
    <x v="2"/>
    <x v="2"/>
    <x v="0"/>
    <x v="0"/>
    <n v="12"/>
    <x v="3"/>
  </r>
  <r>
    <s v="124-31-1458"/>
    <n v="79.59"/>
    <n v="3"/>
    <n v="11.938499999999999"/>
    <n v="250.70849999999999"/>
    <d v="2019-01-08T00:00:00"/>
    <d v="1900-02-04T13:08:00"/>
    <s v="Cash"/>
    <n v="238.77"/>
    <n v="4.7619047620000003"/>
    <n v="6.6"/>
    <x v="0"/>
    <x v="0"/>
    <x v="1"/>
    <x v="0"/>
    <x v="0"/>
    <x v="0"/>
    <x v="6"/>
    <n v="13"/>
    <x v="0"/>
  </r>
  <r>
    <s v="176-78-1170"/>
    <n v="33.81"/>
    <n v="3"/>
    <n v="5.0715000000000003"/>
    <n v="106.50149999999999"/>
    <d v="2019-01-26T00:00:00"/>
    <d v="1900-02-04T14:08:00"/>
    <s v="Ewallet"/>
    <n v="101.43"/>
    <n v="4.7619047620000003"/>
    <n v="7.3"/>
    <x v="0"/>
    <x v="1"/>
    <x v="0"/>
    <x v="1"/>
    <x v="1"/>
    <x v="0"/>
    <x v="0"/>
    <n v="14"/>
    <x v="0"/>
  </r>
  <r>
    <s v="361-59-0574"/>
    <n v="90.53"/>
    <n v="8"/>
    <n v="36.212000000000003"/>
    <n v="760.452"/>
    <d v="2019-03-15T00:00:00"/>
    <d v="1900-02-04T15:08:00"/>
    <s v="Credit card"/>
    <n v="724.24"/>
    <n v="4.7619047620000003"/>
    <n v="6.5"/>
    <x v="0"/>
    <x v="1"/>
    <x v="3"/>
    <x v="2"/>
    <x v="2"/>
    <x v="1"/>
    <x v="1"/>
    <n v="15"/>
    <x v="0"/>
  </r>
  <r>
    <s v="101-81-4070"/>
    <n v="62.82"/>
    <n v="2"/>
    <n v="6.282"/>
    <n v="131.922"/>
    <d v="2019-01-17T00:00:00"/>
    <d v="1900-02-04T16:08:00"/>
    <s v="Ewallet"/>
    <n v="125.64"/>
    <n v="4.7619047620000003"/>
    <n v="4.9000000000000004"/>
    <x v="0"/>
    <x v="0"/>
    <x v="0"/>
    <x v="1"/>
    <x v="1"/>
    <x v="0"/>
    <x v="4"/>
    <n v="16"/>
    <x v="0"/>
  </r>
  <r>
    <s v="631-34-1880"/>
    <n v="24.31"/>
    <n v="3"/>
    <n v="3.6465000000000001"/>
    <n v="76.576499999999996"/>
    <d v="2019-01-08T00:00:00"/>
    <d v="1900-02-04T17:08:00"/>
    <s v="Credit card"/>
    <n v="72.930000000000007"/>
    <n v="4.7619047620000003"/>
    <n v="4.3"/>
    <x v="0"/>
    <x v="1"/>
    <x v="4"/>
    <x v="1"/>
    <x v="1"/>
    <x v="0"/>
    <x v="6"/>
    <n v="17"/>
    <x v="1"/>
  </r>
  <r>
    <s v="852-82-2749"/>
    <n v="64.59"/>
    <n v="4"/>
    <n v="12.917999999999999"/>
    <n v="271.27800000000002"/>
    <d v="2019-01-06T00:00:00"/>
    <d v="1900-02-04T18:08:00"/>
    <s v="Ewallet"/>
    <n v="258.36"/>
    <n v="4.7619047620000003"/>
    <n v="9.3000000000000007"/>
    <x v="1"/>
    <x v="1"/>
    <x v="3"/>
    <x v="0"/>
    <x v="0"/>
    <x v="0"/>
    <x v="2"/>
    <n v="18"/>
    <x v="1"/>
  </r>
  <r>
    <s v="873-14-6353"/>
    <n v="24.82"/>
    <n v="7"/>
    <n v="8.6869999999999994"/>
    <n v="182.42699999999999"/>
    <d v="2019-02-16T00:00:00"/>
    <d v="1900-02-04T19:08:00"/>
    <s v="Credit card"/>
    <n v="173.74"/>
    <n v="4.7619047620000003"/>
    <n v="7.1"/>
    <x v="0"/>
    <x v="1"/>
    <x v="4"/>
    <x v="0"/>
    <x v="0"/>
    <x v="2"/>
    <x v="0"/>
    <n v="19"/>
    <x v="1"/>
  </r>
  <r>
    <s v="584-66-4073"/>
    <n v="56.5"/>
    <n v="1"/>
    <n v="2.8250000000000002"/>
    <n v="59.325000000000003"/>
    <d v="2019-03-13T00:00:00"/>
    <d v="1900-02-04T20:08:00"/>
    <s v="Ewallet"/>
    <n v="56.5"/>
    <n v="4.7619047620000003"/>
    <n v="9.6"/>
    <x v="1"/>
    <x v="1"/>
    <x v="5"/>
    <x v="1"/>
    <x v="1"/>
    <x v="1"/>
    <x v="5"/>
    <n v="20"/>
    <x v="1"/>
  </r>
  <r>
    <s v="544-55-9589"/>
    <n v="21.43"/>
    <n v="10"/>
    <n v="10.715"/>
    <n v="225.01499999999999"/>
    <d v="2019-01-28T00:00:00"/>
    <d v="1900-02-04T21:08:00"/>
    <s v="Cash"/>
    <n v="214.3"/>
    <n v="4.7619047620000003"/>
    <n v="6.2"/>
    <x v="0"/>
    <x v="0"/>
    <x v="1"/>
    <x v="2"/>
    <x v="2"/>
    <x v="0"/>
    <x v="3"/>
    <n v="21"/>
    <x v="1"/>
  </r>
  <r>
    <s v="166-19-2553"/>
    <n v="89.06"/>
    <n v="6"/>
    <n v="26.718"/>
    <n v="561.07799999999997"/>
    <d v="2019-01-18T00:00:00"/>
    <d v="1900-02-04T22:08:00"/>
    <s v="Cash"/>
    <n v="534.36"/>
    <n v="4.7619047620000003"/>
    <n v="9.9"/>
    <x v="0"/>
    <x v="1"/>
    <x v="3"/>
    <x v="0"/>
    <x v="0"/>
    <x v="0"/>
    <x v="1"/>
    <n v="22"/>
    <x v="2"/>
  </r>
  <r>
    <s v="737-88-5876"/>
    <n v="23.29"/>
    <n v="4"/>
    <n v="4.6580000000000004"/>
    <n v="97.817999999999998"/>
    <d v="2019-03-19T00:00:00"/>
    <d v="1900-02-04T23:08:00"/>
    <s v="Credit card"/>
    <n v="93.16"/>
    <n v="4.7619047620000003"/>
    <n v="5.9"/>
    <x v="0"/>
    <x v="1"/>
    <x v="2"/>
    <x v="0"/>
    <x v="0"/>
    <x v="1"/>
    <x v="6"/>
    <n v="23"/>
    <x v="2"/>
  </r>
  <r>
    <s v="154-87-7367"/>
    <n v="65.260000000000005"/>
    <n v="8"/>
    <n v="26.103999999999999"/>
    <n v="548.18399999999997"/>
    <d v="2019-03-15T00:00:00"/>
    <d v="1900-02-05T00:08:00"/>
    <s v="Ewallet"/>
    <n v="522.08000000000004"/>
    <n v="4.7619047620000003"/>
    <n v="6.3"/>
    <x v="1"/>
    <x v="1"/>
    <x v="2"/>
    <x v="1"/>
    <x v="1"/>
    <x v="1"/>
    <x v="1"/>
    <n v="0"/>
    <x v="3"/>
  </r>
  <r>
    <s v="885-56-0389"/>
    <n v="52.35"/>
    <n v="1"/>
    <n v="2.6175000000000002"/>
    <n v="54.967500000000001"/>
    <d v="2019-02-12T00:00:00"/>
    <d v="1900-02-05T01:08:00"/>
    <s v="Cash"/>
    <n v="52.35"/>
    <n v="4.7619047620000003"/>
    <n v="4"/>
    <x v="0"/>
    <x v="1"/>
    <x v="5"/>
    <x v="1"/>
    <x v="1"/>
    <x v="2"/>
    <x v="6"/>
    <n v="1"/>
    <x v="3"/>
  </r>
  <r>
    <s v="608-05-3804"/>
    <n v="39.75"/>
    <n v="1"/>
    <n v="1.9875"/>
    <n v="41.737499999999997"/>
    <d v="2019-02-25T00:00:00"/>
    <d v="1900-02-05T02:08:00"/>
    <s v="Cash"/>
    <n v="39.75"/>
    <n v="4.7619047620000003"/>
    <n v="6.1"/>
    <x v="0"/>
    <x v="1"/>
    <x v="1"/>
    <x v="2"/>
    <x v="2"/>
    <x v="2"/>
    <x v="3"/>
    <n v="2"/>
    <x v="3"/>
  </r>
  <r>
    <s v="448-61-3783"/>
    <n v="90.02"/>
    <n v="8"/>
    <n v="36.008000000000003"/>
    <n v="756.16800000000001"/>
    <d v="2019-03-21T00:00:00"/>
    <d v="1900-02-05T03:08:00"/>
    <s v="Credit card"/>
    <n v="720.16"/>
    <n v="4.7619047620000003"/>
    <n v="4.5"/>
    <x v="1"/>
    <x v="0"/>
    <x v="1"/>
    <x v="0"/>
    <x v="0"/>
    <x v="1"/>
    <x v="4"/>
    <n v="3"/>
    <x v="3"/>
  </r>
  <r>
    <s v="761-49-0439"/>
    <n v="12.1"/>
    <n v="8"/>
    <n v="4.84"/>
    <n v="101.64"/>
    <d v="2019-01-19T00:00:00"/>
    <d v="1900-02-05T04:08:00"/>
    <s v="Ewallet"/>
    <n v="96.8"/>
    <n v="4.7619047620000003"/>
    <n v="8.6"/>
    <x v="0"/>
    <x v="0"/>
    <x v="1"/>
    <x v="2"/>
    <x v="2"/>
    <x v="0"/>
    <x v="0"/>
    <n v="4"/>
    <x v="3"/>
  </r>
  <r>
    <s v="490-95-0021"/>
    <n v="33.21"/>
    <n v="10"/>
    <n v="16.605"/>
    <n v="348.70499999999998"/>
    <d v="2019-01-08T00:00:00"/>
    <d v="1900-02-05T05:08:00"/>
    <s v="Ewallet"/>
    <n v="332.1"/>
    <n v="4.7619047620000003"/>
    <n v="6"/>
    <x v="0"/>
    <x v="0"/>
    <x v="4"/>
    <x v="2"/>
    <x v="2"/>
    <x v="0"/>
    <x v="6"/>
    <n v="5"/>
    <x v="3"/>
  </r>
  <r>
    <s v="115-38-7388"/>
    <n v="10.18"/>
    <n v="8"/>
    <n v="4.0720000000000001"/>
    <n v="85.512"/>
    <d v="2019-03-30T00:00:00"/>
    <d v="1900-02-05T06:08:00"/>
    <s v="Credit card"/>
    <n v="81.44"/>
    <n v="4.7619047620000003"/>
    <n v="9.5"/>
    <x v="0"/>
    <x v="0"/>
    <x v="5"/>
    <x v="1"/>
    <x v="1"/>
    <x v="1"/>
    <x v="0"/>
    <n v="6"/>
    <x v="3"/>
  </r>
  <r>
    <s v="311-13-6971"/>
    <n v="31.99"/>
    <n v="10"/>
    <n v="15.994999999999999"/>
    <n v="335.89499999999998"/>
    <d v="2019-02-20T00:00:00"/>
    <d v="1900-02-05T07:08:00"/>
    <s v="Credit card"/>
    <n v="319.89999999999998"/>
    <n v="4.7619047620000003"/>
    <n v="9.9"/>
    <x v="0"/>
    <x v="1"/>
    <x v="3"/>
    <x v="2"/>
    <x v="2"/>
    <x v="2"/>
    <x v="5"/>
    <n v="7"/>
    <x v="3"/>
  </r>
  <r>
    <s v="291-55-6563"/>
    <n v="34.42"/>
    <n v="6"/>
    <n v="10.326000000000001"/>
    <n v="216.846"/>
    <d v="2019-03-30T00:00:00"/>
    <d v="1900-02-05T08:08:00"/>
    <s v="Ewallet"/>
    <n v="206.52"/>
    <n v="4.7619047620000003"/>
    <n v="7.5"/>
    <x v="0"/>
    <x v="0"/>
    <x v="2"/>
    <x v="0"/>
    <x v="0"/>
    <x v="1"/>
    <x v="0"/>
    <n v="8"/>
    <x v="3"/>
  </r>
  <r>
    <s v="548-48-3156"/>
    <n v="83.34"/>
    <n v="2"/>
    <n v="8.3339999999999996"/>
    <n v="175.01400000000001"/>
    <d v="2019-03-19T00:00:00"/>
    <d v="1900-02-05T09:08:00"/>
    <s v="Cash"/>
    <n v="166.68"/>
    <n v="4.7619047620000003"/>
    <n v="7.6"/>
    <x v="0"/>
    <x v="0"/>
    <x v="4"/>
    <x v="0"/>
    <x v="0"/>
    <x v="1"/>
    <x v="6"/>
    <n v="9"/>
    <x v="3"/>
  </r>
  <r>
    <s v="460-93-5834"/>
    <n v="45.58"/>
    <n v="7"/>
    <n v="15.952999999999999"/>
    <n v="335.01299999999998"/>
    <d v="2019-01-13T00:00:00"/>
    <d v="1900-02-05T10:08:00"/>
    <s v="Cash"/>
    <n v="319.06"/>
    <n v="4.7619047620000003"/>
    <n v="5"/>
    <x v="1"/>
    <x v="1"/>
    <x v="3"/>
    <x v="0"/>
    <x v="0"/>
    <x v="0"/>
    <x v="2"/>
    <n v="10"/>
    <x v="3"/>
  </r>
  <r>
    <s v="325-89-4209"/>
    <n v="87.9"/>
    <n v="1"/>
    <n v="4.3949999999999996"/>
    <n v="92.295000000000002"/>
    <d v="2019-02-05T00:00:00"/>
    <d v="1900-02-05T11:08:00"/>
    <s v="Ewallet"/>
    <n v="87.9"/>
    <n v="4.7619047620000003"/>
    <n v="6.7"/>
    <x v="0"/>
    <x v="1"/>
    <x v="4"/>
    <x v="0"/>
    <x v="0"/>
    <x v="2"/>
    <x v="6"/>
    <n v="11"/>
    <x v="3"/>
  </r>
  <r>
    <s v="884-80-6021"/>
    <n v="73.47"/>
    <n v="10"/>
    <n v="36.734999999999999"/>
    <n v="771.43499999999995"/>
    <d v="2019-03-23T00:00:00"/>
    <d v="1900-02-05T12:08:00"/>
    <s v="Ewallet"/>
    <n v="734.7"/>
    <n v="4.7619047620000003"/>
    <n v="9.5"/>
    <x v="0"/>
    <x v="0"/>
    <x v="1"/>
    <x v="0"/>
    <x v="0"/>
    <x v="1"/>
    <x v="0"/>
    <n v="12"/>
    <x v="3"/>
  </r>
  <r>
    <s v="137-74-8729"/>
    <n v="12.19"/>
    <n v="8"/>
    <n v="4.8760000000000003"/>
    <n v="102.396"/>
    <d v="2019-03-13T00:00:00"/>
    <d v="1900-02-05T13:08:00"/>
    <s v="Ewallet"/>
    <n v="97.52"/>
    <n v="4.7619047620000003"/>
    <n v="6.8"/>
    <x v="1"/>
    <x v="0"/>
    <x v="5"/>
    <x v="1"/>
    <x v="1"/>
    <x v="1"/>
    <x v="5"/>
    <n v="13"/>
    <x v="0"/>
  </r>
  <r>
    <s v="880-46-5796"/>
    <n v="76.92"/>
    <n v="10"/>
    <n v="38.46"/>
    <n v="807.66"/>
    <d v="2019-03-17T00:00:00"/>
    <d v="1900-02-05T14:08:00"/>
    <s v="Ewallet"/>
    <n v="769.2"/>
    <n v="4.7619047620000003"/>
    <n v="5.6"/>
    <x v="0"/>
    <x v="1"/>
    <x v="3"/>
    <x v="0"/>
    <x v="0"/>
    <x v="1"/>
    <x v="2"/>
    <n v="14"/>
    <x v="0"/>
  </r>
  <r>
    <s v="389-70-2397"/>
    <n v="83.66"/>
    <n v="5"/>
    <n v="20.914999999999999"/>
    <n v="439.21499999999997"/>
    <d v="2019-02-21T00:00:00"/>
    <d v="1900-02-05T15:08:00"/>
    <s v="Cash"/>
    <n v="418.3"/>
    <n v="4.7619047620000003"/>
    <n v="7.2"/>
    <x v="1"/>
    <x v="0"/>
    <x v="0"/>
    <x v="1"/>
    <x v="1"/>
    <x v="2"/>
    <x v="4"/>
    <n v="15"/>
    <x v="0"/>
  </r>
  <r>
    <s v="114-35-5271"/>
    <n v="57.91"/>
    <n v="8"/>
    <n v="23.164000000000001"/>
    <n v="486.44400000000002"/>
    <d v="2019-02-07T00:00:00"/>
    <d v="1900-02-05T16:08:00"/>
    <s v="Cash"/>
    <n v="463.28"/>
    <n v="4.7619047620000003"/>
    <n v="8.1"/>
    <x v="1"/>
    <x v="0"/>
    <x v="1"/>
    <x v="2"/>
    <x v="2"/>
    <x v="2"/>
    <x v="4"/>
    <n v="16"/>
    <x v="0"/>
  </r>
  <r>
    <s v="607-76-6216"/>
    <n v="92.49"/>
    <n v="5"/>
    <n v="23.122499999999999"/>
    <n v="485.57249999999999"/>
    <d v="2019-03-02T00:00:00"/>
    <d v="1900-02-05T17:08:00"/>
    <s v="Credit card"/>
    <n v="462.45"/>
    <n v="4.7619047620000003"/>
    <n v="8.6"/>
    <x v="0"/>
    <x v="0"/>
    <x v="5"/>
    <x v="1"/>
    <x v="1"/>
    <x v="1"/>
    <x v="0"/>
    <n v="17"/>
    <x v="1"/>
  </r>
  <r>
    <s v="715-20-1673"/>
    <n v="28.38"/>
    <n v="5"/>
    <n v="7.0949999999999998"/>
    <n v="148.995"/>
    <d v="2019-03-06T00:00:00"/>
    <d v="1900-02-05T18:08:00"/>
    <s v="Cash"/>
    <n v="141.9"/>
    <n v="4.7619047620000003"/>
    <n v="9.4"/>
    <x v="1"/>
    <x v="1"/>
    <x v="1"/>
    <x v="2"/>
    <x v="2"/>
    <x v="1"/>
    <x v="5"/>
    <n v="18"/>
    <x v="1"/>
  </r>
  <r>
    <s v="811-35-1094"/>
    <n v="50.45"/>
    <n v="6"/>
    <n v="15.135"/>
    <n v="317.83499999999998"/>
    <d v="2019-02-06T00:00:00"/>
    <d v="1900-02-05T19:08:00"/>
    <s v="Credit card"/>
    <n v="302.7"/>
    <n v="4.7619047620000003"/>
    <n v="8.9"/>
    <x v="0"/>
    <x v="1"/>
    <x v="1"/>
    <x v="2"/>
    <x v="2"/>
    <x v="2"/>
    <x v="5"/>
    <n v="19"/>
    <x v="1"/>
  </r>
  <r>
    <s v="699-88-1972"/>
    <n v="99.16"/>
    <n v="8"/>
    <n v="39.664000000000001"/>
    <n v="832.94399999999996"/>
    <d v="2019-01-28T00:00:00"/>
    <d v="1900-02-05T20:08:00"/>
    <s v="Credit card"/>
    <n v="793.28"/>
    <n v="4.7619047620000003"/>
    <n v="4.2"/>
    <x v="1"/>
    <x v="1"/>
    <x v="0"/>
    <x v="2"/>
    <x v="2"/>
    <x v="0"/>
    <x v="3"/>
    <n v="20"/>
    <x v="1"/>
  </r>
  <r>
    <s v="781-84-8059"/>
    <n v="60.74"/>
    <n v="7"/>
    <n v="21.259"/>
    <n v="446.43900000000002"/>
    <d v="2019-01-18T00:00:00"/>
    <d v="1900-02-05T21:08:00"/>
    <s v="Ewallet"/>
    <n v="425.18"/>
    <n v="4.7619047620000003"/>
    <n v="5"/>
    <x v="1"/>
    <x v="1"/>
    <x v="5"/>
    <x v="1"/>
    <x v="1"/>
    <x v="0"/>
    <x v="1"/>
    <n v="21"/>
    <x v="1"/>
  </r>
  <r>
    <s v="409-49-6995"/>
    <n v="47.27"/>
    <n v="6"/>
    <n v="14.180999999999999"/>
    <n v="297.80099999999999"/>
    <d v="2019-02-05T00:00:00"/>
    <d v="1900-02-05T22:08:00"/>
    <s v="Cash"/>
    <n v="283.62"/>
    <n v="4.7619047620000003"/>
    <n v="8.8000000000000007"/>
    <x v="0"/>
    <x v="0"/>
    <x v="4"/>
    <x v="1"/>
    <x v="1"/>
    <x v="2"/>
    <x v="6"/>
    <n v="22"/>
    <x v="2"/>
  </r>
  <r>
    <s v="725-54-0677"/>
    <n v="85.6"/>
    <n v="7"/>
    <n v="29.96"/>
    <n v="629.16"/>
    <d v="2019-03-02T00:00:00"/>
    <d v="1900-02-05T23:08:00"/>
    <s v="Cash"/>
    <n v="599.20000000000005"/>
    <n v="4.7619047620000003"/>
    <n v="5.3"/>
    <x v="0"/>
    <x v="1"/>
    <x v="0"/>
    <x v="1"/>
    <x v="1"/>
    <x v="1"/>
    <x v="0"/>
    <n v="23"/>
    <x v="2"/>
  </r>
  <r>
    <s v="146-09-5432"/>
    <n v="35.04"/>
    <n v="9"/>
    <n v="15.768000000000001"/>
    <n v="331.12799999999999"/>
    <d v="2019-02-09T00:00:00"/>
    <d v="1900-02-06T00:08:00"/>
    <s v="Ewallet"/>
    <n v="315.36"/>
    <n v="4.7619047620000003"/>
    <n v="4.5999999999999996"/>
    <x v="0"/>
    <x v="1"/>
    <x v="4"/>
    <x v="0"/>
    <x v="0"/>
    <x v="2"/>
    <x v="0"/>
    <n v="0"/>
    <x v="3"/>
  </r>
  <r>
    <s v="377-79-7592"/>
    <n v="44.84"/>
    <n v="9"/>
    <n v="20.178000000000001"/>
    <n v="423.738"/>
    <d v="2019-01-14T00:00:00"/>
    <d v="1900-02-06T01:08:00"/>
    <s v="Credit card"/>
    <n v="403.56"/>
    <n v="4.7619047620000003"/>
    <n v="7.5"/>
    <x v="0"/>
    <x v="0"/>
    <x v="1"/>
    <x v="1"/>
    <x v="1"/>
    <x v="0"/>
    <x v="3"/>
    <n v="1"/>
    <x v="3"/>
  </r>
  <r>
    <s v="509-10-0516"/>
    <n v="45.97"/>
    <n v="4"/>
    <n v="9.1940000000000008"/>
    <n v="193.07400000000001"/>
    <d v="2019-02-09T00:00:00"/>
    <d v="1900-02-06T02:08:00"/>
    <s v="Ewallet"/>
    <n v="183.88"/>
    <n v="4.7619047620000003"/>
    <n v="5.0999999999999996"/>
    <x v="1"/>
    <x v="1"/>
    <x v="2"/>
    <x v="2"/>
    <x v="2"/>
    <x v="2"/>
    <x v="0"/>
    <n v="2"/>
    <x v="3"/>
  </r>
  <r>
    <s v="595-94-9924"/>
    <n v="27.73"/>
    <n v="5"/>
    <n v="6.9325000000000001"/>
    <n v="145.58250000000001"/>
    <d v="2019-03-26T00:00:00"/>
    <d v="1900-02-06T03:08:00"/>
    <s v="Credit card"/>
    <n v="138.65"/>
    <n v="4.7619047620000003"/>
    <n v="4.2"/>
    <x v="0"/>
    <x v="0"/>
    <x v="0"/>
    <x v="0"/>
    <x v="0"/>
    <x v="1"/>
    <x v="6"/>
    <n v="3"/>
    <x v="3"/>
  </r>
  <r>
    <s v="865-41-9075"/>
    <n v="11.53"/>
    <n v="7"/>
    <n v="4.0354999999999999"/>
    <n v="84.745500000000007"/>
    <d v="2019-01-28T00:00:00"/>
    <d v="1900-02-06T04:08:00"/>
    <s v="Cash"/>
    <n v="80.709999999999994"/>
    <n v="4.7619047620000003"/>
    <n v="8.1"/>
    <x v="1"/>
    <x v="1"/>
    <x v="4"/>
    <x v="0"/>
    <x v="0"/>
    <x v="0"/>
    <x v="3"/>
    <n v="4"/>
    <x v="3"/>
  </r>
  <r>
    <s v="545-07-8534"/>
    <n v="58.32"/>
    <n v="2"/>
    <n v="5.8319999999999999"/>
    <n v="122.47199999999999"/>
    <d v="2019-02-14T00:00:00"/>
    <d v="1900-02-06T05:08:00"/>
    <s v="Ewallet"/>
    <n v="116.64"/>
    <n v="4.7619047620000003"/>
    <n v="6"/>
    <x v="1"/>
    <x v="0"/>
    <x v="0"/>
    <x v="1"/>
    <x v="1"/>
    <x v="2"/>
    <x v="4"/>
    <n v="5"/>
    <x v="3"/>
  </r>
  <r>
    <s v="118-62-1812"/>
    <n v="78.38"/>
    <n v="4"/>
    <n v="15.676"/>
    <n v="329.19600000000003"/>
    <d v="2019-03-24T00:00:00"/>
    <d v="1900-02-06T06:08:00"/>
    <s v="Cash"/>
    <n v="313.52"/>
    <n v="4.7619047620000003"/>
    <n v="7.9"/>
    <x v="0"/>
    <x v="0"/>
    <x v="2"/>
    <x v="1"/>
    <x v="1"/>
    <x v="1"/>
    <x v="2"/>
    <n v="6"/>
    <x v="3"/>
  </r>
  <r>
    <s v="450-42-3339"/>
    <n v="84.61"/>
    <n v="10"/>
    <n v="42.305"/>
    <n v="888.40499999999997"/>
    <d v="2019-02-09T00:00:00"/>
    <d v="1900-02-06T07:08:00"/>
    <s v="Credit card"/>
    <n v="846.1"/>
    <n v="4.7619047620000003"/>
    <n v="8.8000000000000007"/>
    <x v="1"/>
    <x v="1"/>
    <x v="0"/>
    <x v="1"/>
    <x v="1"/>
    <x v="2"/>
    <x v="0"/>
    <n v="7"/>
    <x v="3"/>
  </r>
  <r>
    <s v="851-98-3555"/>
    <n v="82.88"/>
    <n v="5"/>
    <n v="20.72"/>
    <n v="435.12"/>
    <d v="2019-03-24T00:00:00"/>
    <d v="1900-02-06T08:08:00"/>
    <s v="Credit card"/>
    <n v="414.4"/>
    <n v="4.7619047620000003"/>
    <n v="6.6"/>
    <x v="1"/>
    <x v="0"/>
    <x v="0"/>
    <x v="2"/>
    <x v="2"/>
    <x v="1"/>
    <x v="2"/>
    <n v="8"/>
    <x v="3"/>
  </r>
  <r>
    <s v="186-71-5196"/>
    <n v="79.540000000000006"/>
    <n v="2"/>
    <n v="7.9539999999999997"/>
    <n v="167.03399999999999"/>
    <d v="2019-03-27T00:00:00"/>
    <d v="1900-02-06T09:08:00"/>
    <s v="Ewallet"/>
    <n v="159.08000000000001"/>
    <n v="4.7619047620000003"/>
    <n v="6.2"/>
    <x v="0"/>
    <x v="0"/>
    <x v="4"/>
    <x v="0"/>
    <x v="0"/>
    <x v="1"/>
    <x v="5"/>
    <n v="9"/>
    <x v="3"/>
  </r>
  <r>
    <s v="624-01-8356"/>
    <n v="49.01"/>
    <n v="10"/>
    <n v="24.504999999999999"/>
    <n v="514.60500000000002"/>
    <d v="2019-01-27T00:00:00"/>
    <d v="1900-02-06T10:08:00"/>
    <s v="Credit card"/>
    <n v="490.1"/>
    <n v="4.7619047620000003"/>
    <n v="4.2"/>
    <x v="1"/>
    <x v="0"/>
    <x v="2"/>
    <x v="2"/>
    <x v="2"/>
    <x v="0"/>
    <x v="2"/>
    <n v="10"/>
    <x v="3"/>
  </r>
  <r>
    <s v="313-66-9943"/>
    <n v="29.15"/>
    <n v="3"/>
    <n v="4.3724999999999996"/>
    <n v="91.822500000000005"/>
    <d v="2019-03-27T00:00:00"/>
    <d v="1900-02-06T11:08:00"/>
    <s v="Credit card"/>
    <n v="87.45"/>
    <n v="4.7619047620000003"/>
    <n v="7.3"/>
    <x v="0"/>
    <x v="0"/>
    <x v="4"/>
    <x v="2"/>
    <x v="2"/>
    <x v="1"/>
    <x v="5"/>
    <n v="11"/>
    <x v="3"/>
  </r>
  <r>
    <s v="151-27-8496"/>
    <n v="56.13"/>
    <n v="4"/>
    <n v="11.226000000000001"/>
    <n v="235.74600000000001"/>
    <d v="2019-01-19T00:00:00"/>
    <d v="1900-02-06T12:08:00"/>
    <s v="Ewallet"/>
    <n v="224.52"/>
    <n v="4.7619047620000003"/>
    <n v="8.6"/>
    <x v="1"/>
    <x v="0"/>
    <x v="1"/>
    <x v="1"/>
    <x v="1"/>
    <x v="0"/>
    <x v="0"/>
    <n v="12"/>
    <x v="3"/>
  </r>
  <r>
    <s v="453-33-6436"/>
    <n v="93.12"/>
    <n v="8"/>
    <n v="37.247999999999998"/>
    <n v="782.20799999999997"/>
    <d v="2019-02-07T00:00:00"/>
    <d v="1900-02-06T13:08:00"/>
    <s v="Cash"/>
    <n v="744.96"/>
    <n v="4.7619047620000003"/>
    <n v="6.8"/>
    <x v="1"/>
    <x v="0"/>
    <x v="2"/>
    <x v="0"/>
    <x v="0"/>
    <x v="2"/>
    <x v="4"/>
    <n v="13"/>
    <x v="0"/>
  </r>
  <r>
    <s v="522-57-8364"/>
    <n v="51.34"/>
    <n v="8"/>
    <n v="20.536000000000001"/>
    <n v="431.25599999999997"/>
    <d v="2019-01-31T00:00:00"/>
    <d v="1900-02-06T14:08:00"/>
    <s v="Ewallet"/>
    <n v="410.72"/>
    <n v="4.7619047620000003"/>
    <n v="7.6"/>
    <x v="0"/>
    <x v="1"/>
    <x v="5"/>
    <x v="0"/>
    <x v="0"/>
    <x v="0"/>
    <x v="4"/>
    <n v="14"/>
    <x v="0"/>
  </r>
  <r>
    <s v="459-45-2396"/>
    <n v="99.6"/>
    <n v="3"/>
    <n v="14.94"/>
    <n v="313.74"/>
    <d v="2019-02-25T00:00:00"/>
    <d v="1900-02-06T15:08:00"/>
    <s v="Cash"/>
    <n v="298.8"/>
    <n v="4.7619047620000003"/>
    <n v="5.8"/>
    <x v="0"/>
    <x v="0"/>
    <x v="4"/>
    <x v="0"/>
    <x v="0"/>
    <x v="2"/>
    <x v="3"/>
    <n v="15"/>
    <x v="0"/>
  </r>
  <r>
    <s v="717-96-4189"/>
    <n v="35.49"/>
    <n v="6"/>
    <n v="10.647"/>
    <n v="223.58699999999999"/>
    <d v="2019-02-02T00:00:00"/>
    <d v="1900-02-06T16:08:00"/>
    <s v="Cash"/>
    <n v="212.94"/>
    <n v="4.7619047620000003"/>
    <n v="4.0999999999999996"/>
    <x v="1"/>
    <x v="0"/>
    <x v="1"/>
    <x v="1"/>
    <x v="1"/>
    <x v="2"/>
    <x v="0"/>
    <n v="16"/>
    <x v="0"/>
  </r>
  <r>
    <s v="722-13-2115"/>
    <n v="42.85"/>
    <n v="1"/>
    <n v="2.1425000000000001"/>
    <n v="44.9925"/>
    <d v="2019-03-14T00:00:00"/>
    <d v="1900-02-06T17:08:00"/>
    <s v="Credit card"/>
    <n v="42.85"/>
    <n v="4.7619047620000003"/>
    <n v="9.3000000000000007"/>
    <x v="0"/>
    <x v="1"/>
    <x v="3"/>
    <x v="1"/>
    <x v="1"/>
    <x v="1"/>
    <x v="4"/>
    <n v="17"/>
    <x v="1"/>
  </r>
  <r>
    <s v="749-81-8133"/>
    <n v="94.67"/>
    <n v="4"/>
    <n v="18.934000000000001"/>
    <n v="397.61399999999998"/>
    <d v="2019-03-11T00:00:00"/>
    <d v="1900-02-06T18:08:00"/>
    <s v="Cash"/>
    <n v="378.68"/>
    <n v="4.7619047620000003"/>
    <n v="6.8"/>
    <x v="1"/>
    <x v="0"/>
    <x v="5"/>
    <x v="0"/>
    <x v="0"/>
    <x v="1"/>
    <x v="3"/>
    <n v="18"/>
    <x v="1"/>
  </r>
  <r>
    <s v="777-67-2495"/>
    <n v="68.97"/>
    <n v="3"/>
    <n v="10.345499999999999"/>
    <n v="217.25550000000001"/>
    <d v="2019-02-22T00:00:00"/>
    <d v="1900-02-06T19:08:00"/>
    <s v="Ewallet"/>
    <n v="206.91"/>
    <n v="4.7619047620000003"/>
    <n v="8.6999999999999993"/>
    <x v="1"/>
    <x v="1"/>
    <x v="2"/>
    <x v="2"/>
    <x v="2"/>
    <x v="2"/>
    <x v="1"/>
    <n v="19"/>
    <x v="1"/>
  </r>
  <r>
    <s v="636-98-3364"/>
    <n v="26.26"/>
    <n v="3"/>
    <n v="3.9390000000000001"/>
    <n v="82.718999999999994"/>
    <d v="2019-03-02T00:00:00"/>
    <d v="1900-02-06T20:08:00"/>
    <s v="Ewallet"/>
    <n v="78.78"/>
    <n v="4.7619047620000003"/>
    <n v="6.3"/>
    <x v="0"/>
    <x v="0"/>
    <x v="1"/>
    <x v="2"/>
    <x v="2"/>
    <x v="1"/>
    <x v="0"/>
    <n v="20"/>
    <x v="1"/>
  </r>
  <r>
    <s v="246-55-6923"/>
    <n v="35.79"/>
    <n v="9"/>
    <n v="16.105499999999999"/>
    <n v="338.21550000000002"/>
    <d v="2019-03-10T00:00:00"/>
    <d v="1900-02-06T21:08:00"/>
    <s v="Credit card"/>
    <n v="322.11"/>
    <n v="4.7619047620000003"/>
    <n v="5.0999999999999996"/>
    <x v="0"/>
    <x v="0"/>
    <x v="2"/>
    <x v="1"/>
    <x v="1"/>
    <x v="1"/>
    <x v="2"/>
    <n v="21"/>
    <x v="1"/>
  </r>
  <r>
    <s v="181-82-6255"/>
    <n v="16.37"/>
    <n v="6"/>
    <n v="4.9109999999999996"/>
    <n v="103.131"/>
    <d v="2019-02-08T00:00:00"/>
    <d v="1900-02-06T22:08:00"/>
    <s v="Cash"/>
    <n v="98.22"/>
    <n v="4.7619047620000003"/>
    <n v="7"/>
    <x v="1"/>
    <x v="0"/>
    <x v="2"/>
    <x v="2"/>
    <x v="2"/>
    <x v="2"/>
    <x v="1"/>
    <n v="22"/>
    <x v="2"/>
  </r>
  <r>
    <s v="838-02-1821"/>
    <n v="12.73"/>
    <n v="2"/>
    <n v="1.2729999999999999"/>
    <n v="26.733000000000001"/>
    <d v="2019-02-22T00:00:00"/>
    <d v="1900-02-06T23:08:00"/>
    <s v="Credit card"/>
    <n v="25.46"/>
    <n v="4.7619047620000003"/>
    <n v="5.2"/>
    <x v="0"/>
    <x v="0"/>
    <x v="2"/>
    <x v="1"/>
    <x v="1"/>
    <x v="2"/>
    <x v="1"/>
    <n v="23"/>
    <x v="2"/>
  </r>
  <r>
    <s v="887-42-0517"/>
    <n v="83.14"/>
    <n v="7"/>
    <n v="29.099"/>
    <n v="611.07899999999995"/>
    <d v="2019-01-10T00:00:00"/>
    <d v="1900-02-07T00:08:00"/>
    <s v="Credit card"/>
    <n v="581.98"/>
    <n v="4.7619047620000003"/>
    <n v="6.6"/>
    <x v="1"/>
    <x v="0"/>
    <x v="3"/>
    <x v="1"/>
    <x v="1"/>
    <x v="0"/>
    <x v="4"/>
    <n v="0"/>
    <x v="3"/>
  </r>
  <r>
    <s v="457-12-0244"/>
    <n v="35.22"/>
    <n v="6"/>
    <n v="10.566000000000001"/>
    <n v="221.886"/>
    <d v="2019-03-14T00:00:00"/>
    <d v="1900-02-07T01:08:00"/>
    <s v="Ewallet"/>
    <n v="211.32"/>
    <n v="4.7619047620000003"/>
    <n v="6.5"/>
    <x v="0"/>
    <x v="0"/>
    <x v="3"/>
    <x v="1"/>
    <x v="1"/>
    <x v="1"/>
    <x v="4"/>
    <n v="1"/>
    <x v="3"/>
  </r>
  <r>
    <s v="226-34-0034"/>
    <n v="13.78"/>
    <n v="4"/>
    <n v="2.7559999999999998"/>
    <n v="57.875999999999998"/>
    <d v="2019-01-10T00:00:00"/>
    <d v="1900-02-07T02:08:00"/>
    <s v="Ewallet"/>
    <n v="55.12"/>
    <n v="4.7619047620000003"/>
    <n v="9"/>
    <x v="1"/>
    <x v="0"/>
    <x v="1"/>
    <x v="2"/>
    <x v="2"/>
    <x v="0"/>
    <x v="4"/>
    <n v="2"/>
    <x v="3"/>
  </r>
  <r>
    <s v="321-49-7382"/>
    <n v="88.31"/>
    <n v="1"/>
    <n v="4.4154999999999998"/>
    <n v="92.725499999999997"/>
    <d v="2019-02-15T00:00:00"/>
    <d v="1900-02-07T03:08:00"/>
    <s v="Credit card"/>
    <n v="88.31"/>
    <n v="4.7619047620000003"/>
    <n v="5.2"/>
    <x v="0"/>
    <x v="1"/>
    <x v="3"/>
    <x v="2"/>
    <x v="2"/>
    <x v="2"/>
    <x v="1"/>
    <n v="3"/>
    <x v="3"/>
  </r>
  <r>
    <s v="397-25-8725"/>
    <n v="39.619999999999997"/>
    <n v="9"/>
    <n v="17.829000000000001"/>
    <n v="374.40899999999999"/>
    <d v="2019-01-13T00:00:00"/>
    <d v="1900-02-07T04:08:00"/>
    <s v="Credit card"/>
    <n v="356.58"/>
    <n v="4.7619047620000003"/>
    <n v="6.8"/>
    <x v="0"/>
    <x v="0"/>
    <x v="0"/>
    <x v="0"/>
    <x v="0"/>
    <x v="0"/>
    <x v="2"/>
    <n v="4"/>
    <x v="3"/>
  </r>
  <r>
    <s v="431-66-2305"/>
    <n v="88.25"/>
    <n v="9"/>
    <n v="39.712499999999999"/>
    <n v="833.96249999999998"/>
    <d v="2019-02-15T00:00:00"/>
    <d v="1900-02-07T05:08:00"/>
    <s v="Credit card"/>
    <n v="794.25"/>
    <n v="4.7619047620000003"/>
    <n v="7.6"/>
    <x v="1"/>
    <x v="0"/>
    <x v="1"/>
    <x v="2"/>
    <x v="2"/>
    <x v="2"/>
    <x v="1"/>
    <n v="5"/>
    <x v="3"/>
  </r>
  <r>
    <s v="825-94-5922"/>
    <n v="25.31"/>
    <n v="2"/>
    <n v="2.5310000000000001"/>
    <n v="53.151000000000003"/>
    <d v="2019-03-02T00:00:00"/>
    <d v="1900-02-07T06:08:00"/>
    <s v="Ewallet"/>
    <n v="50.62"/>
    <n v="4.7619047620000003"/>
    <n v="7.2"/>
    <x v="1"/>
    <x v="1"/>
    <x v="3"/>
    <x v="2"/>
    <x v="2"/>
    <x v="1"/>
    <x v="0"/>
    <n v="6"/>
    <x v="3"/>
  </r>
  <r>
    <s v="641-62-7288"/>
    <n v="99.92"/>
    <n v="6"/>
    <n v="29.975999999999999"/>
    <n v="629.49599999999998"/>
    <d v="2019-03-24T00:00:00"/>
    <d v="1900-02-07T07:08:00"/>
    <s v="Ewallet"/>
    <n v="599.52"/>
    <n v="4.7619047620000003"/>
    <n v="7.1"/>
    <x v="1"/>
    <x v="1"/>
    <x v="2"/>
    <x v="2"/>
    <x v="2"/>
    <x v="1"/>
    <x v="2"/>
    <n v="7"/>
    <x v="3"/>
  </r>
  <r>
    <s v="756-93-1854"/>
    <n v="83.35"/>
    <n v="2"/>
    <n v="8.3350000000000009"/>
    <n v="175.035"/>
    <d v="2019-02-02T00:00:00"/>
    <d v="1900-02-07T08:08:00"/>
    <s v="Credit card"/>
    <n v="166.7"/>
    <n v="4.7619047620000003"/>
    <n v="9.5"/>
    <x v="0"/>
    <x v="0"/>
    <x v="5"/>
    <x v="1"/>
    <x v="1"/>
    <x v="2"/>
    <x v="0"/>
    <n v="8"/>
    <x v="3"/>
  </r>
  <r>
    <s v="243-55-8457"/>
    <n v="74.44"/>
    <n v="10"/>
    <n v="37.22"/>
    <n v="781.62"/>
    <d v="2019-02-27T00:00:00"/>
    <d v="1900-02-07T09:08:00"/>
    <s v="Ewallet"/>
    <n v="744.4"/>
    <n v="4.7619047620000003"/>
    <n v="5.0999999999999996"/>
    <x v="1"/>
    <x v="0"/>
    <x v="4"/>
    <x v="0"/>
    <x v="0"/>
    <x v="2"/>
    <x v="5"/>
    <n v="9"/>
    <x v="3"/>
  </r>
  <r>
    <s v="458-10-8612"/>
    <n v="64.08"/>
    <n v="7"/>
    <n v="22.428000000000001"/>
    <n v="470.988"/>
    <d v="2019-01-20T00:00:00"/>
    <d v="1900-02-07T10:08:00"/>
    <s v="Ewallet"/>
    <n v="448.56"/>
    <n v="4.7619047620000003"/>
    <n v="7.6"/>
    <x v="1"/>
    <x v="1"/>
    <x v="0"/>
    <x v="1"/>
    <x v="1"/>
    <x v="0"/>
    <x v="2"/>
    <n v="10"/>
    <x v="3"/>
  </r>
  <r>
    <s v="501-61-1753"/>
    <n v="63.15"/>
    <n v="6"/>
    <n v="18.945"/>
    <n v="397.84500000000003"/>
    <d v="2019-01-03T00:00:00"/>
    <d v="1900-02-07T11:08:00"/>
    <s v="Ewallet"/>
    <n v="378.9"/>
    <n v="4.7619047620000003"/>
    <n v="9.8000000000000007"/>
    <x v="1"/>
    <x v="0"/>
    <x v="2"/>
    <x v="2"/>
    <x v="2"/>
    <x v="0"/>
    <x v="4"/>
    <n v="11"/>
    <x v="3"/>
  </r>
  <r>
    <s v="235-06-8510"/>
    <n v="85.72"/>
    <n v="3"/>
    <n v="12.858000000000001"/>
    <n v="270.01799999999997"/>
    <d v="2019-01-24T00:00:00"/>
    <d v="1900-02-07T12:08:00"/>
    <s v="Ewallet"/>
    <n v="257.16000000000003"/>
    <n v="4.7619047620000003"/>
    <n v="5.0999999999999996"/>
    <x v="0"/>
    <x v="1"/>
    <x v="2"/>
    <x v="1"/>
    <x v="1"/>
    <x v="0"/>
    <x v="4"/>
    <n v="12"/>
    <x v="3"/>
  </r>
  <r>
    <s v="433-08-7822"/>
    <n v="78.89"/>
    <n v="7"/>
    <n v="27.611499999999999"/>
    <n v="579.8415"/>
    <d v="2019-01-05T00:00:00"/>
    <d v="1900-02-07T13:08:00"/>
    <s v="Ewallet"/>
    <n v="552.23"/>
    <n v="4.7619047620000003"/>
    <n v="7.5"/>
    <x v="1"/>
    <x v="0"/>
    <x v="0"/>
    <x v="1"/>
    <x v="1"/>
    <x v="0"/>
    <x v="0"/>
    <n v="13"/>
    <x v="0"/>
  </r>
  <r>
    <s v="361-85-2571"/>
    <n v="89.48"/>
    <n v="5"/>
    <n v="22.37"/>
    <n v="469.77"/>
    <d v="2019-03-30T00:00:00"/>
    <d v="1900-02-07T14:08:00"/>
    <s v="Cash"/>
    <n v="447.4"/>
    <n v="4.7619047620000003"/>
    <n v="7.4"/>
    <x v="1"/>
    <x v="0"/>
    <x v="3"/>
    <x v="0"/>
    <x v="0"/>
    <x v="1"/>
    <x v="0"/>
    <n v="14"/>
    <x v="0"/>
  </r>
  <r>
    <s v="131-70-8179"/>
    <n v="92.09"/>
    <n v="3"/>
    <n v="13.813499999999999"/>
    <n v="290.08350000000002"/>
    <d v="2019-02-17T00:00:00"/>
    <d v="1900-02-07T15:08:00"/>
    <s v="Cash"/>
    <n v="276.27"/>
    <n v="4.7619047620000003"/>
    <n v="4.2"/>
    <x v="0"/>
    <x v="0"/>
    <x v="0"/>
    <x v="0"/>
    <x v="0"/>
    <x v="2"/>
    <x v="2"/>
    <n v="15"/>
    <x v="0"/>
  </r>
  <r>
    <s v="500-02-2261"/>
    <n v="57.29"/>
    <n v="6"/>
    <n v="17.187000000000001"/>
    <n v="360.92700000000002"/>
    <d v="2019-03-21T00:00:00"/>
    <d v="1900-02-07T16:08:00"/>
    <s v="Ewallet"/>
    <n v="343.74"/>
    <n v="4.7619047620000003"/>
    <n v="5.9"/>
    <x v="1"/>
    <x v="0"/>
    <x v="4"/>
    <x v="1"/>
    <x v="1"/>
    <x v="1"/>
    <x v="4"/>
    <n v="16"/>
    <x v="0"/>
  </r>
  <r>
    <s v="720-72-2436"/>
    <n v="66.52"/>
    <n v="4"/>
    <n v="13.304"/>
    <n v="279.38400000000001"/>
    <d v="2019-03-02T00:00:00"/>
    <d v="1900-02-07T17:08:00"/>
    <s v="Ewallet"/>
    <n v="266.08"/>
    <n v="4.7619047620000003"/>
    <n v="6.9"/>
    <x v="1"/>
    <x v="1"/>
    <x v="4"/>
    <x v="0"/>
    <x v="0"/>
    <x v="1"/>
    <x v="0"/>
    <n v="17"/>
    <x v="1"/>
  </r>
  <r>
    <s v="702-83-5291"/>
    <n v="99.82"/>
    <n v="9"/>
    <n v="44.918999999999997"/>
    <n v="943.29899999999998"/>
    <d v="2019-03-27T00:00:00"/>
    <d v="1900-02-07T18:08:00"/>
    <s v="Cash"/>
    <n v="898.38"/>
    <n v="4.7619047620000003"/>
    <n v="6.6"/>
    <x v="0"/>
    <x v="1"/>
    <x v="5"/>
    <x v="1"/>
    <x v="1"/>
    <x v="1"/>
    <x v="5"/>
    <n v="18"/>
    <x v="1"/>
  </r>
  <r>
    <s v="809-69-9497"/>
    <n v="45.68"/>
    <n v="10"/>
    <n v="22.84"/>
    <n v="479.64"/>
    <d v="2019-01-19T00:00:00"/>
    <d v="1900-02-07T19:08:00"/>
    <s v="Ewallet"/>
    <n v="456.8"/>
    <n v="4.7619047620000003"/>
    <n v="5.7"/>
    <x v="1"/>
    <x v="0"/>
    <x v="2"/>
    <x v="0"/>
    <x v="0"/>
    <x v="0"/>
    <x v="0"/>
    <n v="19"/>
    <x v="1"/>
  </r>
  <r>
    <s v="449-16-6770"/>
    <n v="50.79"/>
    <n v="5"/>
    <n v="12.6975"/>
    <n v="266.64749999999998"/>
    <d v="2019-02-19T00:00:00"/>
    <d v="1900-02-07T20:08:00"/>
    <s v="Credit card"/>
    <n v="253.95"/>
    <n v="4.7619047620000003"/>
    <n v="5.3"/>
    <x v="1"/>
    <x v="1"/>
    <x v="0"/>
    <x v="0"/>
    <x v="0"/>
    <x v="2"/>
    <x v="6"/>
    <n v="20"/>
    <x v="1"/>
  </r>
  <r>
    <s v="333-23-2632"/>
    <n v="10.08"/>
    <n v="7"/>
    <n v="3.528"/>
    <n v="74.087999999999994"/>
    <d v="2019-03-28T00:00:00"/>
    <d v="1900-02-07T21:08:00"/>
    <s v="Cash"/>
    <n v="70.56"/>
    <n v="4.7619047620000003"/>
    <n v="4.2"/>
    <x v="0"/>
    <x v="1"/>
    <x v="0"/>
    <x v="0"/>
    <x v="0"/>
    <x v="1"/>
    <x v="4"/>
    <n v="21"/>
    <x v="1"/>
  </r>
  <r>
    <s v="489-82-1237"/>
    <n v="93.88"/>
    <n v="7"/>
    <n v="32.857999999999997"/>
    <n v="690.01800000000003"/>
    <d v="2019-01-05T00:00:00"/>
    <d v="1900-02-07T22:08:00"/>
    <s v="Credit card"/>
    <n v="657.16"/>
    <n v="4.7619047620000003"/>
    <n v="7.3"/>
    <x v="1"/>
    <x v="0"/>
    <x v="1"/>
    <x v="0"/>
    <x v="0"/>
    <x v="0"/>
    <x v="0"/>
    <n v="22"/>
    <x v="2"/>
  </r>
  <r>
    <s v="859-97-6048"/>
    <n v="84.25"/>
    <n v="2"/>
    <n v="8.4250000000000007"/>
    <n v="176.92500000000001"/>
    <d v="2019-03-26T00:00:00"/>
    <d v="1900-02-07T23:08:00"/>
    <s v="Credit card"/>
    <n v="168.5"/>
    <n v="4.7619047620000003"/>
    <n v="5.3"/>
    <x v="0"/>
    <x v="1"/>
    <x v="1"/>
    <x v="1"/>
    <x v="1"/>
    <x v="1"/>
    <x v="6"/>
    <n v="23"/>
    <x v="2"/>
  </r>
  <r>
    <s v="676-10-2200"/>
    <n v="53.78"/>
    <n v="1"/>
    <n v="2.6890000000000001"/>
    <n v="56.469000000000001"/>
    <d v="2019-02-03T00:00:00"/>
    <d v="1900-02-08T00:08:00"/>
    <s v="Ewallet"/>
    <n v="53.78"/>
    <n v="4.7619047620000003"/>
    <n v="4.7"/>
    <x v="0"/>
    <x v="1"/>
    <x v="5"/>
    <x v="2"/>
    <x v="2"/>
    <x v="2"/>
    <x v="2"/>
    <n v="0"/>
    <x v="3"/>
  </r>
  <r>
    <s v="373-88-1424"/>
    <n v="35.81"/>
    <n v="5"/>
    <n v="8.9525000000000006"/>
    <n v="188.0025"/>
    <d v="2019-02-06T00:00:00"/>
    <d v="1900-02-08T01:08:00"/>
    <s v="Ewallet"/>
    <n v="179.05"/>
    <n v="4.7619047620000003"/>
    <n v="7.9"/>
    <x v="0"/>
    <x v="1"/>
    <x v="2"/>
    <x v="1"/>
    <x v="1"/>
    <x v="2"/>
    <x v="5"/>
    <n v="1"/>
    <x v="3"/>
  </r>
  <r>
    <s v="365-16-4334"/>
    <n v="26.43"/>
    <n v="8"/>
    <n v="10.571999999999999"/>
    <n v="222.012"/>
    <d v="2019-02-24T00:00:00"/>
    <d v="1900-02-08T02:08:00"/>
    <s v="Ewallet"/>
    <n v="211.44"/>
    <n v="4.7619047620000003"/>
    <n v="8.9"/>
    <x v="1"/>
    <x v="0"/>
    <x v="4"/>
    <x v="2"/>
    <x v="2"/>
    <x v="2"/>
    <x v="2"/>
    <n v="2"/>
    <x v="3"/>
  </r>
  <r>
    <s v="503-21-4385"/>
    <n v="39.909999999999997"/>
    <n v="3"/>
    <n v="5.9865000000000004"/>
    <n v="125.7165"/>
    <d v="2019-02-21T00:00:00"/>
    <d v="1900-02-08T03:08:00"/>
    <s v="Ewallet"/>
    <n v="119.73"/>
    <n v="4.7619047620000003"/>
    <n v="9.3000000000000007"/>
    <x v="0"/>
    <x v="1"/>
    <x v="0"/>
    <x v="2"/>
    <x v="2"/>
    <x v="2"/>
    <x v="4"/>
    <n v="3"/>
    <x v="3"/>
  </r>
  <r>
    <s v="305-89-2768"/>
    <n v="21.9"/>
    <n v="3"/>
    <n v="3.2850000000000001"/>
    <n v="68.984999999999999"/>
    <d v="2019-01-09T00:00:00"/>
    <d v="1900-02-08T04:08:00"/>
    <s v="Ewallet"/>
    <n v="65.7"/>
    <n v="4.7619047620000003"/>
    <n v="4.7"/>
    <x v="0"/>
    <x v="0"/>
    <x v="2"/>
    <x v="2"/>
    <x v="2"/>
    <x v="0"/>
    <x v="5"/>
    <n v="4"/>
    <x v="3"/>
  </r>
  <r>
    <s v="574-80-1489"/>
    <n v="62.85"/>
    <n v="4"/>
    <n v="12.57"/>
    <n v="263.97000000000003"/>
    <d v="2019-02-25T00:00:00"/>
    <d v="1900-02-08T05:08:00"/>
    <s v="Ewallet"/>
    <n v="251.4"/>
    <n v="4.7619047620000003"/>
    <n v="8.6999999999999993"/>
    <x v="0"/>
    <x v="0"/>
    <x v="4"/>
    <x v="2"/>
    <x v="2"/>
    <x v="2"/>
    <x v="3"/>
    <n v="5"/>
    <x v="3"/>
  </r>
  <r>
    <s v="784-08-0310"/>
    <n v="21.04"/>
    <n v="4"/>
    <n v="4.2080000000000002"/>
    <n v="88.367999999999995"/>
    <d v="2019-01-13T00:00:00"/>
    <d v="1900-02-08T06:08:00"/>
    <s v="Cash"/>
    <n v="84.16"/>
    <n v="4.7619047620000003"/>
    <n v="7.6"/>
    <x v="0"/>
    <x v="0"/>
    <x v="4"/>
    <x v="1"/>
    <x v="1"/>
    <x v="0"/>
    <x v="2"/>
    <n v="6"/>
    <x v="3"/>
  </r>
  <r>
    <s v="200-40-6154"/>
    <n v="65.91"/>
    <n v="6"/>
    <n v="19.773"/>
    <n v="415.233"/>
    <d v="2019-02-09T00:00:00"/>
    <d v="1900-02-08T07:08:00"/>
    <s v="Cash"/>
    <n v="395.46"/>
    <n v="4.7619047620000003"/>
    <n v="5.7"/>
    <x v="0"/>
    <x v="1"/>
    <x v="2"/>
    <x v="2"/>
    <x v="2"/>
    <x v="2"/>
    <x v="0"/>
    <n v="7"/>
    <x v="3"/>
  </r>
  <r>
    <s v="846-10-0341"/>
    <n v="42.57"/>
    <n v="7"/>
    <n v="14.8995"/>
    <n v="312.8895"/>
    <d v="2019-01-06T00:00:00"/>
    <d v="1900-02-08T08:08:00"/>
    <s v="Cash"/>
    <n v="297.99"/>
    <n v="4.7619047620000003"/>
    <n v="6.8"/>
    <x v="1"/>
    <x v="0"/>
    <x v="5"/>
    <x v="0"/>
    <x v="0"/>
    <x v="0"/>
    <x v="2"/>
    <n v="8"/>
    <x v="3"/>
  </r>
  <r>
    <s v="577-34-7579"/>
    <n v="50.49"/>
    <n v="9"/>
    <n v="22.720500000000001"/>
    <n v="477.13049999999998"/>
    <d v="2019-01-10T00:00:00"/>
    <d v="1900-02-08T09:08:00"/>
    <s v="Cash"/>
    <n v="454.41"/>
    <n v="4.7619047620000003"/>
    <n v="5.4"/>
    <x v="0"/>
    <x v="1"/>
    <x v="4"/>
    <x v="1"/>
    <x v="1"/>
    <x v="0"/>
    <x v="4"/>
    <n v="9"/>
    <x v="3"/>
  </r>
  <r>
    <s v="430-02-3888"/>
    <n v="46.02"/>
    <n v="6"/>
    <n v="13.805999999999999"/>
    <n v="289.92599999999999"/>
    <d v="2019-02-07T00:00:00"/>
    <d v="1900-02-08T10:08:00"/>
    <s v="Cash"/>
    <n v="276.12"/>
    <n v="4.7619047620000003"/>
    <n v="7.1"/>
    <x v="1"/>
    <x v="1"/>
    <x v="1"/>
    <x v="2"/>
    <x v="2"/>
    <x v="2"/>
    <x v="4"/>
    <n v="10"/>
    <x v="3"/>
  </r>
  <r>
    <s v="867-47-1948"/>
    <n v="15.8"/>
    <n v="10"/>
    <n v="7.9"/>
    <n v="165.9"/>
    <d v="2019-01-09T00:00:00"/>
    <d v="1900-02-08T11:08:00"/>
    <s v="Cash"/>
    <n v="158"/>
    <n v="4.7619047620000003"/>
    <n v="7.8"/>
    <x v="1"/>
    <x v="0"/>
    <x v="2"/>
    <x v="1"/>
    <x v="1"/>
    <x v="0"/>
    <x v="5"/>
    <n v="11"/>
    <x v="3"/>
  </r>
  <r>
    <s v="384-59-6655"/>
    <n v="98.66"/>
    <n v="9"/>
    <n v="44.396999999999998"/>
    <n v="932.33699999999999"/>
    <d v="2019-02-19T00:00:00"/>
    <d v="1900-02-08T12:08:00"/>
    <s v="Cash"/>
    <n v="887.94"/>
    <n v="4.7619047620000003"/>
    <n v="8.4"/>
    <x v="0"/>
    <x v="0"/>
    <x v="4"/>
    <x v="0"/>
    <x v="0"/>
    <x v="2"/>
    <x v="6"/>
    <n v="12"/>
    <x v="3"/>
  </r>
  <r>
    <s v="256-58-3609"/>
    <n v="91.98"/>
    <n v="1"/>
    <n v="4.5990000000000002"/>
    <n v="96.578999999999994"/>
    <d v="2019-03-18T00:00:00"/>
    <d v="1900-02-08T13:08:00"/>
    <s v="Cash"/>
    <n v="91.98"/>
    <n v="4.7619047620000003"/>
    <n v="9.8000000000000007"/>
    <x v="0"/>
    <x v="1"/>
    <x v="5"/>
    <x v="1"/>
    <x v="1"/>
    <x v="1"/>
    <x v="3"/>
    <n v="13"/>
    <x v="0"/>
  </r>
  <r>
    <s v="324-92-3863"/>
    <n v="20.89"/>
    <n v="2"/>
    <n v="2.089"/>
    <n v="43.869"/>
    <d v="2019-02-05T00:00:00"/>
    <d v="1900-02-08T14:08:00"/>
    <s v="Cash"/>
    <n v="41.78"/>
    <n v="4.7619047620000003"/>
    <n v="9.8000000000000007"/>
    <x v="0"/>
    <x v="1"/>
    <x v="1"/>
    <x v="0"/>
    <x v="0"/>
    <x v="2"/>
    <x v="6"/>
    <n v="14"/>
    <x v="0"/>
  </r>
  <r>
    <s v="593-08-5916"/>
    <n v="15.5"/>
    <n v="1"/>
    <n v="0.77500000000000002"/>
    <n v="16.274999999999999"/>
    <d v="2019-03-19T00:00:00"/>
    <d v="1900-02-08T15:08:00"/>
    <s v="Credit card"/>
    <n v="15.5"/>
    <n v="4.7619047620000003"/>
    <n v="7.4"/>
    <x v="1"/>
    <x v="0"/>
    <x v="5"/>
    <x v="0"/>
    <x v="0"/>
    <x v="1"/>
    <x v="6"/>
    <n v="15"/>
    <x v="0"/>
  </r>
  <r>
    <s v="364-34-2972"/>
    <n v="96.82"/>
    <n v="3"/>
    <n v="14.523"/>
    <n v="304.983"/>
    <d v="2019-03-30T00:00:00"/>
    <d v="1900-02-08T16:08:00"/>
    <s v="Cash"/>
    <n v="290.45999999999998"/>
    <n v="4.7619047620000003"/>
    <n v="6.7"/>
    <x v="0"/>
    <x v="1"/>
    <x v="1"/>
    <x v="1"/>
    <x v="1"/>
    <x v="1"/>
    <x v="0"/>
    <n v="16"/>
    <x v="0"/>
  </r>
  <r>
    <s v="794-42-3736"/>
    <n v="33.33"/>
    <n v="2"/>
    <n v="3.3330000000000002"/>
    <n v="69.992999999999995"/>
    <d v="2019-01-26T00:00:00"/>
    <d v="1900-02-08T17:08:00"/>
    <s v="Credit card"/>
    <n v="66.66"/>
    <n v="4.7619047620000003"/>
    <n v="6.4"/>
    <x v="1"/>
    <x v="1"/>
    <x v="4"/>
    <x v="2"/>
    <x v="2"/>
    <x v="0"/>
    <x v="0"/>
    <n v="17"/>
    <x v="1"/>
  </r>
  <r>
    <s v="172-42-8274"/>
    <n v="38.270000000000003"/>
    <n v="2"/>
    <n v="3.827"/>
    <n v="80.367000000000004"/>
    <d v="2019-03-02T00:00:00"/>
    <d v="1900-02-08T18:08:00"/>
    <s v="Credit card"/>
    <n v="76.540000000000006"/>
    <n v="4.7619047620000003"/>
    <n v="5.8"/>
    <x v="1"/>
    <x v="0"/>
    <x v="1"/>
    <x v="2"/>
    <x v="2"/>
    <x v="1"/>
    <x v="0"/>
    <n v="18"/>
    <x v="1"/>
  </r>
  <r>
    <s v="558-60-5016"/>
    <n v="33.299999999999997"/>
    <n v="9"/>
    <n v="14.984999999999999"/>
    <n v="314.685"/>
    <d v="2019-03-04T00:00:00"/>
    <d v="1900-02-08T19:08:00"/>
    <s v="Ewallet"/>
    <n v="299.7"/>
    <n v="4.7619047620000003"/>
    <n v="7.2"/>
    <x v="1"/>
    <x v="0"/>
    <x v="2"/>
    <x v="0"/>
    <x v="0"/>
    <x v="1"/>
    <x v="3"/>
    <n v="19"/>
    <x v="1"/>
  </r>
  <r>
    <s v="195-06-0432"/>
    <n v="81.010000000000005"/>
    <n v="3"/>
    <n v="12.1515"/>
    <n v="255.1815"/>
    <d v="2019-01-13T00:00:00"/>
    <d v="1900-02-08T20:08:00"/>
    <s v="Credit card"/>
    <n v="243.03"/>
    <n v="4.7619047620000003"/>
    <n v="9.3000000000000007"/>
    <x v="0"/>
    <x v="1"/>
    <x v="2"/>
    <x v="0"/>
    <x v="0"/>
    <x v="0"/>
    <x v="2"/>
    <n v="20"/>
    <x v="1"/>
  </r>
  <r>
    <s v="605-03-2706"/>
    <n v="15.8"/>
    <n v="3"/>
    <n v="2.37"/>
    <n v="49.77"/>
    <d v="2019-03-25T00:00:00"/>
    <d v="1900-02-08T21:08:00"/>
    <s v="Cash"/>
    <n v="47.4"/>
    <n v="4.7619047620000003"/>
    <n v="9.5"/>
    <x v="1"/>
    <x v="0"/>
    <x v="0"/>
    <x v="0"/>
    <x v="0"/>
    <x v="1"/>
    <x v="3"/>
    <n v="21"/>
    <x v="1"/>
  </r>
  <r>
    <s v="214-30-2776"/>
    <n v="34.49"/>
    <n v="5"/>
    <n v="8.6225000000000005"/>
    <n v="181.07249999999999"/>
    <d v="2019-03-11T00:00:00"/>
    <d v="1900-02-08T22:08:00"/>
    <s v="Credit card"/>
    <n v="172.45"/>
    <n v="4.7619047620000003"/>
    <n v="9"/>
    <x v="0"/>
    <x v="0"/>
    <x v="1"/>
    <x v="2"/>
    <x v="2"/>
    <x v="1"/>
    <x v="3"/>
    <n v="22"/>
    <x v="2"/>
  </r>
  <r>
    <s v="746-04-1077"/>
    <n v="84.63"/>
    <n v="10"/>
    <n v="42.314999999999998"/>
    <n v="888.61500000000001"/>
    <d v="2019-01-01T00:00:00"/>
    <d v="1900-02-08T23:08:00"/>
    <s v="Credit card"/>
    <n v="846.3"/>
    <n v="4.7619047620000003"/>
    <n v="9"/>
    <x v="0"/>
    <x v="0"/>
    <x v="4"/>
    <x v="2"/>
    <x v="2"/>
    <x v="0"/>
    <x v="6"/>
    <n v="23"/>
    <x v="2"/>
  </r>
  <r>
    <s v="448-34-8700"/>
    <n v="36.909999999999997"/>
    <n v="7"/>
    <n v="12.9185"/>
    <n v="271.2885"/>
    <d v="2019-02-10T00:00:00"/>
    <d v="1900-02-09T00:08:00"/>
    <s v="Ewallet"/>
    <n v="258.37"/>
    <n v="4.7619047620000003"/>
    <n v="6.7"/>
    <x v="0"/>
    <x v="1"/>
    <x v="2"/>
    <x v="2"/>
    <x v="2"/>
    <x v="2"/>
    <x v="2"/>
    <n v="0"/>
    <x v="3"/>
  </r>
  <r>
    <s v="452-04-8808"/>
    <n v="87.08"/>
    <n v="7"/>
    <n v="30.478000000000002"/>
    <n v="640.03800000000001"/>
    <d v="2019-01-26T00:00:00"/>
    <d v="1900-02-09T01:08:00"/>
    <s v="Cash"/>
    <n v="609.55999999999995"/>
    <n v="4.7619047620000003"/>
    <n v="5.5"/>
    <x v="1"/>
    <x v="1"/>
    <x v="1"/>
    <x v="2"/>
    <x v="2"/>
    <x v="0"/>
    <x v="0"/>
    <n v="1"/>
    <x v="3"/>
  </r>
  <r>
    <s v="531-56-4728"/>
    <n v="80.08"/>
    <n v="3"/>
    <n v="12.012"/>
    <n v="252.25200000000001"/>
    <d v="2019-02-11T00:00:00"/>
    <d v="1900-02-09T02:08:00"/>
    <s v="Cash"/>
    <n v="240.24"/>
    <n v="4.7619047620000003"/>
    <n v="5.4"/>
    <x v="1"/>
    <x v="1"/>
    <x v="2"/>
    <x v="0"/>
    <x v="0"/>
    <x v="2"/>
    <x v="3"/>
    <n v="2"/>
    <x v="3"/>
  </r>
  <r>
    <s v="744-82-9138"/>
    <n v="86.13"/>
    <n v="2"/>
    <n v="8.6129999999999995"/>
    <n v="180.87299999999999"/>
    <d v="2019-02-07T00:00:00"/>
    <d v="1900-02-09T03:08:00"/>
    <s v="Cash"/>
    <n v="172.26"/>
    <n v="4.7619047620000003"/>
    <n v="8.1999999999999993"/>
    <x v="1"/>
    <x v="1"/>
    <x v="5"/>
    <x v="1"/>
    <x v="1"/>
    <x v="2"/>
    <x v="4"/>
    <n v="3"/>
    <x v="3"/>
  </r>
  <r>
    <s v="883-69-1285"/>
    <n v="49.92"/>
    <n v="2"/>
    <n v="4.992"/>
    <n v="104.83199999999999"/>
    <d v="2019-03-06T00:00:00"/>
    <d v="1900-02-09T04:08:00"/>
    <s v="Credit card"/>
    <n v="99.84"/>
    <n v="4.7619047620000003"/>
    <n v="7"/>
    <x v="0"/>
    <x v="1"/>
    <x v="5"/>
    <x v="2"/>
    <x v="2"/>
    <x v="1"/>
    <x v="5"/>
    <n v="4"/>
    <x v="3"/>
  </r>
  <r>
    <s v="221-25-5073"/>
    <n v="74.66"/>
    <n v="4"/>
    <n v="14.932"/>
    <n v="313.572"/>
    <d v="2019-03-04T00:00:00"/>
    <d v="1900-02-09T05:08:00"/>
    <s v="Cash"/>
    <n v="298.64"/>
    <n v="4.7619047620000003"/>
    <n v="8.5"/>
    <x v="1"/>
    <x v="0"/>
    <x v="4"/>
    <x v="0"/>
    <x v="0"/>
    <x v="1"/>
    <x v="3"/>
    <n v="5"/>
    <x v="3"/>
  </r>
  <r>
    <s v="518-71-6847"/>
    <n v="26.6"/>
    <n v="6"/>
    <n v="7.98"/>
    <n v="167.58"/>
    <d v="2019-02-26T00:00:00"/>
    <d v="1900-02-09T06:08:00"/>
    <s v="Ewallet"/>
    <n v="159.6"/>
    <n v="4.7619047620000003"/>
    <n v="4.9000000000000004"/>
    <x v="0"/>
    <x v="1"/>
    <x v="4"/>
    <x v="2"/>
    <x v="2"/>
    <x v="2"/>
    <x v="6"/>
    <n v="6"/>
    <x v="3"/>
  </r>
  <r>
    <s v="156-20-0370"/>
    <n v="25.45"/>
    <n v="1"/>
    <n v="1.2725"/>
    <n v="26.7225"/>
    <d v="2019-03-10T00:00:00"/>
    <d v="1900-02-09T07:08:00"/>
    <s v="Credit card"/>
    <n v="25.45"/>
    <n v="4.7619047620000003"/>
    <n v="5.0999999999999996"/>
    <x v="1"/>
    <x v="0"/>
    <x v="1"/>
    <x v="2"/>
    <x v="2"/>
    <x v="1"/>
    <x v="2"/>
    <n v="7"/>
    <x v="3"/>
  </r>
  <r>
    <s v="151-33-7434"/>
    <n v="67.77"/>
    <n v="1"/>
    <n v="3.3885000000000001"/>
    <n v="71.158500000000004"/>
    <d v="2019-02-04T00:00:00"/>
    <d v="1900-02-09T08:08:00"/>
    <s v="Credit card"/>
    <n v="67.77"/>
    <n v="4.7619047620000003"/>
    <n v="6.5"/>
    <x v="1"/>
    <x v="0"/>
    <x v="4"/>
    <x v="2"/>
    <x v="2"/>
    <x v="2"/>
    <x v="3"/>
    <n v="8"/>
    <x v="3"/>
  </r>
  <r>
    <s v="728-47-9078"/>
    <n v="59.59"/>
    <n v="4"/>
    <n v="11.917999999999999"/>
    <n v="250.27799999999999"/>
    <d v="2019-01-19T00:00:00"/>
    <d v="1900-02-09T09:08:00"/>
    <s v="Cash"/>
    <n v="238.36"/>
    <n v="4.7619047620000003"/>
    <n v="9.8000000000000007"/>
    <x v="0"/>
    <x v="1"/>
    <x v="4"/>
    <x v="1"/>
    <x v="1"/>
    <x v="0"/>
    <x v="0"/>
    <n v="9"/>
    <x v="3"/>
  </r>
  <r>
    <s v="809-46-1866"/>
    <n v="58.15"/>
    <n v="4"/>
    <n v="11.63"/>
    <n v="244.23"/>
    <d v="2019-01-23T00:00:00"/>
    <d v="1900-02-09T10:08:00"/>
    <s v="Cash"/>
    <n v="232.6"/>
    <n v="4.7619047620000003"/>
    <n v="8.4"/>
    <x v="1"/>
    <x v="1"/>
    <x v="0"/>
    <x v="0"/>
    <x v="0"/>
    <x v="0"/>
    <x v="5"/>
    <n v="10"/>
    <x v="3"/>
  </r>
  <r>
    <s v="139-32-4183"/>
    <n v="97.48"/>
    <n v="9"/>
    <n v="43.866"/>
    <n v="921.18600000000004"/>
    <d v="2019-03-14T00:00:00"/>
    <d v="1900-02-09T11:08:00"/>
    <s v="Ewallet"/>
    <n v="877.32"/>
    <n v="4.7619047620000003"/>
    <n v="7.4"/>
    <x v="0"/>
    <x v="0"/>
    <x v="3"/>
    <x v="0"/>
    <x v="0"/>
    <x v="1"/>
    <x v="4"/>
    <n v="11"/>
    <x v="3"/>
  </r>
  <r>
    <s v="148-41-7930"/>
    <n v="99.96"/>
    <n v="7"/>
    <n v="34.985999999999997"/>
    <n v="734.70600000000002"/>
    <d v="2019-01-23T00:00:00"/>
    <d v="1900-02-09T12:08:00"/>
    <s v="Cash"/>
    <n v="699.72"/>
    <n v="4.7619047620000003"/>
    <n v="6.1"/>
    <x v="1"/>
    <x v="1"/>
    <x v="0"/>
    <x v="1"/>
    <x v="1"/>
    <x v="0"/>
    <x v="5"/>
    <n v="12"/>
    <x v="3"/>
  </r>
  <r>
    <s v="189-40-5216"/>
    <n v="96.37"/>
    <n v="7"/>
    <n v="33.729500000000002"/>
    <n v="708.31949999999995"/>
    <d v="2019-01-09T00:00:00"/>
    <d v="1900-02-09T13:08:00"/>
    <s v="Cash"/>
    <n v="674.59"/>
    <n v="4.7619047620000003"/>
    <n v="6"/>
    <x v="1"/>
    <x v="1"/>
    <x v="1"/>
    <x v="1"/>
    <x v="1"/>
    <x v="0"/>
    <x v="5"/>
    <n v="13"/>
    <x v="0"/>
  </r>
  <r>
    <s v="374-38-5555"/>
    <n v="63.71"/>
    <n v="5"/>
    <n v="15.9275"/>
    <n v="334.47750000000002"/>
    <d v="2019-02-07T00:00:00"/>
    <d v="1900-02-09T14:08:00"/>
    <s v="Ewallet"/>
    <n v="318.55"/>
    <n v="4.7619047620000003"/>
    <n v="8.5"/>
    <x v="1"/>
    <x v="0"/>
    <x v="5"/>
    <x v="2"/>
    <x v="2"/>
    <x v="2"/>
    <x v="4"/>
    <n v="14"/>
    <x v="0"/>
  </r>
  <r>
    <s v="764-44-8999"/>
    <n v="14.76"/>
    <n v="2"/>
    <n v="1.476"/>
    <n v="30.995999999999999"/>
    <d v="2019-02-18T00:00:00"/>
    <d v="1900-02-09T15:08:00"/>
    <s v="Ewallet"/>
    <n v="29.52"/>
    <n v="4.7619047620000003"/>
    <n v="4.3"/>
    <x v="1"/>
    <x v="0"/>
    <x v="0"/>
    <x v="2"/>
    <x v="2"/>
    <x v="2"/>
    <x v="3"/>
    <n v="15"/>
    <x v="0"/>
  </r>
  <r>
    <s v="552-44-5977"/>
    <n v="62"/>
    <n v="8"/>
    <n v="24.8"/>
    <n v="520.79999999999995"/>
    <d v="2019-01-03T00:00:00"/>
    <d v="1900-02-09T16:08:00"/>
    <s v="Credit card"/>
    <n v="496"/>
    <n v="4.7619047620000003"/>
    <n v="6.2"/>
    <x v="0"/>
    <x v="1"/>
    <x v="0"/>
    <x v="2"/>
    <x v="2"/>
    <x v="0"/>
    <x v="4"/>
    <n v="16"/>
    <x v="0"/>
  </r>
  <r>
    <s v="267-62-7380"/>
    <n v="82.34"/>
    <n v="10"/>
    <n v="41.17"/>
    <n v="864.57"/>
    <d v="2019-03-29T00:00:00"/>
    <d v="1900-02-09T17:08:00"/>
    <s v="Ewallet"/>
    <n v="823.4"/>
    <n v="4.7619047620000003"/>
    <n v="4.3"/>
    <x v="0"/>
    <x v="1"/>
    <x v="1"/>
    <x v="1"/>
    <x v="1"/>
    <x v="1"/>
    <x v="1"/>
    <n v="17"/>
    <x v="1"/>
  </r>
  <r>
    <s v="430-53-4718"/>
    <n v="75.37"/>
    <n v="8"/>
    <n v="30.148"/>
    <n v="633.10799999999995"/>
    <d v="2019-01-28T00:00:00"/>
    <d v="1900-02-09T18:08:00"/>
    <s v="Credit card"/>
    <n v="602.96"/>
    <n v="4.7619047620000003"/>
    <n v="8.4"/>
    <x v="0"/>
    <x v="1"/>
    <x v="0"/>
    <x v="2"/>
    <x v="2"/>
    <x v="0"/>
    <x v="3"/>
    <n v="18"/>
    <x v="1"/>
  </r>
  <r>
    <s v="886-18-2897"/>
    <n v="56.56"/>
    <n v="5"/>
    <n v="14.14"/>
    <n v="296.94"/>
    <d v="2019-03-22T00:00:00"/>
    <d v="1900-02-09T19:08:00"/>
    <s v="Credit card"/>
    <n v="282.8"/>
    <n v="4.7619047620000003"/>
    <n v="4.5"/>
    <x v="1"/>
    <x v="0"/>
    <x v="4"/>
    <x v="0"/>
    <x v="0"/>
    <x v="1"/>
    <x v="1"/>
    <n v="19"/>
    <x v="1"/>
  </r>
  <r>
    <s v="602-16-6955"/>
    <n v="76.599999999999994"/>
    <n v="10"/>
    <n v="38.299999999999997"/>
    <n v="804.3"/>
    <d v="2019-01-24T00:00:00"/>
    <d v="1900-02-09T20:08:00"/>
    <s v="Ewallet"/>
    <n v="766"/>
    <n v="4.7619047620000003"/>
    <n v="6"/>
    <x v="1"/>
    <x v="0"/>
    <x v="3"/>
    <x v="2"/>
    <x v="2"/>
    <x v="0"/>
    <x v="4"/>
    <n v="20"/>
    <x v="1"/>
  </r>
  <r>
    <s v="745-74-0715"/>
    <n v="58.03"/>
    <n v="2"/>
    <n v="5.8029999999999999"/>
    <n v="121.863"/>
    <d v="2019-03-10T00:00:00"/>
    <d v="1900-02-09T21:08:00"/>
    <s v="Ewallet"/>
    <n v="116.06"/>
    <n v="4.7619047620000003"/>
    <n v="8.8000000000000007"/>
    <x v="1"/>
    <x v="1"/>
    <x v="1"/>
    <x v="0"/>
    <x v="0"/>
    <x v="1"/>
    <x v="2"/>
    <n v="21"/>
    <x v="1"/>
  </r>
  <r>
    <s v="690-01-6631"/>
    <n v="17.489999999999998"/>
    <n v="10"/>
    <n v="8.7449999999999992"/>
    <n v="183.64500000000001"/>
    <d v="2019-02-22T00:00:00"/>
    <d v="1900-02-09T22:08:00"/>
    <s v="Ewallet"/>
    <n v="174.9"/>
    <n v="4.7619047620000003"/>
    <n v="6.6"/>
    <x v="1"/>
    <x v="1"/>
    <x v="5"/>
    <x v="2"/>
    <x v="2"/>
    <x v="2"/>
    <x v="1"/>
    <n v="22"/>
    <x v="2"/>
  </r>
  <r>
    <s v="652-49-6720"/>
    <n v="60.95"/>
    <n v="1"/>
    <n v="3.0474999999999999"/>
    <n v="63.997500000000002"/>
    <d v="2019-02-18T00:00:00"/>
    <d v="1900-02-09T23:08:00"/>
    <s v="Ewallet"/>
    <n v="60.95"/>
    <n v="4.7619047620000003"/>
    <n v="5.9"/>
    <x v="0"/>
    <x v="0"/>
    <x v="1"/>
    <x v="1"/>
    <x v="1"/>
    <x v="2"/>
    <x v="3"/>
    <n v="23"/>
    <x v="2"/>
  </r>
  <r>
    <s v="233-67-5758"/>
    <n v="40.35"/>
    <n v="1"/>
    <n v="2.0175000000000001"/>
    <n v="42.3675"/>
    <d v="2019-01-29T00:00:00"/>
    <d v="1900-02-10T00:08:00"/>
    <s v="Ewallet"/>
    <n v="40.35"/>
    <n v="4.7619047620000003"/>
    <n v="6.2"/>
    <x v="1"/>
    <x v="1"/>
    <x v="0"/>
    <x v="1"/>
    <x v="1"/>
    <x v="0"/>
    <x v="6"/>
    <n v="0"/>
    <x v="3"/>
  </r>
  <r>
    <s v="303-96-2227"/>
    <n v="97.38"/>
    <n v="10"/>
    <n v="48.69"/>
    <n v="1022.49"/>
    <d v="2019-03-02T00:00:00"/>
    <d v="1900-02-10T01:08:00"/>
    <s v="Ewallet"/>
    <n v="973.8"/>
    <n v="4.7619047620000003"/>
    <n v="4.4000000000000004"/>
    <x v="1"/>
    <x v="0"/>
    <x v="2"/>
    <x v="2"/>
    <x v="2"/>
    <x v="1"/>
    <x v="0"/>
    <n v="1"/>
    <x v="3"/>
  </r>
  <r>
    <s v="727-02-1313"/>
    <n v="31.84"/>
    <n v="1"/>
    <n v="1.5920000000000001"/>
    <n v="33.432000000000002"/>
    <d v="2019-02-09T00:00:00"/>
    <d v="1900-02-10T02:08:00"/>
    <s v="Cash"/>
    <n v="31.84"/>
    <n v="4.7619047620000003"/>
    <n v="7.7"/>
    <x v="0"/>
    <x v="1"/>
    <x v="4"/>
    <x v="0"/>
    <x v="0"/>
    <x v="2"/>
    <x v="0"/>
    <n v="2"/>
    <x v="3"/>
  </r>
  <r>
    <s v="347-56-2442"/>
    <n v="65.819999999999993"/>
    <n v="1"/>
    <n v="3.2909999999999999"/>
    <n v="69.111000000000004"/>
    <d v="2019-02-22T00:00:00"/>
    <d v="1900-02-10T03:08:00"/>
    <s v="Cash"/>
    <n v="65.819999999999993"/>
    <n v="4.7619047620000003"/>
    <n v="4.0999999999999996"/>
    <x v="1"/>
    <x v="1"/>
    <x v="2"/>
    <x v="0"/>
    <x v="0"/>
    <x v="2"/>
    <x v="1"/>
    <n v="3"/>
    <x v="3"/>
  </r>
  <r>
    <s v="849-09-3807"/>
    <n v="88.34"/>
    <n v="7"/>
    <n v="30.919"/>
    <n v="649.29899999999998"/>
    <d v="2019-02-18T00:00:00"/>
    <d v="1900-02-10T04:08:00"/>
    <s v="Cash"/>
    <n v="618.38"/>
    <n v="4.7619047620000003"/>
    <n v="6.6"/>
    <x v="0"/>
    <x v="0"/>
    <x v="5"/>
    <x v="0"/>
    <x v="0"/>
    <x v="2"/>
    <x v="3"/>
    <n v="4"/>
    <x v="3"/>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7.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8.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9.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BEFD9B34-062B-488E-AB3D-CC8917C9545D}" name="TIME OF DAY" cacheId="0" applyNumberFormats="0" applyBorderFormats="0" applyFontFormats="0" applyPatternFormats="0" applyAlignmentFormats="0" applyWidthHeightFormats="1" dataCaption="Values" updatedVersion="8" minRefreshableVersion="3" useAutoFormatting="1" rowGrandTotals="0" colGrandTotals="0" itemPrintTitles="1" createdVersion="8" indent="0" compact="0" compactData="0" multipleFieldFilters="0" chartFormat="13">
  <location ref="V3:W7" firstHeaderRow="1" firstDataRow="1" firstDataCol="1"/>
  <pivotFields count="20">
    <pivotField compact="0" outline="0" showAll="0"/>
    <pivotField compact="0" numFmtId="166" outline="0" showAll="0"/>
    <pivotField compact="0" numFmtId="1" outline="0" showAll="0"/>
    <pivotField compact="0" numFmtId="166" outline="0" showAll="0"/>
    <pivotField dataField="1" compact="0" numFmtId="166" outline="0" showAll="0"/>
    <pivotField compact="0" numFmtId="14" outline="0" showAll="0"/>
    <pivotField compact="0" numFmtId="18" outline="0" showAll="0"/>
    <pivotField compact="0" outline="0" showAll="0"/>
    <pivotField compact="0" numFmtId="166" outline="0" showAll="0"/>
    <pivotField compact="0" numFmtId="2" outline="0" showAll="0"/>
    <pivotField compact="0" numFmtId="165" outline="0" showAll="0"/>
    <pivotField compact="0" outline="0" showAll="0"/>
    <pivotField compact="0" outline="0" showAll="0">
      <items count="3">
        <item x="0"/>
        <item x="1"/>
        <item t="default"/>
      </items>
    </pivotField>
    <pivotField compact="0" outline="0" showAll="0"/>
    <pivotField compact="0" outline="0" showAll="0">
      <items count="4">
        <item x="2"/>
        <item x="1"/>
        <item x="0"/>
        <item t="default"/>
      </items>
    </pivotField>
    <pivotField compact="0" outline="0" showAll="0"/>
    <pivotField compact="0" outline="0" showAll="0"/>
    <pivotField compact="0" outline="0" showAll="0"/>
    <pivotField compact="0" outline="0" showAll="0"/>
    <pivotField axis="axisRow" compact="0" outline="0" showAll="0" sortType="descending">
      <items count="5">
        <item x="0"/>
        <item x="1"/>
        <item x="3"/>
        <item x="2"/>
        <item t="default"/>
      </items>
      <autoSortScope>
        <pivotArea dataOnly="0" outline="0" fieldPosition="0">
          <references count="1">
            <reference field="4294967294" count="1" selected="0">
              <x v="0"/>
            </reference>
          </references>
        </pivotArea>
      </autoSortScope>
    </pivotField>
  </pivotFields>
  <rowFields count="1">
    <field x="19"/>
  </rowFields>
  <rowItems count="4">
    <i>
      <x v="2"/>
    </i>
    <i>
      <x v="1"/>
    </i>
    <i>
      <x/>
    </i>
    <i>
      <x v="3"/>
    </i>
  </rowItems>
  <colItems count="1">
    <i/>
  </colItems>
  <dataFields count="1">
    <dataField name="Sum of Revenue" fld="4" baseField="0" baseItem="0" numFmtId="168"/>
  </dataFields>
  <formats count="1">
    <format dxfId="22">
      <pivotArea outline="0" collapsedLevelsAreSubtotals="1" fieldPosition="0"/>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9E13D548-DCD2-409F-B481-147CA5B41C64}" name="GENDER" cacheId="0" applyNumberFormats="0" applyBorderFormats="0" applyFontFormats="0" applyPatternFormats="0" applyAlignmentFormats="0" applyWidthHeightFormats="1" dataCaption="Values" updatedVersion="8" minRefreshableVersion="3" useAutoFormatting="1" rowGrandTotals="0" colGrandTotals="0" itemPrintTitles="1" createdVersion="8" indent="0" compact="0" compactData="0" multipleFieldFilters="0" chartFormat="4">
  <location ref="AH17:AI19" firstHeaderRow="1" firstDataRow="1" firstDataCol="1"/>
  <pivotFields count="20">
    <pivotField compact="0" outline="0" showAll="0"/>
    <pivotField compact="0" numFmtId="166" outline="0" showAll="0"/>
    <pivotField compact="0" numFmtId="1" outline="0" showAll="0"/>
    <pivotField compact="0" numFmtId="166" outline="0" showAll="0"/>
    <pivotField dataField="1" compact="0" numFmtId="166" outline="0" showAll="0"/>
    <pivotField compact="0" numFmtId="14" outline="0" showAll="0"/>
    <pivotField compact="0" numFmtId="18" outline="0" showAll="0"/>
    <pivotField compact="0" outline="0" showAll="0"/>
    <pivotField compact="0" numFmtId="166" outline="0" showAll="0"/>
    <pivotField compact="0" numFmtId="2" outline="0" showAll="0"/>
    <pivotField compact="0" numFmtId="165" outline="0" showAll="0"/>
    <pivotField compact="0" outline="0" showAll="0"/>
    <pivotField axis="axisRow" compact="0" outline="0" showAll="0">
      <items count="3">
        <item x="0"/>
        <item x="1"/>
        <item t="default"/>
      </items>
    </pivotField>
    <pivotField compact="0" outline="0" showAll="0"/>
    <pivotField compact="0" outline="0" showAll="0">
      <items count="4">
        <item x="2"/>
        <item x="1"/>
        <item x="0"/>
        <item t="default"/>
      </items>
    </pivotField>
    <pivotField compact="0" outline="0" showAll="0"/>
    <pivotField compact="0" outline="0" showAll="0"/>
    <pivotField compact="0" outline="0" showAll="0"/>
    <pivotField compact="0" outline="0" showAll="0"/>
    <pivotField compact="0" outline="0" showAll="0"/>
  </pivotFields>
  <rowFields count="1">
    <field x="12"/>
  </rowFields>
  <rowItems count="2">
    <i>
      <x/>
    </i>
    <i>
      <x v="1"/>
    </i>
  </rowItems>
  <colItems count="1">
    <i/>
  </colItems>
  <dataFields count="1">
    <dataField name="Sum of Revenue" fld="4" baseField="0" baseItem="0" numFmtId="167"/>
  </dataFields>
  <formats count="1">
    <format dxfId="23">
      <pivotArea outline="0" collapsedLevelsAreSubtotals="1" fieldPosition="0"/>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06FF7D8A-5BD5-48D0-9F8C-655670515DFA}" name="WEEK DAY" cacheId="0" applyNumberFormats="0" applyBorderFormats="0" applyFontFormats="0" applyPatternFormats="0" applyAlignmentFormats="0" applyWidthHeightFormats="1" dataCaption="Values" updatedVersion="8" minRefreshableVersion="3" useAutoFormatting="1" rowGrandTotals="0" colGrandTotals="0" itemPrintTitles="1" createdVersion="8" indent="0" compact="0" compactData="0" multipleFieldFilters="0" chartFormat="13">
  <location ref="M22:Q30" firstHeaderRow="1" firstDataRow="2" firstDataCol="1"/>
  <pivotFields count="20">
    <pivotField compact="0" outline="0" showAll="0"/>
    <pivotField compact="0" numFmtId="166" outline="0" showAll="0"/>
    <pivotField dataField="1" compact="0" numFmtId="1" outline="0" showAll="0"/>
    <pivotField compact="0" numFmtId="166" outline="0" showAll="0"/>
    <pivotField compact="0" numFmtId="166" outline="0" showAll="0"/>
    <pivotField compact="0" numFmtId="14" outline="0" showAll="0"/>
    <pivotField compact="0" numFmtId="18" outline="0" showAll="0"/>
    <pivotField compact="0" outline="0" showAll="0"/>
    <pivotField compact="0" numFmtId="166" outline="0" showAll="0"/>
    <pivotField compact="0" numFmtId="2" outline="0" showAll="0"/>
    <pivotField compact="0" numFmtId="165" outline="0" showAll="0"/>
    <pivotField compact="0" outline="0" showAll="0"/>
    <pivotField compact="0" outline="0" showAll="0">
      <items count="3">
        <item x="0"/>
        <item x="1"/>
        <item t="default"/>
      </items>
    </pivotField>
    <pivotField compact="0" outline="0" showAll="0"/>
    <pivotField compact="0" outline="0" showAll="0">
      <items count="4">
        <item x="2"/>
        <item x="1"/>
        <item x="0"/>
        <item t="default"/>
      </items>
    </pivotField>
    <pivotField compact="0" outline="0" showAll="0"/>
    <pivotField compact="0" outline="0" showAll="0"/>
    <pivotField axis="axisRow" compact="0" outline="0" showAll="0">
      <items count="8">
        <item x="2"/>
        <item x="3"/>
        <item x="6"/>
        <item x="5"/>
        <item x="4"/>
        <item x="1"/>
        <item x="0"/>
        <item t="default"/>
      </items>
    </pivotField>
    <pivotField compact="0" outline="0" showAll="0"/>
    <pivotField axis="axisCol" compact="0" outline="0" showAll="0">
      <items count="5">
        <item x="0"/>
        <item x="1"/>
        <item x="3"/>
        <item x="2"/>
        <item t="default"/>
      </items>
    </pivotField>
  </pivotFields>
  <rowFields count="1">
    <field x="17"/>
  </rowFields>
  <rowItems count="7">
    <i>
      <x/>
    </i>
    <i>
      <x v="1"/>
    </i>
    <i>
      <x v="2"/>
    </i>
    <i>
      <x v="3"/>
    </i>
    <i>
      <x v="4"/>
    </i>
    <i>
      <x v="5"/>
    </i>
    <i>
      <x v="6"/>
    </i>
  </rowItems>
  <colFields count="1">
    <field x="19"/>
  </colFields>
  <colItems count="4">
    <i>
      <x/>
    </i>
    <i>
      <x v="1"/>
    </i>
    <i>
      <x v="2"/>
    </i>
    <i>
      <x v="3"/>
    </i>
  </colItems>
  <dataFields count="1">
    <dataField name="Sum of Quantity" fld="2"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08606B4C-D56D-4BC5-B66A-5836B2C897C3}" name="TIME OF DAY vs quantity" cacheId="0" applyNumberFormats="0" applyBorderFormats="0" applyFontFormats="0" applyPatternFormats="0" applyAlignmentFormats="0" applyWidthHeightFormats="1" dataCaption="Values" updatedVersion="8" minRefreshableVersion="3" useAutoFormatting="1" rowGrandTotals="0" colGrandTotals="0" itemPrintTitles="1" createdVersion="8" indent="0" compact="0" compactData="0" multipleFieldFilters="0" chartFormat="13">
  <location ref="M3:N7" firstHeaderRow="1" firstDataRow="1" firstDataCol="1"/>
  <pivotFields count="20">
    <pivotField compact="0" outline="0" showAll="0"/>
    <pivotField compact="0" numFmtId="166" outline="0" showAll="0"/>
    <pivotField dataField="1" compact="0" numFmtId="1" outline="0" showAll="0"/>
    <pivotField compact="0" numFmtId="166" outline="0" showAll="0"/>
    <pivotField compact="0" numFmtId="166" outline="0" showAll="0"/>
    <pivotField compact="0" numFmtId="14" outline="0" showAll="0"/>
    <pivotField compact="0" numFmtId="18" outline="0" showAll="0"/>
    <pivotField compact="0" outline="0" showAll="0"/>
    <pivotField compact="0" numFmtId="166" outline="0" showAll="0"/>
    <pivotField compact="0" numFmtId="2" outline="0" showAll="0"/>
    <pivotField compact="0" numFmtId="165" outline="0" showAll="0"/>
    <pivotField compact="0" outline="0" showAll="0"/>
    <pivotField compact="0" outline="0" showAll="0">
      <items count="3">
        <item x="0"/>
        <item x="1"/>
        <item t="default"/>
      </items>
    </pivotField>
    <pivotField compact="0" outline="0" showAll="0"/>
    <pivotField compact="0" outline="0" showAll="0">
      <items count="4">
        <item x="2"/>
        <item x="1"/>
        <item x="0"/>
        <item t="default"/>
      </items>
    </pivotField>
    <pivotField compact="0" outline="0" showAll="0"/>
    <pivotField compact="0" outline="0" showAll="0"/>
    <pivotField compact="0" outline="0" showAll="0"/>
    <pivotField compact="0" outline="0" showAll="0"/>
    <pivotField axis="axisRow" compact="0" outline="0" showAll="0">
      <items count="5">
        <item x="0"/>
        <item x="1"/>
        <item x="3"/>
        <item x="2"/>
        <item t="default"/>
      </items>
    </pivotField>
  </pivotFields>
  <rowFields count="1">
    <field x="19"/>
  </rowFields>
  <rowItems count="4">
    <i>
      <x/>
    </i>
    <i>
      <x v="1"/>
    </i>
    <i>
      <x v="2"/>
    </i>
    <i>
      <x v="3"/>
    </i>
  </rowItems>
  <colItems count="1">
    <i/>
  </colItems>
  <dataFields count="1">
    <dataField name="Sum of Quantity" fld="2" baseField="0" baseItem="0"/>
  </dataFields>
  <chartFormats count="4">
    <chartFormat chart="1" format="0" series="1">
      <pivotArea type="data" outline="0" fieldPosition="0">
        <references count="1">
          <reference field="4294967294" count="1" selected="0">
            <x v="0"/>
          </reference>
        </references>
      </pivotArea>
    </chartFormat>
    <chartFormat chart="5" format="0" series="1">
      <pivotArea type="data" outline="0" fieldPosition="0">
        <references count="1">
          <reference field="4294967294" count="1" selected="0">
            <x v="0"/>
          </reference>
        </references>
      </pivotArea>
    </chartFormat>
    <chartFormat chart="9" format="0" series="1">
      <pivotArea type="data" outline="0" fieldPosition="0">
        <references count="1">
          <reference field="4294967294" count="1" selected="0">
            <x v="0"/>
          </reference>
        </references>
      </pivotArea>
    </chartFormat>
    <chartFormat chart="12" format="0"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5.xml><?xml version="1.0" encoding="utf-8"?>
<pivotTableDefinition xmlns="http://schemas.openxmlformats.org/spreadsheetml/2006/main" xmlns:mc="http://schemas.openxmlformats.org/markup-compatibility/2006" xmlns:xr="http://schemas.microsoft.com/office/spreadsheetml/2014/revision" mc:Ignorable="xr" xr:uid="{4F1B3946-3110-417E-B972-8A505EA3F6A0}" name="PRODUCT LINE" cacheId="0" applyNumberFormats="0" applyBorderFormats="0" applyFontFormats="0" applyPatternFormats="0" applyAlignmentFormats="0" applyWidthHeightFormats="1" dataCaption="Values" updatedVersion="8" minRefreshableVersion="3" useAutoFormatting="1" rowGrandTotals="0" colGrandTotals="0" itemPrintTitles="1" createdVersion="8" indent="0" compact="0" compactData="0" multipleFieldFilters="0" chartFormat="13">
  <location ref="AM3:AN9" firstHeaderRow="1" firstDataRow="1" firstDataCol="1"/>
  <pivotFields count="20">
    <pivotField compact="0" outline="0" showAll="0"/>
    <pivotField compact="0" numFmtId="166" outline="0" showAll="0"/>
    <pivotField compact="0" numFmtId="1" outline="0" showAll="0"/>
    <pivotField compact="0" numFmtId="166" outline="0" showAll="0"/>
    <pivotField dataField="1" compact="0" numFmtId="166" outline="0" showAll="0"/>
    <pivotField compact="0" numFmtId="14" outline="0" showAll="0"/>
    <pivotField compact="0" numFmtId="18" outline="0" showAll="0"/>
    <pivotField compact="0" outline="0" showAll="0"/>
    <pivotField compact="0" numFmtId="166" outline="0" showAll="0"/>
    <pivotField compact="0" numFmtId="2" outline="0" showAll="0"/>
    <pivotField compact="0" numFmtId="165" outline="0" showAll="0"/>
    <pivotField compact="0" outline="0" showAll="0"/>
    <pivotField compact="0" outline="0" showAll="0">
      <items count="3">
        <item x="0"/>
        <item x="1"/>
        <item t="default"/>
      </items>
    </pivotField>
    <pivotField axis="axisRow" compact="0" outline="0" showAll="0" sortType="descending">
      <items count="7">
        <item x="1"/>
        <item x="5"/>
        <item x="4"/>
        <item x="0"/>
        <item x="2"/>
        <item x="3"/>
        <item t="default"/>
      </items>
      <autoSortScope>
        <pivotArea dataOnly="0" outline="0" fieldPosition="0">
          <references count="1">
            <reference field="4294967294" count="1" selected="0">
              <x v="0"/>
            </reference>
          </references>
        </pivotArea>
      </autoSortScope>
    </pivotField>
    <pivotField compact="0" outline="0" showAll="0">
      <items count="4">
        <item x="2"/>
        <item x="1"/>
        <item x="0"/>
        <item t="default"/>
      </items>
    </pivotField>
    <pivotField compact="0" outline="0" showAll="0"/>
    <pivotField compact="0" outline="0" showAll="0"/>
    <pivotField compact="0" outline="0" showAll="0"/>
    <pivotField compact="0" outline="0" showAll="0"/>
    <pivotField compact="0" outline="0" showAll="0" sortType="descending">
      <autoSortScope>
        <pivotArea dataOnly="0" outline="0" fieldPosition="0">
          <references count="1">
            <reference field="4294967294" count="1" selected="0">
              <x v="0"/>
            </reference>
          </references>
        </pivotArea>
      </autoSortScope>
    </pivotField>
  </pivotFields>
  <rowFields count="1">
    <field x="13"/>
  </rowFields>
  <rowItems count="6">
    <i>
      <x v="2"/>
    </i>
    <i>
      <x v="5"/>
    </i>
    <i>
      <x/>
    </i>
    <i>
      <x v="1"/>
    </i>
    <i>
      <x v="4"/>
    </i>
    <i>
      <x v="3"/>
    </i>
  </rowItems>
  <colItems count="1">
    <i/>
  </colItems>
  <dataFields count="1">
    <dataField name="Sum of Revenue" fld="4" baseField="0" baseItem="0" numFmtId="168"/>
  </dataFields>
  <formats count="1">
    <format dxfId="24">
      <pivotArea outline="0" collapsedLevelsAreSubtotals="1" fieldPosition="0"/>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6.xml><?xml version="1.0" encoding="utf-8"?>
<pivotTableDefinition xmlns="http://schemas.openxmlformats.org/spreadsheetml/2006/main" xmlns:mc="http://schemas.openxmlformats.org/markup-compatibility/2006" xmlns:xr="http://schemas.microsoft.com/office/spreadsheetml/2014/revision" mc:Ignorable="xr" xr:uid="{03165D84-00DE-49E0-95DF-43EBA6EAD21A}" name="MONTH" cacheId="0" applyNumberFormats="0" applyBorderFormats="0" applyFontFormats="0" applyPatternFormats="0" applyAlignmentFormats="0" applyWidthHeightFormats="1" dataCaption="Values" updatedVersion="8" minRefreshableVersion="3" useAutoFormatting="1" rowGrandTotals="0" colGrandTotals="0" itemPrintTitles="1" createdVersion="8" indent="0" compact="0" compactData="0" multipleFieldFilters="0" chartFormat="13">
  <location ref="AB3:AC6" firstHeaderRow="1" firstDataRow="1" firstDataCol="1"/>
  <pivotFields count="20">
    <pivotField compact="0" outline="0" showAll="0"/>
    <pivotField compact="0" numFmtId="166" outline="0" showAll="0"/>
    <pivotField compact="0" numFmtId="1" outline="0" showAll="0"/>
    <pivotField compact="0" numFmtId="166" outline="0" showAll="0"/>
    <pivotField dataField="1" compact="0" numFmtId="166" outline="0" showAll="0"/>
    <pivotField compact="0" numFmtId="14" outline="0" showAll="0"/>
    <pivotField compact="0" numFmtId="18" outline="0" showAll="0"/>
    <pivotField compact="0" outline="0" showAll="0"/>
    <pivotField compact="0" numFmtId="166" outline="0" showAll="0"/>
    <pivotField compact="0" numFmtId="2" outline="0" showAll="0"/>
    <pivotField compact="0" numFmtId="165" outline="0" showAll="0"/>
    <pivotField compact="0" outline="0" showAll="0"/>
    <pivotField compact="0" outline="0" showAll="0">
      <items count="3">
        <item x="0"/>
        <item x="1"/>
        <item t="default"/>
      </items>
    </pivotField>
    <pivotField compact="0" outline="0" showAll="0"/>
    <pivotField compact="0" outline="0" showAll="0">
      <items count="4">
        <item x="2"/>
        <item x="1"/>
        <item x="0"/>
        <item t="default"/>
      </items>
    </pivotField>
    <pivotField compact="0" outline="0" showAll="0"/>
    <pivotField axis="axisRow" compact="0" outline="0" showAll="0">
      <items count="4">
        <item x="0"/>
        <item x="2"/>
        <item x="1"/>
        <item t="default"/>
      </items>
    </pivotField>
    <pivotField compact="0" outline="0" showAll="0"/>
    <pivotField compact="0" outline="0" showAll="0"/>
    <pivotField compact="0" outline="0" showAll="0" sortType="descending">
      <autoSortScope>
        <pivotArea dataOnly="0" outline="0" fieldPosition="0">
          <references count="1">
            <reference field="4294967294" count="1" selected="0">
              <x v="0"/>
            </reference>
          </references>
        </pivotArea>
      </autoSortScope>
    </pivotField>
  </pivotFields>
  <rowFields count="1">
    <field x="16"/>
  </rowFields>
  <rowItems count="3">
    <i>
      <x/>
    </i>
    <i>
      <x v="1"/>
    </i>
    <i>
      <x v="2"/>
    </i>
  </rowItems>
  <colItems count="1">
    <i/>
  </colItems>
  <dataFields count="1">
    <dataField name="Sum of Revenue" fld="4" baseField="0" baseItem="0" numFmtId="167"/>
  </dataFields>
  <formats count="1">
    <format dxfId="25">
      <pivotArea outline="0" collapsedLevelsAreSubtotals="1" fieldPosition="0"/>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7.xml><?xml version="1.0" encoding="utf-8"?>
<pivotTableDefinition xmlns="http://schemas.openxmlformats.org/spreadsheetml/2006/main" xmlns:mc="http://schemas.openxmlformats.org/markup-compatibility/2006" xmlns:xr="http://schemas.microsoft.com/office/spreadsheetml/2014/revision" mc:Ignorable="xr" xr:uid="{ED6314A2-987B-4C35-ABDC-6D16D67FEB6D}" name="Day vs quantity" cacheId="0" applyNumberFormats="0" applyBorderFormats="0" applyFontFormats="0" applyPatternFormats="0" applyAlignmentFormats="0" applyWidthHeightFormats="1" dataCaption="Values" updatedVersion="8" minRefreshableVersion="3" useAutoFormatting="1" rowGrandTotals="0" colGrandTotals="0" itemPrintTitles="1" createdVersion="8" indent="0" compact="0" compactData="0" multipleFieldFilters="0" chartFormat="13">
  <location ref="H3:I10" firstHeaderRow="1" firstDataRow="1" firstDataCol="1"/>
  <pivotFields count="20">
    <pivotField compact="0" outline="0" showAll="0"/>
    <pivotField compact="0" numFmtId="166" outline="0" showAll="0"/>
    <pivotField dataField="1" compact="0" numFmtId="1" outline="0" showAll="0"/>
    <pivotField compact="0" numFmtId="166" outline="0" showAll="0"/>
    <pivotField compact="0" numFmtId="166" outline="0" showAll="0"/>
    <pivotField compact="0" numFmtId="14" outline="0" showAll="0"/>
    <pivotField compact="0" numFmtId="18" outline="0" showAll="0"/>
    <pivotField compact="0" outline="0" showAll="0"/>
    <pivotField compact="0" numFmtId="166" outline="0" showAll="0"/>
    <pivotField compact="0" numFmtId="2" outline="0" showAll="0"/>
    <pivotField compact="0" numFmtId="165" outline="0" showAll="0"/>
    <pivotField compact="0" outline="0" showAll="0"/>
    <pivotField compact="0" outline="0" showAll="0">
      <items count="3">
        <item x="0"/>
        <item x="1"/>
        <item t="default"/>
      </items>
    </pivotField>
    <pivotField compact="0" outline="0" showAll="0"/>
    <pivotField compact="0" outline="0" showAll="0">
      <items count="4">
        <item x="2"/>
        <item x="1"/>
        <item x="0"/>
        <item t="default"/>
      </items>
    </pivotField>
    <pivotField compact="0" outline="0" showAll="0"/>
    <pivotField compact="0" outline="0" showAll="0"/>
    <pivotField axis="axisRow" compact="0" outline="0" showAll="0">
      <items count="8">
        <item x="2"/>
        <item x="3"/>
        <item x="6"/>
        <item x="5"/>
        <item x="4"/>
        <item x="1"/>
        <item x="0"/>
        <item t="default"/>
      </items>
    </pivotField>
    <pivotField compact="0" outline="0" showAll="0"/>
    <pivotField compact="0" outline="0" showAll="0"/>
  </pivotFields>
  <rowFields count="1">
    <field x="17"/>
  </rowFields>
  <rowItems count="7">
    <i>
      <x/>
    </i>
    <i>
      <x v="1"/>
    </i>
    <i>
      <x v="2"/>
    </i>
    <i>
      <x v="3"/>
    </i>
    <i>
      <x v="4"/>
    </i>
    <i>
      <x v="5"/>
    </i>
    <i>
      <x v="6"/>
    </i>
  </rowItems>
  <colItems count="1">
    <i/>
  </colItems>
  <dataFields count="1">
    <dataField name="Sum of Quantity" fld="2"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8.xml><?xml version="1.0" encoding="utf-8"?>
<pivotTableDefinition xmlns="http://schemas.openxmlformats.org/spreadsheetml/2006/main" xmlns:mc="http://schemas.openxmlformats.org/markup-compatibility/2006" xmlns:xr="http://schemas.microsoft.com/office/spreadsheetml/2014/revision" mc:Ignorable="xr" xr:uid="{D0BFEBA5-65CD-4AE1-97D7-3D663E42983B}" name="KPI" cacheId="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location ref="A2:E3" firstHeaderRow="0" firstDataRow="1" firstDataCol="0"/>
  <pivotFields count="20">
    <pivotField showAll="0"/>
    <pivotField numFmtId="166" showAll="0"/>
    <pivotField dataField="1" numFmtId="1" showAll="0"/>
    <pivotField dataField="1" numFmtId="166" showAll="0"/>
    <pivotField dataField="1" numFmtId="166" showAll="0"/>
    <pivotField numFmtId="14" showAll="0"/>
    <pivotField numFmtId="18" showAll="0"/>
    <pivotField showAll="0"/>
    <pivotField dataField="1" numFmtId="166" showAll="0"/>
    <pivotField numFmtId="2" showAll="0"/>
    <pivotField dataField="1" numFmtId="165" showAll="0"/>
    <pivotField showAll="0"/>
    <pivotField showAll="0">
      <items count="3">
        <item x="0"/>
        <item x="1"/>
        <item t="default"/>
      </items>
    </pivotField>
    <pivotField showAll="0"/>
    <pivotField showAll="0">
      <items count="4">
        <item x="2"/>
        <item x="1"/>
        <item x="0"/>
        <item t="default"/>
      </items>
    </pivotField>
    <pivotField showAll="0">
      <items count="4">
        <item x="0"/>
        <item x="2"/>
        <item x="1"/>
        <item t="default"/>
      </items>
    </pivotField>
    <pivotField showAll="0"/>
    <pivotField showAll="0"/>
    <pivotField showAll="0"/>
    <pivotField showAll="0"/>
  </pivotFields>
  <rowItems count="1">
    <i/>
  </rowItems>
  <colFields count="1">
    <field x="-2"/>
  </colFields>
  <colItems count="5">
    <i>
      <x/>
    </i>
    <i i="1">
      <x v="1"/>
    </i>
    <i i="2">
      <x v="2"/>
    </i>
    <i i="3">
      <x v="3"/>
    </i>
    <i i="4">
      <x v="4"/>
    </i>
  </colItems>
  <dataFields count="5">
    <dataField name="Sum of Revenue" fld="4" baseField="0" baseItem="0" numFmtId="167"/>
    <dataField name="Sum of Quantity" fld="2" baseField="0" baseItem="0" numFmtId="169"/>
    <dataField name="Average of Rating" fld="10" subtotal="average" baseField="0" baseItem="0" numFmtId="1"/>
    <dataField name="Sum of cogs" fld="8" baseField="0" baseItem="0" numFmtId="167"/>
    <dataField name="Gross profit" fld="3" baseField="0" baseItem="0" numFmtId="167"/>
  </dataFields>
  <formats count="5">
    <format dxfId="30">
      <pivotArea outline="0" collapsedLevelsAreSubtotals="1" fieldPosition="0">
        <references count="1">
          <reference field="4294967294" count="1" selected="0">
            <x v="2"/>
          </reference>
        </references>
      </pivotArea>
    </format>
    <format dxfId="29">
      <pivotArea outline="0" collapsedLevelsAreSubtotals="1" fieldPosition="0">
        <references count="1">
          <reference field="4294967294" count="2" selected="0">
            <x v="0"/>
            <x v="1"/>
          </reference>
        </references>
      </pivotArea>
    </format>
    <format dxfId="28">
      <pivotArea outline="0" collapsedLevelsAreSubtotals="1" fieldPosition="0">
        <references count="1">
          <reference field="4294967294" count="1" selected="0">
            <x v="1"/>
          </reference>
        </references>
      </pivotArea>
    </format>
    <format dxfId="27">
      <pivotArea outline="0" collapsedLevelsAreSubtotals="1" fieldPosition="0">
        <references count="1">
          <reference field="4294967294" count="1" selected="0">
            <x v="3"/>
          </reference>
        </references>
      </pivotArea>
    </format>
    <format dxfId="26">
      <pivotArea outline="0" collapsedLevelsAreSubtotals="1" fieldPosition="0">
        <references count="1">
          <reference field="4294967294" count="1" selected="0">
            <x v="4"/>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9.xml><?xml version="1.0" encoding="utf-8"?>
<pivotTableDefinition xmlns="http://schemas.openxmlformats.org/spreadsheetml/2006/main" xmlns:mc="http://schemas.openxmlformats.org/markup-compatibility/2006" xmlns:xr="http://schemas.microsoft.com/office/spreadsheetml/2014/revision" mc:Ignorable="xr" xr:uid="{CFC459A0-A247-4787-AC00-E4D26CEAFF54}" name="CUSTOMER TYPE" cacheId="0" applyNumberFormats="0" applyBorderFormats="0" applyFontFormats="0" applyPatternFormats="0" applyAlignmentFormats="0" applyWidthHeightFormats="1" dataCaption="Values" updatedVersion="8" minRefreshableVersion="3" useAutoFormatting="1" rowGrandTotals="0" colGrandTotals="0" itemPrintTitles="1" createdVersion="8" indent="0" compact="0" compactData="0" multipleFieldFilters="0" chartFormat="13">
  <location ref="AH3:AI5" firstHeaderRow="1" firstDataRow="1" firstDataCol="1"/>
  <pivotFields count="20">
    <pivotField compact="0" outline="0" showAll="0"/>
    <pivotField compact="0" numFmtId="166" outline="0" showAll="0"/>
    <pivotField compact="0" numFmtId="1" outline="0" showAll="0"/>
    <pivotField compact="0" numFmtId="166" outline="0" showAll="0"/>
    <pivotField dataField="1" compact="0" numFmtId="166" outline="0" showAll="0"/>
    <pivotField compact="0" numFmtId="14" outline="0" showAll="0"/>
    <pivotField compact="0" numFmtId="18" outline="0" showAll="0"/>
    <pivotField compact="0" outline="0" showAll="0"/>
    <pivotField compact="0" numFmtId="166" outline="0" showAll="0"/>
    <pivotField compact="0" numFmtId="2" outline="0" showAll="0"/>
    <pivotField compact="0" numFmtId="165" outline="0" showAll="0"/>
    <pivotField axis="axisRow" compact="0" outline="0" showAll="0">
      <items count="3">
        <item x="0"/>
        <item x="1"/>
        <item t="default"/>
      </items>
    </pivotField>
    <pivotField compact="0" outline="0" showAll="0">
      <items count="3">
        <item x="0"/>
        <item x="1"/>
        <item t="default"/>
      </items>
    </pivotField>
    <pivotField compact="0" outline="0" showAll="0"/>
    <pivotField compact="0" outline="0" showAll="0">
      <items count="4">
        <item x="2"/>
        <item x="1"/>
        <item x="0"/>
        <item t="default"/>
      </items>
    </pivotField>
    <pivotField compact="0" outline="0" showAll="0"/>
    <pivotField compact="0" outline="0" showAll="0"/>
    <pivotField compact="0" outline="0" showAll="0"/>
    <pivotField compact="0" outline="0" showAll="0"/>
    <pivotField compact="0" outline="0" showAll="0" sortType="descending">
      <autoSortScope>
        <pivotArea dataOnly="0" outline="0" fieldPosition="0">
          <references count="1">
            <reference field="4294967294" count="1" selected="0">
              <x v="0"/>
            </reference>
          </references>
        </pivotArea>
      </autoSortScope>
    </pivotField>
  </pivotFields>
  <rowFields count="1">
    <field x="11"/>
  </rowFields>
  <rowItems count="2">
    <i>
      <x/>
    </i>
    <i>
      <x v="1"/>
    </i>
  </rowItems>
  <colItems count="1">
    <i/>
  </colItems>
  <dataFields count="1">
    <dataField name="Sum of Revenue" fld="4" baseField="0" baseItem="0" numFmtId="168"/>
  </dataFields>
  <formats count="1">
    <format dxfId="31">
      <pivotArea outline="0" collapsedLevelsAreSubtotals="1" fieldPosition="0"/>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City" xr10:uid="{521C2245-A7E2-46FA-BCF3-B89B16ABA458}" sourceName="City">
  <pivotTables>
    <pivotTable tabId="6" name="PRODUCT LINE"/>
    <pivotTable tabId="6" name="MONTH"/>
    <pivotTable tabId="6" name="CUSTOMER TYPE"/>
    <pivotTable tabId="6" name="Day vs quantity"/>
    <pivotTable tabId="6" name="TIME OF DAY vs quantity"/>
    <pivotTable tabId="6" name="WEEK DAY"/>
    <pivotTable tabId="6" name="TIME OF DAY"/>
    <pivotTable tabId="6" name="KPI"/>
    <pivotTable tabId="6" name="GENDER"/>
  </pivotTables>
  <data>
    <tabular pivotCacheId="263030383">
      <items count="3">
        <i x="2" s="1"/>
        <i x="1" s="1"/>
        <i x="0" s="1"/>
      </items>
    </tabular>
  </data>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Gender" xr10:uid="{08F9768B-0551-4AA0-A14F-D7EAD633A9B9}" sourceName="Gender">
  <pivotTables>
    <pivotTable tabId="6" name="PRODUCT LINE"/>
    <pivotTable tabId="6" name="CUSTOMER TYPE"/>
    <pivotTable tabId="6" name="Day vs quantity"/>
    <pivotTable tabId="6" name="KPI"/>
    <pivotTable tabId="6" name="MONTH"/>
    <pivotTable tabId="6" name="TIME OF DAY"/>
    <pivotTable tabId="6" name="TIME OF DAY vs quantity"/>
    <pivotTable tabId="6" name="WEEK DAY"/>
  </pivotTables>
  <data>
    <tabular pivotCacheId="263030383">
      <items count="2">
        <i x="0" s="1"/>
        <i x="1" s="1"/>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City" xr10:uid="{865963D4-7A6B-4941-980D-7056B44A2AF2}" cache="Slicer_City" caption="City" columnCount="2" showCaption="0" style="SlicerStyleLight1 2" rowHeight="182880"/>
  <slicer name="Gender" xr10:uid="{176C021F-8B92-43BC-A762-4DF612006015}" cache="Slicer_Gender" caption="Gender" columnCount="2" showCaption="0" style="SlicerStyleLight1 2" rowHeight="182880"/>
</slicer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CA0EBC53-A17C-4B9A-9C35-9CD42A5958CC}" name="Table2" displayName="Table2" ref="A1:T1001" totalsRowShown="0" headerRowDxfId="19" tableBorderDxfId="18">
  <autoFilter ref="A1:T1001" xr:uid="{CA0EBC53-A17C-4B9A-9C35-9CD42A5958CC}"/>
  <tableColumns count="20">
    <tableColumn id="1" xr3:uid="{246FD619-ED6C-436D-854D-E43EBEEF4FF1}" name="Invoice ID" dataDxfId="17"/>
    <tableColumn id="2" xr3:uid="{87606594-2DE4-4E58-9062-64E323A6CB00}" name="Unit price" dataDxfId="16"/>
    <tableColumn id="3" xr3:uid="{17883DE8-59DF-4495-8A06-B573C1B947FD}" name="Quantity" dataDxfId="15"/>
    <tableColumn id="4" xr3:uid="{B350F6C1-A576-4492-BD0A-49F68E9716A5}" name="Tax 5%" dataDxfId="14"/>
    <tableColumn id="5" xr3:uid="{99184179-072D-41E8-948E-C37EF1FE6896}" name="Revenue" dataDxfId="13"/>
    <tableColumn id="6" xr3:uid="{1CD712BA-14A4-4922-A4AB-DCA72C5CE4AB}" name="Date" dataDxfId="12"/>
    <tableColumn id="7" xr3:uid="{3691172D-B0AC-4877-8CDD-64EEAF60CD71}" name="Time" dataDxfId="11"/>
    <tableColumn id="8" xr3:uid="{3847A5A1-DAF9-4668-9CCA-E263DF767F7B}" name="Payment" dataDxfId="10"/>
    <tableColumn id="9" xr3:uid="{F082737B-AB50-4C62-A723-BCBF7052406C}" name="cogs" dataDxfId="9"/>
    <tableColumn id="10" xr3:uid="{CEA65487-CAF2-4ABF-9F5D-83E699A2D719}" name="gross margin percentage" dataDxfId="8"/>
    <tableColumn id="11" xr3:uid="{25B3FC8C-6FE3-4368-BBF5-C5185E48A2F3}" name="Rating" dataDxfId="7"/>
    <tableColumn id="12" xr3:uid="{F0536032-93A3-4DBC-BDA5-87B2693E0E5D}" name="CustomerType" dataDxfId="6">
      <calculatedColumnFormula>VLOOKUP(A2,'Customer-details'!$A$1:$C$1001,2,FALSE)</calculatedColumnFormula>
    </tableColumn>
    <tableColumn id="13" xr3:uid="{E6897548-4126-46EC-B7CD-E5F571878FB6}" name="Gender" dataDxfId="5">
      <calculatedColumnFormula>VLOOKUP(A2,'Customer-details'!$A$1:$C$1001,3,FALSE)</calculatedColumnFormula>
    </tableColumn>
    <tableColumn id="14" xr3:uid="{EEE5C914-F932-47BB-BA2D-9D0E77B095FD}" name="Product Line" dataDxfId="4">
      <calculatedColumnFormula>VLOOKUP(A2,'Product-details'!$A$1:$B$1001,2,FALSE)</calculatedColumnFormula>
    </tableColumn>
    <tableColumn id="15" xr3:uid="{DFC0229E-4F32-4B0E-BB85-36ABC0511931}" name="City" dataDxfId="3">
      <calculatedColumnFormula>VLOOKUP(A2,'City-details'!$A$1:$C$1001,3,FALSE)</calculatedColumnFormula>
    </tableColumn>
    <tableColumn id="16" xr3:uid="{343A6E6F-ADB7-4933-A9BA-D93DEF0EE332}" name="Branch" dataDxfId="2">
      <calculatedColumnFormula>VLOOKUP(A2,'City-details'!$A$1:$C$1001,2,FALSE)</calculatedColumnFormula>
    </tableColumn>
    <tableColumn id="17" xr3:uid="{E377393B-3A80-4D72-A164-C5C5B2BF49FF}" name="Month" dataDxfId="1">
      <calculatedColumnFormula>TEXT(F2,"mmm")</calculatedColumnFormula>
    </tableColumn>
    <tableColumn id="18" xr3:uid="{426BD1A2-63F2-46B7-BF61-3301DDDFF20B}" name="Day" dataDxfId="0">
      <calculatedColumnFormula>TEXT(F2,"ddd")</calculatedColumnFormula>
    </tableColumn>
    <tableColumn id="19" xr3:uid="{5AB3B900-ABBD-4CE3-9581-7BABB97B38E5}" name="Hour">
      <calculatedColumnFormula>HOUR(G2)</calculatedColumnFormula>
    </tableColumn>
    <tableColumn id="20" xr3:uid="{AF8BE33E-66D6-436E-8B4E-ED8B0E53078F}" name="Time of Day">
      <calculatedColumnFormula array="1">_xlfn.IFS(S2&lt;=12,"Morning",S2&lt;=16,"Afternoon",S2&lt;=21,"Evening",S2&lt;=24,"Night")</calculatedColumnFormula>
    </tableColumn>
  </tableColumns>
  <tableStyleInfo name="TableStyleMedium2" showFirstColumn="0" showLastColumn="0" showRowStripes="1" showColumnStripes="0"/>
</table>
</file>

<file path=xl/theme/theme1.xml><?xml version="1.0" encoding="utf-8"?>
<a:theme xmlns:a="http://schemas.openxmlformats.org/drawingml/2006/main" name="Office 2013 - 2022 Theme">
  <a:themeElements>
    <a:clrScheme name="Office 2013 - 2022">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2013 - 2022">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2013 - 2022">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2013 - 2022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5.xml.rels><?xml version="1.0" encoding="UTF-8" standalone="yes"?>
<Relationships xmlns="http://schemas.openxmlformats.org/package/2006/relationships"><Relationship Id="rId8" Type="http://schemas.openxmlformats.org/officeDocument/2006/relationships/pivotTable" Target="../pivotTables/pivotTable8.xml"/><Relationship Id="rId3" Type="http://schemas.openxmlformats.org/officeDocument/2006/relationships/pivotTable" Target="../pivotTables/pivotTable3.xml"/><Relationship Id="rId7" Type="http://schemas.openxmlformats.org/officeDocument/2006/relationships/pivotTable" Target="../pivotTables/pivotTable7.xml"/><Relationship Id="rId2" Type="http://schemas.openxmlformats.org/officeDocument/2006/relationships/pivotTable" Target="../pivotTables/pivotTable2.xml"/><Relationship Id="rId1" Type="http://schemas.openxmlformats.org/officeDocument/2006/relationships/pivotTable" Target="../pivotTables/pivotTable1.xml"/><Relationship Id="rId6" Type="http://schemas.openxmlformats.org/officeDocument/2006/relationships/pivotTable" Target="../pivotTables/pivotTable6.xml"/><Relationship Id="rId5" Type="http://schemas.openxmlformats.org/officeDocument/2006/relationships/pivotTable" Target="../pivotTables/pivotTable5.xml"/><Relationship Id="rId10" Type="http://schemas.openxmlformats.org/officeDocument/2006/relationships/printerSettings" Target="../printerSettings/printerSettings3.bin"/><Relationship Id="rId4" Type="http://schemas.openxmlformats.org/officeDocument/2006/relationships/pivotTable" Target="../pivotTables/pivotTable4.xml"/><Relationship Id="rId9" Type="http://schemas.openxmlformats.org/officeDocument/2006/relationships/pivotTable" Target="../pivotTables/pivotTable9.xml"/></Relationships>
</file>

<file path=xl/worksheets/_rels/sheet7.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printerSettings" Target="../printerSettings/printerSettings4.bin"/></Relationships>
</file>

<file path=xl/worksheets/_rels/sheet8.xml.rels><?xml version="1.0" encoding="UTF-8" standalone="yes"?>
<Relationships xmlns="http://schemas.openxmlformats.org/package/2006/relationships"><Relationship Id="rId3" Type="http://schemas.microsoft.com/office/2007/relationships/slicer" Target="../slicers/slicer1.xml"/><Relationship Id="rId2" Type="http://schemas.openxmlformats.org/officeDocument/2006/relationships/vmlDrawing" Target="../drawings/vmlDrawing1.vml"/><Relationship Id="rId1" Type="http://schemas.openxmlformats.org/officeDocument/2006/relationships/drawing" Target="../drawings/drawing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L1001"/>
  <sheetViews>
    <sheetView workbookViewId="0">
      <selection activeCell="M973" sqref="M973"/>
    </sheetView>
  </sheetViews>
  <sheetFormatPr defaultRowHeight="15" x14ac:dyDescent="0.25"/>
  <cols>
    <col min="1" max="1" width="11.28515625" customWidth="1"/>
    <col min="2" max="2" width="9.28515625" bestFit="1" customWidth="1"/>
    <col min="3" max="3" width="8.42578125" bestFit="1" customWidth="1"/>
    <col min="4" max="4" width="8" bestFit="1" customWidth="1"/>
    <col min="5" max="5" width="9" bestFit="1" customWidth="1"/>
    <col min="6" max="6" width="9.5703125" bestFit="1" customWidth="1"/>
    <col min="7" max="7" width="5.5703125" bestFit="1" customWidth="1"/>
    <col min="8" max="8" width="10.28515625" bestFit="1" customWidth="1"/>
    <col min="9" max="9" width="7" bestFit="1" customWidth="1"/>
    <col min="10" max="10" width="22.28515625" bestFit="1" customWidth="1"/>
    <col min="11" max="11" width="12.28515625" bestFit="1" customWidth="1"/>
    <col min="12" max="12" width="8.5703125" bestFit="1" customWidth="1"/>
  </cols>
  <sheetData>
    <row r="1" spans="1:12" x14ac:dyDescent="0.25">
      <c r="A1" s="3" t="s">
        <v>0</v>
      </c>
      <c r="B1" s="3" t="s">
        <v>6</v>
      </c>
      <c r="C1" s="3" t="s">
        <v>7</v>
      </c>
      <c r="D1" s="3" t="s">
        <v>8</v>
      </c>
      <c r="E1" s="3" t="s">
        <v>9</v>
      </c>
      <c r="F1" s="3" t="s">
        <v>10</v>
      </c>
      <c r="G1" s="3" t="s">
        <v>11</v>
      </c>
      <c r="H1" s="3" t="s">
        <v>12</v>
      </c>
      <c r="I1" s="3" t="s">
        <v>13</v>
      </c>
      <c r="J1" s="3" t="s">
        <v>14</v>
      </c>
      <c r="K1" s="3" t="s">
        <v>15</v>
      </c>
      <c r="L1" s="3" t="s">
        <v>16</v>
      </c>
    </row>
    <row r="2" spans="1:12" x14ac:dyDescent="0.25">
      <c r="A2" t="s">
        <v>17</v>
      </c>
      <c r="B2">
        <v>74.69</v>
      </c>
      <c r="C2">
        <v>7</v>
      </c>
      <c r="D2">
        <v>26.141500000000001</v>
      </c>
      <c r="E2">
        <v>548.97149999999999</v>
      </c>
      <c r="F2" s="1">
        <v>43470</v>
      </c>
      <c r="G2" s="2">
        <v>0.54722222222222217</v>
      </c>
      <c r="H2" t="s">
        <v>23</v>
      </c>
      <c r="I2">
        <v>522.83000000000004</v>
      </c>
      <c r="J2">
        <v>4.7619047620000003</v>
      </c>
      <c r="K2">
        <v>26.141500000000001</v>
      </c>
      <c r="L2">
        <v>9.1</v>
      </c>
    </row>
    <row r="3" spans="1:12" x14ac:dyDescent="0.25">
      <c r="A3" t="s">
        <v>24</v>
      </c>
      <c r="B3">
        <v>15.28</v>
      </c>
      <c r="C3">
        <v>5</v>
      </c>
      <c r="D3">
        <v>3.82</v>
      </c>
      <c r="E3">
        <v>80.22</v>
      </c>
      <c r="F3" s="1">
        <v>43532</v>
      </c>
      <c r="G3" s="2">
        <v>0.4368055555555555</v>
      </c>
      <c r="H3" t="s">
        <v>29</v>
      </c>
      <c r="I3">
        <v>76.400000000000006</v>
      </c>
      <c r="J3">
        <v>4.7619047620000003</v>
      </c>
      <c r="K3">
        <v>3.82</v>
      </c>
      <c r="L3">
        <v>9.6</v>
      </c>
    </row>
    <row r="4" spans="1:12" x14ac:dyDescent="0.25">
      <c r="A4" t="s">
        <v>30</v>
      </c>
      <c r="B4">
        <v>46.33</v>
      </c>
      <c r="C4">
        <v>7</v>
      </c>
      <c r="D4">
        <v>16.215499999999999</v>
      </c>
      <c r="E4">
        <v>340.52550000000002</v>
      </c>
      <c r="F4" s="1">
        <v>43527</v>
      </c>
      <c r="G4" s="2">
        <v>0.55763888888888891</v>
      </c>
      <c r="H4" t="s">
        <v>33</v>
      </c>
      <c r="I4">
        <v>324.31</v>
      </c>
      <c r="J4">
        <v>4.7619047620000003</v>
      </c>
      <c r="K4">
        <v>16.215499999999999</v>
      </c>
      <c r="L4">
        <v>7.4</v>
      </c>
    </row>
    <row r="5" spans="1:12" x14ac:dyDescent="0.25">
      <c r="A5" t="s">
        <v>34</v>
      </c>
      <c r="B5">
        <v>58.22</v>
      </c>
      <c r="C5">
        <v>8</v>
      </c>
      <c r="D5">
        <v>23.288</v>
      </c>
      <c r="E5">
        <v>489.048</v>
      </c>
      <c r="F5" s="1">
        <v>43492</v>
      </c>
      <c r="G5" s="2">
        <v>0.85625000000000007</v>
      </c>
      <c r="H5" t="s">
        <v>23</v>
      </c>
      <c r="I5">
        <v>465.76</v>
      </c>
      <c r="J5">
        <v>4.7619047620000003</v>
      </c>
      <c r="K5">
        <v>23.288</v>
      </c>
      <c r="L5">
        <v>8.4</v>
      </c>
    </row>
    <row r="6" spans="1:12" x14ac:dyDescent="0.25">
      <c r="A6" t="s">
        <v>35</v>
      </c>
      <c r="B6">
        <v>86.31</v>
      </c>
      <c r="C6">
        <v>7</v>
      </c>
      <c r="D6">
        <v>30.208500000000001</v>
      </c>
      <c r="E6">
        <v>634.37850000000003</v>
      </c>
      <c r="F6" s="1">
        <v>43504</v>
      </c>
      <c r="G6" s="2">
        <v>0.44236111111111115</v>
      </c>
      <c r="H6" t="s">
        <v>23</v>
      </c>
      <c r="I6">
        <v>604.16999999999996</v>
      </c>
      <c r="J6">
        <v>4.7619047620000003</v>
      </c>
      <c r="K6">
        <v>30.208500000000001</v>
      </c>
      <c r="L6">
        <v>5.3</v>
      </c>
    </row>
    <row r="7" spans="1:12" x14ac:dyDescent="0.25">
      <c r="A7" t="s">
        <v>37</v>
      </c>
      <c r="B7">
        <v>85.39</v>
      </c>
      <c r="C7">
        <v>7</v>
      </c>
      <c r="D7">
        <v>29.886500000000002</v>
      </c>
      <c r="E7">
        <v>627.61649999999997</v>
      </c>
      <c r="F7" s="1">
        <v>43549</v>
      </c>
      <c r="G7" s="2">
        <v>0.77083333333333337</v>
      </c>
      <c r="H7" t="s">
        <v>23</v>
      </c>
      <c r="I7">
        <v>597.73</v>
      </c>
      <c r="J7">
        <v>4.7619047620000003</v>
      </c>
      <c r="K7">
        <v>29.886500000000002</v>
      </c>
      <c r="L7">
        <v>4.0999999999999996</v>
      </c>
    </row>
    <row r="8" spans="1:12" x14ac:dyDescent="0.25">
      <c r="A8" t="s">
        <v>38</v>
      </c>
      <c r="B8">
        <v>68.84</v>
      </c>
      <c r="C8">
        <v>6</v>
      </c>
      <c r="D8">
        <v>20.652000000000001</v>
      </c>
      <c r="E8">
        <v>433.69200000000001</v>
      </c>
      <c r="F8" s="1">
        <v>43521</v>
      </c>
      <c r="G8" s="2">
        <v>0.60833333333333328</v>
      </c>
      <c r="H8" t="s">
        <v>23</v>
      </c>
      <c r="I8">
        <v>413.04</v>
      </c>
      <c r="J8">
        <v>4.7619047620000003</v>
      </c>
      <c r="K8">
        <v>20.652000000000001</v>
      </c>
      <c r="L8">
        <v>5.8</v>
      </c>
    </row>
    <row r="9" spans="1:12" x14ac:dyDescent="0.25">
      <c r="A9" t="s">
        <v>39</v>
      </c>
      <c r="B9">
        <v>73.56</v>
      </c>
      <c r="C9">
        <v>10</v>
      </c>
      <c r="D9">
        <v>36.78</v>
      </c>
      <c r="E9">
        <v>772.38</v>
      </c>
      <c r="F9" s="1">
        <v>43520</v>
      </c>
      <c r="G9" s="2">
        <v>0.48472222222222222</v>
      </c>
      <c r="H9" t="s">
        <v>23</v>
      </c>
      <c r="I9">
        <v>735.6</v>
      </c>
      <c r="J9">
        <v>4.7619047620000003</v>
      </c>
      <c r="K9">
        <v>36.78</v>
      </c>
      <c r="L9">
        <v>8</v>
      </c>
    </row>
    <row r="10" spans="1:12" x14ac:dyDescent="0.25">
      <c r="A10" t="s">
        <v>40</v>
      </c>
      <c r="B10">
        <v>36.26</v>
      </c>
      <c r="C10">
        <v>2</v>
      </c>
      <c r="D10">
        <v>3.6259999999999999</v>
      </c>
      <c r="E10">
        <v>76.146000000000001</v>
      </c>
      <c r="F10" s="1">
        <v>43475</v>
      </c>
      <c r="G10" s="2">
        <v>0.71875</v>
      </c>
      <c r="H10" t="s">
        <v>33</v>
      </c>
      <c r="I10">
        <v>72.52</v>
      </c>
      <c r="J10">
        <v>4.7619047620000003</v>
      </c>
      <c r="K10">
        <v>3.6259999999999999</v>
      </c>
      <c r="L10">
        <v>7.2</v>
      </c>
    </row>
    <row r="11" spans="1:12" x14ac:dyDescent="0.25">
      <c r="A11" t="s">
        <v>41</v>
      </c>
      <c r="B11">
        <v>54.84</v>
      </c>
      <c r="C11">
        <v>3</v>
      </c>
      <c r="D11">
        <v>8.2260000000000009</v>
      </c>
      <c r="E11">
        <v>172.74600000000001</v>
      </c>
      <c r="F11" s="1">
        <v>43516</v>
      </c>
      <c r="G11" s="2">
        <v>0.56041666666666667</v>
      </c>
      <c r="H11" t="s">
        <v>33</v>
      </c>
      <c r="I11">
        <v>164.52</v>
      </c>
      <c r="J11">
        <v>4.7619047620000003</v>
      </c>
      <c r="K11">
        <v>8.2260000000000009</v>
      </c>
      <c r="L11">
        <v>5.9</v>
      </c>
    </row>
    <row r="12" spans="1:12" x14ac:dyDescent="0.25">
      <c r="A12" t="s">
        <v>45</v>
      </c>
      <c r="B12">
        <v>14.48</v>
      </c>
      <c r="C12">
        <v>4</v>
      </c>
      <c r="D12">
        <v>2.8959999999999999</v>
      </c>
      <c r="E12">
        <v>60.816000000000003</v>
      </c>
      <c r="F12" s="1">
        <v>43502</v>
      </c>
      <c r="G12" s="2">
        <v>0.75486111111111109</v>
      </c>
      <c r="H12" t="s">
        <v>23</v>
      </c>
      <c r="I12">
        <v>57.92</v>
      </c>
      <c r="J12">
        <v>4.7619047620000003</v>
      </c>
      <c r="K12">
        <v>2.8959999999999999</v>
      </c>
      <c r="L12">
        <v>4.5</v>
      </c>
    </row>
    <row r="13" spans="1:12" x14ac:dyDescent="0.25">
      <c r="A13" t="s">
        <v>47</v>
      </c>
      <c r="B13">
        <v>25.51</v>
      </c>
      <c r="C13">
        <v>4</v>
      </c>
      <c r="D13">
        <v>5.1020000000000003</v>
      </c>
      <c r="E13">
        <v>107.142</v>
      </c>
      <c r="F13" s="1">
        <v>43533</v>
      </c>
      <c r="G13" s="2">
        <v>0.7104166666666667</v>
      </c>
      <c r="H13" t="s">
        <v>29</v>
      </c>
      <c r="I13">
        <v>102.04</v>
      </c>
      <c r="J13">
        <v>4.7619047620000003</v>
      </c>
      <c r="K13">
        <v>5.1020000000000003</v>
      </c>
      <c r="L13">
        <v>6.8</v>
      </c>
    </row>
    <row r="14" spans="1:12" x14ac:dyDescent="0.25">
      <c r="A14" t="s">
        <v>48</v>
      </c>
      <c r="B14">
        <v>46.95</v>
      </c>
      <c r="C14">
        <v>5</v>
      </c>
      <c r="D14">
        <v>11.737500000000001</v>
      </c>
      <c r="E14">
        <v>246.48750000000001</v>
      </c>
      <c r="F14" s="1">
        <v>43508</v>
      </c>
      <c r="G14" s="2">
        <v>0.43402777777777773</v>
      </c>
      <c r="H14" t="s">
        <v>23</v>
      </c>
      <c r="I14">
        <v>234.75</v>
      </c>
      <c r="J14">
        <v>4.7619047620000003</v>
      </c>
      <c r="K14">
        <v>11.737500000000001</v>
      </c>
      <c r="L14">
        <v>7.1</v>
      </c>
    </row>
    <row r="15" spans="1:12" x14ac:dyDescent="0.25">
      <c r="A15" t="s">
        <v>49</v>
      </c>
      <c r="B15">
        <v>43.19</v>
      </c>
      <c r="C15">
        <v>10</v>
      </c>
      <c r="D15">
        <v>21.594999999999999</v>
      </c>
      <c r="E15">
        <v>453.495</v>
      </c>
      <c r="F15" s="1">
        <v>43503</v>
      </c>
      <c r="G15" s="2">
        <v>0.70000000000000007</v>
      </c>
      <c r="H15" t="s">
        <v>23</v>
      </c>
      <c r="I15">
        <v>431.9</v>
      </c>
      <c r="J15">
        <v>4.7619047620000003</v>
      </c>
      <c r="K15">
        <v>21.594999999999999</v>
      </c>
      <c r="L15">
        <v>8.1999999999999993</v>
      </c>
    </row>
    <row r="16" spans="1:12" x14ac:dyDescent="0.25">
      <c r="A16" t="s">
        <v>50</v>
      </c>
      <c r="B16">
        <v>71.38</v>
      </c>
      <c r="C16">
        <v>10</v>
      </c>
      <c r="D16">
        <v>35.69</v>
      </c>
      <c r="E16">
        <v>749.49</v>
      </c>
      <c r="F16" s="1">
        <v>43553</v>
      </c>
      <c r="G16" s="2">
        <v>0.80625000000000002</v>
      </c>
      <c r="H16" t="s">
        <v>29</v>
      </c>
      <c r="I16">
        <v>713.8</v>
      </c>
      <c r="J16">
        <v>4.7619047620000003</v>
      </c>
      <c r="K16">
        <v>35.69</v>
      </c>
      <c r="L16">
        <v>5.7</v>
      </c>
    </row>
    <row r="17" spans="1:12" x14ac:dyDescent="0.25">
      <c r="A17" t="s">
        <v>51</v>
      </c>
      <c r="B17">
        <v>93.72</v>
      </c>
      <c r="C17">
        <v>6</v>
      </c>
      <c r="D17">
        <v>28.116</v>
      </c>
      <c r="E17">
        <v>590.43600000000004</v>
      </c>
      <c r="F17" s="1">
        <v>43480</v>
      </c>
      <c r="G17" s="2">
        <v>0.67986111111111114</v>
      </c>
      <c r="H17" t="s">
        <v>29</v>
      </c>
      <c r="I17">
        <v>562.32000000000005</v>
      </c>
      <c r="J17">
        <v>4.7619047620000003</v>
      </c>
      <c r="K17">
        <v>28.116</v>
      </c>
      <c r="L17">
        <v>4.5</v>
      </c>
    </row>
    <row r="18" spans="1:12" x14ac:dyDescent="0.25">
      <c r="A18" t="s">
        <v>52</v>
      </c>
      <c r="B18">
        <v>68.930000000000007</v>
      </c>
      <c r="C18">
        <v>7</v>
      </c>
      <c r="D18">
        <v>24.125499999999999</v>
      </c>
      <c r="E18">
        <v>506.63549999999998</v>
      </c>
      <c r="F18" s="1">
        <v>43535</v>
      </c>
      <c r="G18" s="2">
        <v>0.4604166666666667</v>
      </c>
      <c r="H18" t="s">
        <v>33</v>
      </c>
      <c r="I18">
        <v>482.51</v>
      </c>
      <c r="J18">
        <v>4.7619047620000003</v>
      </c>
      <c r="K18">
        <v>24.125499999999999</v>
      </c>
      <c r="L18">
        <v>4.5999999999999996</v>
      </c>
    </row>
    <row r="19" spans="1:12" x14ac:dyDescent="0.25">
      <c r="A19" t="s">
        <v>53</v>
      </c>
      <c r="B19">
        <v>72.61</v>
      </c>
      <c r="C19">
        <v>6</v>
      </c>
      <c r="D19">
        <v>21.783000000000001</v>
      </c>
      <c r="E19">
        <v>457.44299999999998</v>
      </c>
      <c r="F19" s="1">
        <v>43466</v>
      </c>
      <c r="G19" s="2">
        <v>0.44375000000000003</v>
      </c>
      <c r="H19" t="s">
        <v>33</v>
      </c>
      <c r="I19">
        <v>435.66</v>
      </c>
      <c r="J19">
        <v>4.7619047620000003</v>
      </c>
      <c r="K19">
        <v>21.783000000000001</v>
      </c>
      <c r="L19">
        <v>6.9</v>
      </c>
    </row>
    <row r="20" spans="1:12" x14ac:dyDescent="0.25">
      <c r="A20" t="s">
        <v>54</v>
      </c>
      <c r="B20">
        <v>54.67</v>
      </c>
      <c r="C20">
        <v>3</v>
      </c>
      <c r="D20">
        <v>8.2004999999999999</v>
      </c>
      <c r="E20">
        <v>172.2105</v>
      </c>
      <c r="F20" s="1">
        <v>43486</v>
      </c>
      <c r="G20" s="2">
        <v>0.75</v>
      </c>
      <c r="H20" t="s">
        <v>33</v>
      </c>
      <c r="I20">
        <v>164.01</v>
      </c>
      <c r="J20">
        <v>4.7619047620000003</v>
      </c>
      <c r="K20">
        <v>8.2004999999999999</v>
      </c>
      <c r="L20">
        <v>8.6</v>
      </c>
    </row>
    <row r="21" spans="1:12" x14ac:dyDescent="0.25">
      <c r="A21" t="s">
        <v>55</v>
      </c>
      <c r="B21">
        <v>40.299999999999997</v>
      </c>
      <c r="C21">
        <v>2</v>
      </c>
      <c r="D21">
        <v>4.03</v>
      </c>
      <c r="E21">
        <v>84.63</v>
      </c>
      <c r="F21" s="1">
        <v>43535</v>
      </c>
      <c r="G21" s="2">
        <v>0.64583333333333337</v>
      </c>
      <c r="H21" t="s">
        <v>23</v>
      </c>
      <c r="I21">
        <v>80.599999999999994</v>
      </c>
      <c r="J21">
        <v>4.7619047620000003</v>
      </c>
      <c r="K21">
        <v>4.03</v>
      </c>
      <c r="L21">
        <v>4.4000000000000004</v>
      </c>
    </row>
    <row r="22" spans="1:12" x14ac:dyDescent="0.25">
      <c r="A22" t="s">
        <v>56</v>
      </c>
      <c r="B22">
        <v>86.04</v>
      </c>
      <c r="C22">
        <v>5</v>
      </c>
      <c r="D22">
        <v>21.51</v>
      </c>
      <c r="E22">
        <v>451.71</v>
      </c>
      <c r="F22" s="1">
        <v>43521</v>
      </c>
      <c r="G22" s="2">
        <v>0.47500000000000003</v>
      </c>
      <c r="H22" t="s">
        <v>23</v>
      </c>
      <c r="I22">
        <v>430.2</v>
      </c>
      <c r="J22">
        <v>4.7619047620000003</v>
      </c>
      <c r="K22">
        <v>21.51</v>
      </c>
      <c r="L22">
        <v>4.8</v>
      </c>
    </row>
    <row r="23" spans="1:12" x14ac:dyDescent="0.25">
      <c r="A23" t="s">
        <v>57</v>
      </c>
      <c r="B23">
        <v>87.98</v>
      </c>
      <c r="C23">
        <v>3</v>
      </c>
      <c r="D23">
        <v>13.196999999999999</v>
      </c>
      <c r="E23">
        <v>277.137</v>
      </c>
      <c r="F23" s="1">
        <v>43529</v>
      </c>
      <c r="G23" s="2">
        <v>0.44444444444444442</v>
      </c>
      <c r="H23" t="s">
        <v>23</v>
      </c>
      <c r="I23">
        <v>263.94</v>
      </c>
      <c r="J23">
        <v>4.7619047620000003</v>
      </c>
      <c r="K23">
        <v>13.196999999999999</v>
      </c>
      <c r="L23">
        <v>5.0999999999999996</v>
      </c>
    </row>
    <row r="24" spans="1:12" x14ac:dyDescent="0.25">
      <c r="A24" t="s">
        <v>58</v>
      </c>
      <c r="B24">
        <v>33.200000000000003</v>
      </c>
      <c r="C24">
        <v>2</v>
      </c>
      <c r="D24">
        <v>3.32</v>
      </c>
      <c r="E24">
        <v>69.72</v>
      </c>
      <c r="F24" s="1">
        <v>43539</v>
      </c>
      <c r="G24" s="2">
        <v>0.51388888888888895</v>
      </c>
      <c r="H24" t="s">
        <v>33</v>
      </c>
      <c r="I24">
        <v>66.400000000000006</v>
      </c>
      <c r="J24">
        <v>4.7619047620000003</v>
      </c>
      <c r="K24">
        <v>3.32</v>
      </c>
      <c r="L24">
        <v>4.4000000000000004</v>
      </c>
    </row>
    <row r="25" spans="1:12" x14ac:dyDescent="0.25">
      <c r="A25" t="s">
        <v>59</v>
      </c>
      <c r="B25">
        <v>34.56</v>
      </c>
      <c r="C25">
        <v>5</v>
      </c>
      <c r="D25">
        <v>8.64</v>
      </c>
      <c r="E25">
        <v>181.44</v>
      </c>
      <c r="F25" s="1">
        <v>43513</v>
      </c>
      <c r="G25" s="2">
        <v>0.46875</v>
      </c>
      <c r="H25" t="s">
        <v>23</v>
      </c>
      <c r="I25">
        <v>172.8</v>
      </c>
      <c r="J25">
        <v>4.7619047620000003</v>
      </c>
      <c r="K25">
        <v>8.64</v>
      </c>
      <c r="L25">
        <v>9.9</v>
      </c>
    </row>
    <row r="26" spans="1:12" x14ac:dyDescent="0.25">
      <c r="A26" t="s">
        <v>60</v>
      </c>
      <c r="B26">
        <v>88.63</v>
      </c>
      <c r="C26">
        <v>3</v>
      </c>
      <c r="D26">
        <v>13.294499999999999</v>
      </c>
      <c r="E26">
        <v>279.18450000000001</v>
      </c>
      <c r="F26" s="1">
        <v>43526</v>
      </c>
      <c r="G26" s="2">
        <v>0.73333333333333339</v>
      </c>
      <c r="H26" t="s">
        <v>23</v>
      </c>
      <c r="I26">
        <v>265.89</v>
      </c>
      <c r="J26">
        <v>4.7619047620000003</v>
      </c>
      <c r="K26">
        <v>13.294499999999999</v>
      </c>
      <c r="L26">
        <v>6</v>
      </c>
    </row>
    <row r="27" spans="1:12" x14ac:dyDescent="0.25">
      <c r="A27" t="s">
        <v>61</v>
      </c>
      <c r="B27">
        <v>52.59</v>
      </c>
      <c r="C27">
        <v>8</v>
      </c>
      <c r="D27">
        <v>21.036000000000001</v>
      </c>
      <c r="E27">
        <v>441.75599999999997</v>
      </c>
      <c r="F27" s="1">
        <v>43546</v>
      </c>
      <c r="G27" s="2">
        <v>0.80555555555555547</v>
      </c>
      <c r="H27" t="s">
        <v>33</v>
      </c>
      <c r="I27">
        <v>420.72</v>
      </c>
      <c r="J27">
        <v>4.7619047620000003</v>
      </c>
      <c r="K27">
        <v>21.036000000000001</v>
      </c>
      <c r="L27">
        <v>8.5</v>
      </c>
    </row>
    <row r="28" spans="1:12" x14ac:dyDescent="0.25">
      <c r="A28" t="s">
        <v>62</v>
      </c>
      <c r="B28">
        <v>33.520000000000003</v>
      </c>
      <c r="C28">
        <v>1</v>
      </c>
      <c r="D28">
        <v>1.6759999999999999</v>
      </c>
      <c r="E28">
        <v>35.195999999999998</v>
      </c>
      <c r="F28" s="1">
        <v>43504</v>
      </c>
      <c r="G28" s="2">
        <v>0.64652777777777781</v>
      </c>
      <c r="H28" t="s">
        <v>29</v>
      </c>
      <c r="I28">
        <v>33.520000000000003</v>
      </c>
      <c r="J28">
        <v>4.7619047620000003</v>
      </c>
      <c r="K28">
        <v>1.6759999999999999</v>
      </c>
      <c r="L28">
        <v>6.7</v>
      </c>
    </row>
    <row r="29" spans="1:12" x14ac:dyDescent="0.25">
      <c r="A29" t="s">
        <v>63</v>
      </c>
      <c r="B29">
        <v>87.67</v>
      </c>
      <c r="C29">
        <v>2</v>
      </c>
      <c r="D29">
        <v>8.7669999999999995</v>
      </c>
      <c r="E29">
        <v>184.107</v>
      </c>
      <c r="F29" s="1">
        <v>43534</v>
      </c>
      <c r="G29" s="2">
        <v>0.51180555555555551</v>
      </c>
      <c r="H29" t="s">
        <v>33</v>
      </c>
      <c r="I29">
        <v>175.34</v>
      </c>
      <c r="J29">
        <v>4.7619047620000003</v>
      </c>
      <c r="K29">
        <v>8.7669999999999995</v>
      </c>
      <c r="L29">
        <v>7.7</v>
      </c>
    </row>
    <row r="30" spans="1:12" x14ac:dyDescent="0.25">
      <c r="A30" t="s">
        <v>64</v>
      </c>
      <c r="B30">
        <v>88.36</v>
      </c>
      <c r="C30">
        <v>5</v>
      </c>
      <c r="D30">
        <v>22.09</v>
      </c>
      <c r="E30">
        <v>463.89</v>
      </c>
      <c r="F30" s="1">
        <v>43490</v>
      </c>
      <c r="G30" s="2">
        <v>0.82500000000000007</v>
      </c>
      <c r="H30" t="s">
        <v>29</v>
      </c>
      <c r="I30">
        <v>441.8</v>
      </c>
      <c r="J30">
        <v>4.7619047620000003</v>
      </c>
      <c r="K30">
        <v>22.09</v>
      </c>
      <c r="L30">
        <v>9.6</v>
      </c>
    </row>
    <row r="31" spans="1:12" x14ac:dyDescent="0.25">
      <c r="A31" t="s">
        <v>65</v>
      </c>
      <c r="B31">
        <v>24.89</v>
      </c>
      <c r="C31">
        <v>9</v>
      </c>
      <c r="D31">
        <v>11.2005</v>
      </c>
      <c r="E31">
        <v>235.2105</v>
      </c>
      <c r="F31" s="1">
        <v>43539</v>
      </c>
      <c r="G31" s="2">
        <v>0.65</v>
      </c>
      <c r="H31" t="s">
        <v>29</v>
      </c>
      <c r="I31">
        <v>224.01</v>
      </c>
      <c r="J31">
        <v>4.7619047620000003</v>
      </c>
      <c r="K31">
        <v>11.2005</v>
      </c>
      <c r="L31">
        <v>7.4</v>
      </c>
    </row>
    <row r="32" spans="1:12" x14ac:dyDescent="0.25">
      <c r="A32" t="s">
        <v>66</v>
      </c>
      <c r="B32">
        <v>94.13</v>
      </c>
      <c r="C32">
        <v>5</v>
      </c>
      <c r="D32">
        <v>23.532499999999999</v>
      </c>
      <c r="E32">
        <v>494.1825</v>
      </c>
      <c r="F32" s="1">
        <v>43521</v>
      </c>
      <c r="G32" s="2">
        <v>0.81874999999999998</v>
      </c>
      <c r="H32" t="s">
        <v>33</v>
      </c>
      <c r="I32">
        <v>470.65</v>
      </c>
      <c r="J32">
        <v>4.7619047620000003</v>
      </c>
      <c r="K32">
        <v>23.532499999999999</v>
      </c>
      <c r="L32">
        <v>4.8</v>
      </c>
    </row>
    <row r="33" spans="1:12" x14ac:dyDescent="0.25">
      <c r="A33" t="s">
        <v>67</v>
      </c>
      <c r="B33">
        <v>78.069999999999993</v>
      </c>
      <c r="C33">
        <v>9</v>
      </c>
      <c r="D33">
        <v>35.131500000000003</v>
      </c>
      <c r="E33">
        <v>737.76149999999996</v>
      </c>
      <c r="F33" s="1">
        <v>43493</v>
      </c>
      <c r="G33" s="2">
        <v>0.52986111111111112</v>
      </c>
      <c r="H33" t="s">
        <v>29</v>
      </c>
      <c r="I33">
        <v>702.63</v>
      </c>
      <c r="J33">
        <v>4.7619047620000003</v>
      </c>
      <c r="K33">
        <v>35.131500000000003</v>
      </c>
      <c r="L33">
        <v>4.5</v>
      </c>
    </row>
    <row r="34" spans="1:12" x14ac:dyDescent="0.25">
      <c r="A34" t="s">
        <v>68</v>
      </c>
      <c r="B34">
        <v>83.78</v>
      </c>
      <c r="C34">
        <v>8</v>
      </c>
      <c r="D34">
        <v>33.512</v>
      </c>
      <c r="E34">
        <v>703.75199999999995</v>
      </c>
      <c r="F34" s="1">
        <v>43475</v>
      </c>
      <c r="G34" s="2">
        <v>0.61736111111111114</v>
      </c>
      <c r="H34" t="s">
        <v>29</v>
      </c>
      <c r="I34">
        <v>670.24</v>
      </c>
      <c r="J34">
        <v>4.7619047620000003</v>
      </c>
      <c r="K34">
        <v>33.512</v>
      </c>
      <c r="L34">
        <v>5.0999999999999996</v>
      </c>
    </row>
    <row r="35" spans="1:12" x14ac:dyDescent="0.25">
      <c r="A35" t="s">
        <v>69</v>
      </c>
      <c r="B35">
        <v>96.58</v>
      </c>
      <c r="C35">
        <v>2</v>
      </c>
      <c r="D35">
        <v>9.6579999999999995</v>
      </c>
      <c r="E35">
        <v>202.81800000000001</v>
      </c>
      <c r="F35" s="1">
        <v>43539</v>
      </c>
      <c r="G35" s="2">
        <v>0.42499999999999999</v>
      </c>
      <c r="H35" t="s">
        <v>33</v>
      </c>
      <c r="I35">
        <v>193.16</v>
      </c>
      <c r="J35">
        <v>4.7619047620000003</v>
      </c>
      <c r="K35">
        <v>9.6579999999999995</v>
      </c>
      <c r="L35">
        <v>5.0999999999999996</v>
      </c>
    </row>
    <row r="36" spans="1:12" x14ac:dyDescent="0.25">
      <c r="A36" t="s">
        <v>70</v>
      </c>
      <c r="B36">
        <v>99.42</v>
      </c>
      <c r="C36">
        <v>4</v>
      </c>
      <c r="D36">
        <v>19.884</v>
      </c>
      <c r="E36">
        <v>417.56400000000002</v>
      </c>
      <c r="F36" s="1">
        <v>43502</v>
      </c>
      <c r="G36" s="2">
        <v>0.4458333333333333</v>
      </c>
      <c r="H36" t="s">
        <v>23</v>
      </c>
      <c r="I36">
        <v>397.68</v>
      </c>
      <c r="J36">
        <v>4.7619047620000003</v>
      </c>
      <c r="K36">
        <v>19.884</v>
      </c>
      <c r="L36">
        <v>7.5</v>
      </c>
    </row>
    <row r="37" spans="1:12" x14ac:dyDescent="0.25">
      <c r="A37" t="s">
        <v>71</v>
      </c>
      <c r="B37">
        <v>68.12</v>
      </c>
      <c r="C37">
        <v>1</v>
      </c>
      <c r="D37">
        <v>3.4060000000000001</v>
      </c>
      <c r="E37">
        <v>71.525999999999996</v>
      </c>
      <c r="F37" s="1">
        <v>43472</v>
      </c>
      <c r="G37" s="2">
        <v>0.51944444444444449</v>
      </c>
      <c r="H37" t="s">
        <v>23</v>
      </c>
      <c r="I37">
        <v>68.12</v>
      </c>
      <c r="J37">
        <v>4.7619047620000003</v>
      </c>
      <c r="K37">
        <v>3.4060000000000001</v>
      </c>
      <c r="L37">
        <v>6.8</v>
      </c>
    </row>
    <row r="38" spans="1:12" x14ac:dyDescent="0.25">
      <c r="A38" t="s">
        <v>72</v>
      </c>
      <c r="B38">
        <v>62.62</v>
      </c>
      <c r="C38">
        <v>5</v>
      </c>
      <c r="D38">
        <v>15.654999999999999</v>
      </c>
      <c r="E38">
        <v>328.755</v>
      </c>
      <c r="F38" s="1">
        <v>43534</v>
      </c>
      <c r="G38" s="2">
        <v>0.80208333333333337</v>
      </c>
      <c r="H38" t="s">
        <v>23</v>
      </c>
      <c r="I38">
        <v>313.10000000000002</v>
      </c>
      <c r="J38">
        <v>4.7619047620000003</v>
      </c>
      <c r="K38">
        <v>15.654999999999999</v>
      </c>
      <c r="L38">
        <v>7</v>
      </c>
    </row>
    <row r="39" spans="1:12" x14ac:dyDescent="0.25">
      <c r="A39" t="s">
        <v>73</v>
      </c>
      <c r="B39">
        <v>60.88</v>
      </c>
      <c r="C39">
        <v>9</v>
      </c>
      <c r="D39">
        <v>27.396000000000001</v>
      </c>
      <c r="E39">
        <v>575.31600000000003</v>
      </c>
      <c r="F39" s="1">
        <v>43480</v>
      </c>
      <c r="G39" s="2">
        <v>0.72013888888888899</v>
      </c>
      <c r="H39" t="s">
        <v>23</v>
      </c>
      <c r="I39">
        <v>547.91999999999996</v>
      </c>
      <c r="J39">
        <v>4.7619047620000003</v>
      </c>
      <c r="K39">
        <v>27.396000000000001</v>
      </c>
      <c r="L39">
        <v>4.7</v>
      </c>
    </row>
    <row r="40" spans="1:12" x14ac:dyDescent="0.25">
      <c r="A40" t="s">
        <v>74</v>
      </c>
      <c r="B40">
        <v>54.92</v>
      </c>
      <c r="C40">
        <v>8</v>
      </c>
      <c r="D40">
        <v>21.968</v>
      </c>
      <c r="E40">
        <v>461.32799999999997</v>
      </c>
      <c r="F40" s="1">
        <v>43547</v>
      </c>
      <c r="G40" s="2">
        <v>0.55833333333333335</v>
      </c>
      <c r="H40" t="s">
        <v>23</v>
      </c>
      <c r="I40">
        <v>439.36</v>
      </c>
      <c r="J40">
        <v>4.7619047620000003</v>
      </c>
      <c r="K40">
        <v>21.968</v>
      </c>
      <c r="L40">
        <v>7.6</v>
      </c>
    </row>
    <row r="41" spans="1:12" x14ac:dyDescent="0.25">
      <c r="A41" t="s">
        <v>75</v>
      </c>
      <c r="B41">
        <v>30.12</v>
      </c>
      <c r="C41">
        <v>8</v>
      </c>
      <c r="D41">
        <v>12.048</v>
      </c>
      <c r="E41">
        <v>253.00800000000001</v>
      </c>
      <c r="F41" s="1">
        <v>43527</v>
      </c>
      <c r="G41" s="2">
        <v>0.54236111111111118</v>
      </c>
      <c r="H41" t="s">
        <v>29</v>
      </c>
      <c r="I41">
        <v>240.96</v>
      </c>
      <c r="J41">
        <v>4.7619047620000003</v>
      </c>
      <c r="K41">
        <v>12.048</v>
      </c>
      <c r="L41">
        <v>7.7</v>
      </c>
    </row>
    <row r="42" spans="1:12" x14ac:dyDescent="0.25">
      <c r="A42" t="s">
        <v>76</v>
      </c>
      <c r="B42">
        <v>86.72</v>
      </c>
      <c r="C42">
        <v>1</v>
      </c>
      <c r="D42">
        <v>4.3360000000000003</v>
      </c>
      <c r="E42">
        <v>91.055999999999997</v>
      </c>
      <c r="F42" s="1">
        <v>43482</v>
      </c>
      <c r="G42" s="2">
        <v>0.78125</v>
      </c>
      <c r="H42" t="s">
        <v>23</v>
      </c>
      <c r="I42">
        <v>86.72</v>
      </c>
      <c r="J42">
        <v>4.7619047620000003</v>
      </c>
      <c r="K42">
        <v>4.3360000000000003</v>
      </c>
      <c r="L42">
        <v>7.9</v>
      </c>
    </row>
    <row r="43" spans="1:12" x14ac:dyDescent="0.25">
      <c r="A43" t="s">
        <v>77</v>
      </c>
      <c r="B43">
        <v>56.11</v>
      </c>
      <c r="C43">
        <v>2</v>
      </c>
      <c r="D43">
        <v>5.6109999999999998</v>
      </c>
      <c r="E43">
        <v>117.831</v>
      </c>
      <c r="F43" s="1">
        <v>43498</v>
      </c>
      <c r="G43" s="2">
        <v>0.42430555555555555</v>
      </c>
      <c r="H43" t="s">
        <v>29</v>
      </c>
      <c r="I43">
        <v>112.22</v>
      </c>
      <c r="J43">
        <v>4.7619047620000003</v>
      </c>
      <c r="K43">
        <v>5.6109999999999998</v>
      </c>
      <c r="L43">
        <v>6.3</v>
      </c>
    </row>
    <row r="44" spans="1:12" x14ac:dyDescent="0.25">
      <c r="A44" t="s">
        <v>78</v>
      </c>
      <c r="B44">
        <v>69.12</v>
      </c>
      <c r="C44">
        <v>6</v>
      </c>
      <c r="D44">
        <v>20.736000000000001</v>
      </c>
      <c r="E44">
        <v>435.45600000000002</v>
      </c>
      <c r="F44" s="1">
        <v>43504</v>
      </c>
      <c r="G44" s="2">
        <v>0.54375000000000007</v>
      </c>
      <c r="H44" t="s">
        <v>29</v>
      </c>
      <c r="I44">
        <v>414.72</v>
      </c>
      <c r="J44">
        <v>4.7619047620000003</v>
      </c>
      <c r="K44">
        <v>20.736000000000001</v>
      </c>
      <c r="L44">
        <v>5.6</v>
      </c>
    </row>
    <row r="45" spans="1:12" x14ac:dyDescent="0.25">
      <c r="A45" t="s">
        <v>79</v>
      </c>
      <c r="B45">
        <v>98.7</v>
      </c>
      <c r="C45">
        <v>8</v>
      </c>
      <c r="D45">
        <v>39.479999999999997</v>
      </c>
      <c r="E45">
        <v>829.08</v>
      </c>
      <c r="F45" s="1">
        <v>43528</v>
      </c>
      <c r="G45" s="2">
        <v>0.86041666666666661</v>
      </c>
      <c r="H45" t="s">
        <v>29</v>
      </c>
      <c r="I45">
        <v>789.6</v>
      </c>
      <c r="J45">
        <v>4.7619047620000003</v>
      </c>
      <c r="K45">
        <v>39.479999999999997</v>
      </c>
      <c r="L45">
        <v>7.6</v>
      </c>
    </row>
    <row r="46" spans="1:12" x14ac:dyDescent="0.25">
      <c r="A46" t="s">
        <v>80</v>
      </c>
      <c r="B46">
        <v>15.37</v>
      </c>
      <c r="C46">
        <v>2</v>
      </c>
      <c r="D46">
        <v>1.5369999999999999</v>
      </c>
      <c r="E46">
        <v>32.277000000000001</v>
      </c>
      <c r="F46" s="1">
        <v>43540</v>
      </c>
      <c r="G46" s="2">
        <v>0.82430555555555562</v>
      </c>
      <c r="H46" t="s">
        <v>29</v>
      </c>
      <c r="I46">
        <v>30.74</v>
      </c>
      <c r="J46">
        <v>4.7619047620000003</v>
      </c>
      <c r="K46">
        <v>1.5369999999999999</v>
      </c>
      <c r="L46">
        <v>7.2</v>
      </c>
    </row>
    <row r="47" spans="1:12" x14ac:dyDescent="0.25">
      <c r="A47" t="s">
        <v>81</v>
      </c>
      <c r="B47">
        <v>93.96</v>
      </c>
      <c r="C47">
        <v>4</v>
      </c>
      <c r="D47">
        <v>18.792000000000002</v>
      </c>
      <c r="E47">
        <v>394.63200000000001</v>
      </c>
      <c r="F47" s="1">
        <v>43533</v>
      </c>
      <c r="G47" s="2">
        <v>0.75</v>
      </c>
      <c r="H47" t="s">
        <v>29</v>
      </c>
      <c r="I47">
        <v>375.84</v>
      </c>
      <c r="J47">
        <v>4.7619047620000003</v>
      </c>
      <c r="K47">
        <v>18.792000000000002</v>
      </c>
      <c r="L47">
        <v>9.5</v>
      </c>
    </row>
    <row r="48" spans="1:12" x14ac:dyDescent="0.25">
      <c r="A48" t="s">
        <v>82</v>
      </c>
      <c r="B48">
        <v>56.69</v>
      </c>
      <c r="C48">
        <v>9</v>
      </c>
      <c r="D48">
        <v>25.5105</v>
      </c>
      <c r="E48">
        <v>535.72050000000002</v>
      </c>
      <c r="F48" s="1">
        <v>43523</v>
      </c>
      <c r="G48" s="2">
        <v>0.72499999999999998</v>
      </c>
      <c r="H48" t="s">
        <v>33</v>
      </c>
      <c r="I48">
        <v>510.21</v>
      </c>
      <c r="J48">
        <v>4.7619047620000003</v>
      </c>
      <c r="K48">
        <v>25.5105</v>
      </c>
      <c r="L48">
        <v>8.4</v>
      </c>
    </row>
    <row r="49" spans="1:12" x14ac:dyDescent="0.25">
      <c r="A49" t="s">
        <v>83</v>
      </c>
      <c r="B49">
        <v>20.010000000000002</v>
      </c>
      <c r="C49">
        <v>9</v>
      </c>
      <c r="D49">
        <v>9.0045000000000002</v>
      </c>
      <c r="E49">
        <v>189.09450000000001</v>
      </c>
      <c r="F49" s="1">
        <v>43502</v>
      </c>
      <c r="G49" s="2">
        <v>0.65763888888888888</v>
      </c>
      <c r="H49" t="s">
        <v>23</v>
      </c>
      <c r="I49">
        <v>180.09</v>
      </c>
      <c r="J49">
        <v>4.7619047620000003</v>
      </c>
      <c r="K49">
        <v>9.0045000000000002</v>
      </c>
      <c r="L49">
        <v>4.0999999999999996</v>
      </c>
    </row>
    <row r="50" spans="1:12" x14ac:dyDescent="0.25">
      <c r="A50" t="s">
        <v>84</v>
      </c>
      <c r="B50">
        <v>18.93</v>
      </c>
      <c r="C50">
        <v>6</v>
      </c>
      <c r="D50">
        <v>5.6790000000000003</v>
      </c>
      <c r="E50">
        <v>119.259</v>
      </c>
      <c r="F50" s="1">
        <v>43506</v>
      </c>
      <c r="G50" s="2">
        <v>0.53125</v>
      </c>
      <c r="H50" t="s">
        <v>33</v>
      </c>
      <c r="I50">
        <v>113.58</v>
      </c>
      <c r="J50">
        <v>4.7619047620000003</v>
      </c>
      <c r="K50">
        <v>5.6790000000000003</v>
      </c>
      <c r="L50">
        <v>8.1</v>
      </c>
    </row>
    <row r="51" spans="1:12" x14ac:dyDescent="0.25">
      <c r="A51" t="s">
        <v>85</v>
      </c>
      <c r="B51">
        <v>82.63</v>
      </c>
      <c r="C51">
        <v>10</v>
      </c>
      <c r="D51">
        <v>41.314999999999998</v>
      </c>
      <c r="E51">
        <v>867.61500000000001</v>
      </c>
      <c r="F51" s="1">
        <v>43543</v>
      </c>
      <c r="G51" s="2">
        <v>0.71388888888888891</v>
      </c>
      <c r="H51" t="s">
        <v>23</v>
      </c>
      <c r="I51">
        <v>826.3</v>
      </c>
      <c r="J51">
        <v>4.7619047620000003</v>
      </c>
      <c r="K51">
        <v>41.314999999999998</v>
      </c>
      <c r="L51">
        <v>7.9</v>
      </c>
    </row>
    <row r="52" spans="1:12" x14ac:dyDescent="0.25">
      <c r="A52" t="s">
        <v>86</v>
      </c>
      <c r="B52">
        <v>91.4</v>
      </c>
      <c r="C52">
        <v>7</v>
      </c>
      <c r="D52">
        <v>31.99</v>
      </c>
      <c r="E52">
        <v>671.79</v>
      </c>
      <c r="F52" s="1">
        <v>43499</v>
      </c>
      <c r="G52" s="2">
        <v>0.42986111111111108</v>
      </c>
      <c r="H52" t="s">
        <v>29</v>
      </c>
      <c r="I52">
        <v>639.79999999999995</v>
      </c>
      <c r="J52">
        <v>4.7619047620000003</v>
      </c>
      <c r="K52">
        <v>31.99</v>
      </c>
      <c r="L52">
        <v>9.5</v>
      </c>
    </row>
    <row r="53" spans="1:12" x14ac:dyDescent="0.25">
      <c r="A53" t="s">
        <v>87</v>
      </c>
      <c r="B53">
        <v>44.59</v>
      </c>
      <c r="C53">
        <v>5</v>
      </c>
      <c r="D53">
        <v>11.147500000000001</v>
      </c>
      <c r="E53">
        <v>234.0975</v>
      </c>
      <c r="F53" s="1">
        <v>43506</v>
      </c>
      <c r="G53" s="2">
        <v>0.63194444444444442</v>
      </c>
      <c r="H53" t="s">
        <v>29</v>
      </c>
      <c r="I53">
        <v>222.95</v>
      </c>
      <c r="J53">
        <v>4.7619047620000003</v>
      </c>
      <c r="K53">
        <v>11.147500000000001</v>
      </c>
      <c r="L53">
        <v>8.5</v>
      </c>
    </row>
    <row r="54" spans="1:12" x14ac:dyDescent="0.25">
      <c r="A54" t="s">
        <v>88</v>
      </c>
      <c r="B54">
        <v>17.87</v>
      </c>
      <c r="C54">
        <v>4</v>
      </c>
      <c r="D54">
        <v>3.5739999999999998</v>
      </c>
      <c r="E54">
        <v>75.054000000000002</v>
      </c>
      <c r="F54" s="1">
        <v>43546</v>
      </c>
      <c r="G54" s="2">
        <v>0.61249999999999993</v>
      </c>
      <c r="H54" t="s">
        <v>23</v>
      </c>
      <c r="I54">
        <v>71.48</v>
      </c>
      <c r="J54">
        <v>4.7619047620000003</v>
      </c>
      <c r="K54">
        <v>3.5739999999999998</v>
      </c>
      <c r="L54">
        <v>6.5</v>
      </c>
    </row>
    <row r="55" spans="1:12" x14ac:dyDescent="0.25">
      <c r="A55" t="s">
        <v>89</v>
      </c>
      <c r="B55">
        <v>15.43</v>
      </c>
      <c r="C55">
        <v>1</v>
      </c>
      <c r="D55">
        <v>0.77149999999999996</v>
      </c>
      <c r="E55">
        <v>16.201499999999999</v>
      </c>
      <c r="F55" s="1">
        <v>43490</v>
      </c>
      <c r="G55" s="2">
        <v>0.65694444444444444</v>
      </c>
      <c r="H55" t="s">
        <v>33</v>
      </c>
      <c r="I55">
        <v>15.43</v>
      </c>
      <c r="J55">
        <v>4.7619047620000003</v>
      </c>
      <c r="K55">
        <v>0.77149999999999996</v>
      </c>
      <c r="L55">
        <v>6.1</v>
      </c>
    </row>
    <row r="56" spans="1:12" x14ac:dyDescent="0.25">
      <c r="A56" t="s">
        <v>90</v>
      </c>
      <c r="B56">
        <v>16.16</v>
      </c>
      <c r="C56">
        <v>2</v>
      </c>
      <c r="D56">
        <v>1.6160000000000001</v>
      </c>
      <c r="E56">
        <v>33.936</v>
      </c>
      <c r="F56" s="1">
        <v>43531</v>
      </c>
      <c r="G56" s="2">
        <v>0.49236111111111108</v>
      </c>
      <c r="H56" t="s">
        <v>23</v>
      </c>
      <c r="I56">
        <v>32.32</v>
      </c>
      <c r="J56">
        <v>4.7619047620000003</v>
      </c>
      <c r="K56">
        <v>1.6160000000000001</v>
      </c>
      <c r="L56">
        <v>6.5</v>
      </c>
    </row>
    <row r="57" spans="1:12" x14ac:dyDescent="0.25">
      <c r="A57" t="s">
        <v>91</v>
      </c>
      <c r="B57">
        <v>85.98</v>
      </c>
      <c r="C57">
        <v>8</v>
      </c>
      <c r="D57">
        <v>34.392000000000003</v>
      </c>
      <c r="E57">
        <v>722.23199999999997</v>
      </c>
      <c r="F57" s="1">
        <v>43524</v>
      </c>
      <c r="G57" s="2">
        <v>0.79236111111111107</v>
      </c>
      <c r="H57" t="s">
        <v>29</v>
      </c>
      <c r="I57">
        <v>687.84</v>
      </c>
      <c r="J57">
        <v>4.7619047620000003</v>
      </c>
      <c r="K57">
        <v>34.392000000000003</v>
      </c>
      <c r="L57">
        <v>8.1999999999999993</v>
      </c>
    </row>
    <row r="58" spans="1:12" x14ac:dyDescent="0.25">
      <c r="A58" t="s">
        <v>92</v>
      </c>
      <c r="B58">
        <v>44.34</v>
      </c>
      <c r="C58">
        <v>2</v>
      </c>
      <c r="D58">
        <v>4.4340000000000002</v>
      </c>
      <c r="E58">
        <v>93.114000000000004</v>
      </c>
      <c r="F58" s="1">
        <v>43551</v>
      </c>
      <c r="G58" s="2">
        <v>0.47638888888888892</v>
      </c>
      <c r="H58" t="s">
        <v>29</v>
      </c>
      <c r="I58">
        <v>88.68</v>
      </c>
      <c r="J58">
        <v>4.7619047620000003</v>
      </c>
      <c r="K58">
        <v>4.4340000000000002</v>
      </c>
      <c r="L58">
        <v>5.8</v>
      </c>
    </row>
    <row r="59" spans="1:12" x14ac:dyDescent="0.25">
      <c r="A59" t="s">
        <v>93</v>
      </c>
      <c r="B59">
        <v>89.6</v>
      </c>
      <c r="C59">
        <v>8</v>
      </c>
      <c r="D59">
        <v>35.840000000000003</v>
      </c>
      <c r="E59">
        <v>752.64</v>
      </c>
      <c r="F59" s="1">
        <v>43503</v>
      </c>
      <c r="G59" s="2">
        <v>0.4777777777777778</v>
      </c>
      <c r="H59" t="s">
        <v>23</v>
      </c>
      <c r="I59">
        <v>716.8</v>
      </c>
      <c r="J59">
        <v>4.7619047620000003</v>
      </c>
      <c r="K59">
        <v>35.840000000000003</v>
      </c>
      <c r="L59">
        <v>6.6</v>
      </c>
    </row>
    <row r="60" spans="1:12" x14ac:dyDescent="0.25">
      <c r="A60" t="s">
        <v>94</v>
      </c>
      <c r="B60">
        <v>72.349999999999994</v>
      </c>
      <c r="C60">
        <v>10</v>
      </c>
      <c r="D60">
        <v>36.174999999999997</v>
      </c>
      <c r="E60">
        <v>759.67499999999995</v>
      </c>
      <c r="F60" s="1">
        <v>43485</v>
      </c>
      <c r="G60" s="2">
        <v>0.66319444444444442</v>
      </c>
      <c r="H60" t="s">
        <v>29</v>
      </c>
      <c r="I60">
        <v>723.5</v>
      </c>
      <c r="J60">
        <v>4.7619047620000003</v>
      </c>
      <c r="K60">
        <v>36.174999999999997</v>
      </c>
      <c r="L60">
        <v>5.4</v>
      </c>
    </row>
    <row r="61" spans="1:12" x14ac:dyDescent="0.25">
      <c r="A61" t="s">
        <v>95</v>
      </c>
      <c r="B61">
        <v>30.61</v>
      </c>
      <c r="C61">
        <v>6</v>
      </c>
      <c r="D61">
        <v>9.1829999999999998</v>
      </c>
      <c r="E61">
        <v>192.84299999999999</v>
      </c>
      <c r="F61" s="1">
        <v>43536</v>
      </c>
      <c r="G61" s="2">
        <v>0.85833333333333339</v>
      </c>
      <c r="H61" t="s">
        <v>29</v>
      </c>
      <c r="I61">
        <v>183.66</v>
      </c>
      <c r="J61">
        <v>4.7619047620000003</v>
      </c>
      <c r="K61">
        <v>9.1829999999999998</v>
      </c>
      <c r="L61">
        <v>9.3000000000000007</v>
      </c>
    </row>
    <row r="62" spans="1:12" x14ac:dyDescent="0.25">
      <c r="A62" t="s">
        <v>96</v>
      </c>
      <c r="B62">
        <v>24.74</v>
      </c>
      <c r="C62">
        <v>3</v>
      </c>
      <c r="D62">
        <v>3.7109999999999999</v>
      </c>
      <c r="E62">
        <v>77.930999999999997</v>
      </c>
      <c r="F62" s="1">
        <v>43511</v>
      </c>
      <c r="G62" s="2">
        <v>0.74097222222222225</v>
      </c>
      <c r="H62" t="s">
        <v>33</v>
      </c>
      <c r="I62">
        <v>74.22</v>
      </c>
      <c r="J62">
        <v>4.7619047620000003</v>
      </c>
      <c r="K62">
        <v>3.7109999999999999</v>
      </c>
      <c r="L62">
        <v>10</v>
      </c>
    </row>
    <row r="63" spans="1:12" x14ac:dyDescent="0.25">
      <c r="A63" t="s">
        <v>97</v>
      </c>
      <c r="B63">
        <v>55.73</v>
      </c>
      <c r="C63">
        <v>6</v>
      </c>
      <c r="D63">
        <v>16.719000000000001</v>
      </c>
      <c r="E63">
        <v>351.09899999999999</v>
      </c>
      <c r="F63" s="1">
        <v>43520</v>
      </c>
      <c r="G63" s="2">
        <v>0.4548611111111111</v>
      </c>
      <c r="H63" t="s">
        <v>23</v>
      </c>
      <c r="I63">
        <v>334.38</v>
      </c>
      <c r="J63">
        <v>4.7619047620000003</v>
      </c>
      <c r="K63">
        <v>16.719000000000001</v>
      </c>
      <c r="L63">
        <v>7</v>
      </c>
    </row>
    <row r="64" spans="1:12" x14ac:dyDescent="0.25">
      <c r="A64" t="s">
        <v>98</v>
      </c>
      <c r="B64">
        <v>55.07</v>
      </c>
      <c r="C64">
        <v>9</v>
      </c>
      <c r="D64">
        <v>24.781500000000001</v>
      </c>
      <c r="E64">
        <v>520.41150000000005</v>
      </c>
      <c r="F64" s="1">
        <v>43499</v>
      </c>
      <c r="G64" s="2">
        <v>0.56944444444444442</v>
      </c>
      <c r="H64" t="s">
        <v>23</v>
      </c>
      <c r="I64">
        <v>495.63</v>
      </c>
      <c r="J64">
        <v>4.7619047620000003</v>
      </c>
      <c r="K64">
        <v>24.781500000000001</v>
      </c>
      <c r="L64">
        <v>10</v>
      </c>
    </row>
    <row r="65" spans="1:12" x14ac:dyDescent="0.25">
      <c r="A65" t="s">
        <v>99</v>
      </c>
      <c r="B65">
        <v>15.81</v>
      </c>
      <c r="C65">
        <v>10</v>
      </c>
      <c r="D65">
        <v>7.9050000000000002</v>
      </c>
      <c r="E65">
        <v>166.005</v>
      </c>
      <c r="F65" s="1">
        <v>43530</v>
      </c>
      <c r="G65" s="2">
        <v>0.51874999999999993</v>
      </c>
      <c r="H65" t="s">
        <v>33</v>
      </c>
      <c r="I65">
        <v>158.1</v>
      </c>
      <c r="J65">
        <v>4.7619047620000003</v>
      </c>
      <c r="K65">
        <v>7.9050000000000002</v>
      </c>
      <c r="L65">
        <v>8.6</v>
      </c>
    </row>
    <row r="66" spans="1:12" x14ac:dyDescent="0.25">
      <c r="A66" t="s">
        <v>100</v>
      </c>
      <c r="B66">
        <v>75.739999999999995</v>
      </c>
      <c r="C66">
        <v>4</v>
      </c>
      <c r="D66">
        <v>15.148</v>
      </c>
      <c r="E66">
        <v>318.108</v>
      </c>
      <c r="F66" s="1">
        <v>43510</v>
      </c>
      <c r="G66" s="2">
        <v>0.60763888888888895</v>
      </c>
      <c r="H66" t="s">
        <v>29</v>
      </c>
      <c r="I66">
        <v>302.95999999999998</v>
      </c>
      <c r="J66">
        <v>4.7619047620000003</v>
      </c>
      <c r="K66">
        <v>15.148</v>
      </c>
      <c r="L66">
        <v>7.6</v>
      </c>
    </row>
    <row r="67" spans="1:12" x14ac:dyDescent="0.25">
      <c r="A67" t="s">
        <v>101</v>
      </c>
      <c r="B67">
        <v>15.87</v>
      </c>
      <c r="C67">
        <v>10</v>
      </c>
      <c r="D67">
        <v>7.9349999999999996</v>
      </c>
      <c r="E67">
        <v>166.63499999999999</v>
      </c>
      <c r="F67" s="1">
        <v>43537</v>
      </c>
      <c r="G67" s="2">
        <v>0.69444444444444453</v>
      </c>
      <c r="H67" t="s">
        <v>29</v>
      </c>
      <c r="I67">
        <v>158.69999999999999</v>
      </c>
      <c r="J67">
        <v>4.7619047620000003</v>
      </c>
      <c r="K67">
        <v>7.9349999999999996</v>
      </c>
      <c r="L67">
        <v>5.8</v>
      </c>
    </row>
    <row r="68" spans="1:12" x14ac:dyDescent="0.25">
      <c r="A68" t="s">
        <v>102</v>
      </c>
      <c r="B68">
        <v>33.47</v>
      </c>
      <c r="C68">
        <v>2</v>
      </c>
      <c r="D68">
        <v>3.347</v>
      </c>
      <c r="E68">
        <v>70.287000000000006</v>
      </c>
      <c r="F68" s="1">
        <v>43506</v>
      </c>
      <c r="G68" s="2">
        <v>0.65486111111111112</v>
      </c>
      <c r="H68" t="s">
        <v>23</v>
      </c>
      <c r="I68">
        <v>66.94</v>
      </c>
      <c r="J68">
        <v>4.7619047620000003</v>
      </c>
      <c r="K68">
        <v>3.347</v>
      </c>
      <c r="L68">
        <v>6.7</v>
      </c>
    </row>
    <row r="69" spans="1:12" x14ac:dyDescent="0.25">
      <c r="A69" t="s">
        <v>103</v>
      </c>
      <c r="B69">
        <v>97.61</v>
      </c>
      <c r="C69">
        <v>6</v>
      </c>
      <c r="D69">
        <v>29.283000000000001</v>
      </c>
      <c r="E69">
        <v>614.94299999999998</v>
      </c>
      <c r="F69" s="1">
        <v>43472</v>
      </c>
      <c r="G69" s="2">
        <v>0.62569444444444444</v>
      </c>
      <c r="H69" t="s">
        <v>23</v>
      </c>
      <c r="I69">
        <v>585.66</v>
      </c>
      <c r="J69">
        <v>4.7619047620000003</v>
      </c>
      <c r="K69">
        <v>29.283000000000001</v>
      </c>
      <c r="L69">
        <v>9.9</v>
      </c>
    </row>
    <row r="70" spans="1:12" x14ac:dyDescent="0.25">
      <c r="A70" t="s">
        <v>104</v>
      </c>
      <c r="B70">
        <v>78.77</v>
      </c>
      <c r="C70">
        <v>10</v>
      </c>
      <c r="D70">
        <v>39.384999999999998</v>
      </c>
      <c r="E70">
        <v>827.08500000000004</v>
      </c>
      <c r="F70" s="1">
        <v>43489</v>
      </c>
      <c r="G70" s="2">
        <v>0.41944444444444445</v>
      </c>
      <c r="H70" t="s">
        <v>29</v>
      </c>
      <c r="I70">
        <v>787.7</v>
      </c>
      <c r="J70">
        <v>4.7619047620000003</v>
      </c>
      <c r="K70">
        <v>39.384999999999998</v>
      </c>
      <c r="L70">
        <v>6.4</v>
      </c>
    </row>
    <row r="71" spans="1:12" x14ac:dyDescent="0.25">
      <c r="A71" t="s">
        <v>105</v>
      </c>
      <c r="B71">
        <v>18.329999999999998</v>
      </c>
      <c r="C71">
        <v>1</v>
      </c>
      <c r="D71">
        <v>0.91649999999999998</v>
      </c>
      <c r="E71">
        <v>19.246500000000001</v>
      </c>
      <c r="F71" s="1">
        <v>43498</v>
      </c>
      <c r="G71" s="2">
        <v>0.78472222222222221</v>
      </c>
      <c r="H71" t="s">
        <v>29</v>
      </c>
      <c r="I71">
        <v>18.329999999999998</v>
      </c>
      <c r="J71">
        <v>4.7619047620000003</v>
      </c>
      <c r="K71">
        <v>0.91649999999999998</v>
      </c>
      <c r="L71">
        <v>4.3</v>
      </c>
    </row>
    <row r="72" spans="1:12" x14ac:dyDescent="0.25">
      <c r="A72" t="s">
        <v>106</v>
      </c>
      <c r="B72">
        <v>89.48</v>
      </c>
      <c r="C72">
        <v>10</v>
      </c>
      <c r="D72">
        <v>44.74</v>
      </c>
      <c r="E72">
        <v>939.54</v>
      </c>
      <c r="F72" s="1">
        <v>43471</v>
      </c>
      <c r="G72" s="2">
        <v>0.53194444444444444</v>
      </c>
      <c r="H72" t="s">
        <v>33</v>
      </c>
      <c r="I72">
        <v>894.8</v>
      </c>
      <c r="J72">
        <v>4.7619047620000003</v>
      </c>
      <c r="K72">
        <v>44.74</v>
      </c>
      <c r="L72">
        <v>9.6</v>
      </c>
    </row>
    <row r="73" spans="1:12" x14ac:dyDescent="0.25">
      <c r="A73" t="s">
        <v>107</v>
      </c>
      <c r="B73">
        <v>62.12</v>
      </c>
      <c r="C73">
        <v>10</v>
      </c>
      <c r="D73">
        <v>31.06</v>
      </c>
      <c r="E73">
        <v>652.26</v>
      </c>
      <c r="F73" s="1">
        <v>43507</v>
      </c>
      <c r="G73" s="2">
        <v>0.67986111111111114</v>
      </c>
      <c r="H73" t="s">
        <v>29</v>
      </c>
      <c r="I73">
        <v>621.20000000000005</v>
      </c>
      <c r="J73">
        <v>4.7619047620000003</v>
      </c>
      <c r="K73">
        <v>31.06</v>
      </c>
      <c r="L73">
        <v>5.9</v>
      </c>
    </row>
    <row r="74" spans="1:12" x14ac:dyDescent="0.25">
      <c r="A74" t="s">
        <v>108</v>
      </c>
      <c r="B74">
        <v>48.52</v>
      </c>
      <c r="C74">
        <v>3</v>
      </c>
      <c r="D74">
        <v>7.2779999999999996</v>
      </c>
      <c r="E74">
        <v>152.83799999999999</v>
      </c>
      <c r="F74" s="1">
        <v>43529</v>
      </c>
      <c r="G74" s="2">
        <v>0.76180555555555562</v>
      </c>
      <c r="H74" t="s">
        <v>23</v>
      </c>
      <c r="I74">
        <v>145.56</v>
      </c>
      <c r="J74">
        <v>4.7619047620000003</v>
      </c>
      <c r="K74">
        <v>7.2779999999999996</v>
      </c>
      <c r="L74">
        <v>4</v>
      </c>
    </row>
    <row r="75" spans="1:12" x14ac:dyDescent="0.25">
      <c r="A75" t="s">
        <v>109</v>
      </c>
      <c r="B75">
        <v>75.91</v>
      </c>
      <c r="C75">
        <v>6</v>
      </c>
      <c r="D75">
        <v>22.773</v>
      </c>
      <c r="E75">
        <v>478.233</v>
      </c>
      <c r="F75" s="1">
        <v>43533</v>
      </c>
      <c r="G75" s="2">
        <v>0.76458333333333339</v>
      </c>
      <c r="H75" t="s">
        <v>29</v>
      </c>
      <c r="I75">
        <v>455.46</v>
      </c>
      <c r="J75">
        <v>4.7619047620000003</v>
      </c>
      <c r="K75">
        <v>22.773</v>
      </c>
      <c r="L75">
        <v>8.6999999999999993</v>
      </c>
    </row>
    <row r="76" spans="1:12" x14ac:dyDescent="0.25">
      <c r="A76" t="s">
        <v>110</v>
      </c>
      <c r="B76">
        <v>74.67</v>
      </c>
      <c r="C76">
        <v>9</v>
      </c>
      <c r="D76">
        <v>33.601500000000001</v>
      </c>
      <c r="E76">
        <v>705.63149999999996</v>
      </c>
      <c r="F76" s="1">
        <v>43487</v>
      </c>
      <c r="G76" s="2">
        <v>0.4548611111111111</v>
      </c>
      <c r="H76" t="s">
        <v>23</v>
      </c>
      <c r="I76">
        <v>672.03</v>
      </c>
      <c r="J76">
        <v>4.7619047620000003</v>
      </c>
      <c r="K76">
        <v>33.601500000000001</v>
      </c>
      <c r="L76">
        <v>9.4</v>
      </c>
    </row>
    <row r="77" spans="1:12" x14ac:dyDescent="0.25">
      <c r="A77" t="s">
        <v>111</v>
      </c>
      <c r="B77">
        <v>41.65</v>
      </c>
      <c r="C77">
        <v>10</v>
      </c>
      <c r="D77">
        <v>20.824999999999999</v>
      </c>
      <c r="E77">
        <v>437.32499999999999</v>
      </c>
      <c r="F77" s="1">
        <v>43478</v>
      </c>
      <c r="G77" s="2">
        <v>0.71111111111111114</v>
      </c>
      <c r="H77" t="s">
        <v>33</v>
      </c>
      <c r="I77">
        <v>416.5</v>
      </c>
      <c r="J77">
        <v>4.7619047620000003</v>
      </c>
      <c r="K77">
        <v>20.824999999999999</v>
      </c>
      <c r="L77">
        <v>5.4</v>
      </c>
    </row>
    <row r="78" spans="1:12" x14ac:dyDescent="0.25">
      <c r="A78" t="s">
        <v>112</v>
      </c>
      <c r="B78">
        <v>49.04</v>
      </c>
      <c r="C78">
        <v>9</v>
      </c>
      <c r="D78">
        <v>22.068000000000001</v>
      </c>
      <c r="E78">
        <v>463.428</v>
      </c>
      <c r="F78" s="1">
        <v>43474</v>
      </c>
      <c r="G78" s="2">
        <v>0.59722222222222221</v>
      </c>
      <c r="H78" t="s">
        <v>33</v>
      </c>
      <c r="I78">
        <v>441.36</v>
      </c>
      <c r="J78">
        <v>4.7619047620000003</v>
      </c>
      <c r="K78">
        <v>22.068000000000001</v>
      </c>
      <c r="L78">
        <v>8.6</v>
      </c>
    </row>
    <row r="79" spans="1:12" x14ac:dyDescent="0.25">
      <c r="A79" t="s">
        <v>113</v>
      </c>
      <c r="B79">
        <v>20.010000000000002</v>
      </c>
      <c r="C79">
        <v>9</v>
      </c>
      <c r="D79">
        <v>9.0045000000000002</v>
      </c>
      <c r="E79">
        <v>189.09450000000001</v>
      </c>
      <c r="F79" s="1">
        <v>43477</v>
      </c>
      <c r="G79" s="2">
        <v>0.65833333333333333</v>
      </c>
      <c r="H79" t="s">
        <v>33</v>
      </c>
      <c r="I79">
        <v>180.09</v>
      </c>
      <c r="J79">
        <v>4.7619047620000003</v>
      </c>
      <c r="K79">
        <v>9.0045000000000002</v>
      </c>
      <c r="L79">
        <v>5.7</v>
      </c>
    </row>
    <row r="80" spans="1:12" x14ac:dyDescent="0.25">
      <c r="A80" t="s">
        <v>114</v>
      </c>
      <c r="B80">
        <v>78.31</v>
      </c>
      <c r="C80">
        <v>10</v>
      </c>
      <c r="D80">
        <v>39.155000000000001</v>
      </c>
      <c r="E80">
        <v>822.255</v>
      </c>
      <c r="F80" s="1">
        <v>43529</v>
      </c>
      <c r="G80" s="2">
        <v>0.68333333333333324</v>
      </c>
      <c r="H80" t="s">
        <v>23</v>
      </c>
      <c r="I80">
        <v>783.1</v>
      </c>
      <c r="J80">
        <v>4.7619047620000003</v>
      </c>
      <c r="K80">
        <v>39.155000000000001</v>
      </c>
      <c r="L80">
        <v>6.6</v>
      </c>
    </row>
    <row r="81" spans="1:12" x14ac:dyDescent="0.25">
      <c r="A81" t="s">
        <v>115</v>
      </c>
      <c r="B81">
        <v>20.38</v>
      </c>
      <c r="C81">
        <v>5</v>
      </c>
      <c r="D81">
        <v>5.0949999999999998</v>
      </c>
      <c r="E81">
        <v>106.995</v>
      </c>
      <c r="F81" s="1">
        <v>43487</v>
      </c>
      <c r="G81" s="2">
        <v>0.78888888888888886</v>
      </c>
      <c r="H81" t="s">
        <v>29</v>
      </c>
      <c r="I81">
        <v>101.9</v>
      </c>
      <c r="J81">
        <v>4.7619047620000003</v>
      </c>
      <c r="K81">
        <v>5.0949999999999998</v>
      </c>
      <c r="L81">
        <v>6</v>
      </c>
    </row>
    <row r="82" spans="1:12" x14ac:dyDescent="0.25">
      <c r="A82" t="s">
        <v>116</v>
      </c>
      <c r="B82">
        <v>99.19</v>
      </c>
      <c r="C82">
        <v>6</v>
      </c>
      <c r="D82">
        <v>29.757000000000001</v>
      </c>
      <c r="E82">
        <v>624.89700000000005</v>
      </c>
      <c r="F82" s="1">
        <v>43486</v>
      </c>
      <c r="G82" s="2">
        <v>0.61249999999999993</v>
      </c>
      <c r="H82" t="s">
        <v>33</v>
      </c>
      <c r="I82">
        <v>595.14</v>
      </c>
      <c r="J82">
        <v>4.7619047620000003</v>
      </c>
      <c r="K82">
        <v>29.757000000000001</v>
      </c>
      <c r="L82">
        <v>5.5</v>
      </c>
    </row>
    <row r="83" spans="1:12" x14ac:dyDescent="0.25">
      <c r="A83" t="s">
        <v>117</v>
      </c>
      <c r="B83">
        <v>96.68</v>
      </c>
      <c r="C83">
        <v>3</v>
      </c>
      <c r="D83">
        <v>14.502000000000001</v>
      </c>
      <c r="E83">
        <v>304.54199999999997</v>
      </c>
      <c r="F83" s="1">
        <v>43491</v>
      </c>
      <c r="G83" s="2">
        <v>0.8305555555555556</v>
      </c>
      <c r="H83" t="s">
        <v>23</v>
      </c>
      <c r="I83">
        <v>290.04000000000002</v>
      </c>
      <c r="J83">
        <v>4.7619047620000003</v>
      </c>
      <c r="K83">
        <v>14.502000000000001</v>
      </c>
      <c r="L83">
        <v>6.4</v>
      </c>
    </row>
    <row r="84" spans="1:12" x14ac:dyDescent="0.25">
      <c r="A84" t="s">
        <v>118</v>
      </c>
      <c r="B84">
        <v>19.25</v>
      </c>
      <c r="C84">
        <v>8</v>
      </c>
      <c r="D84">
        <v>7.7</v>
      </c>
      <c r="E84">
        <v>161.69999999999999</v>
      </c>
      <c r="F84" s="1">
        <v>43488</v>
      </c>
      <c r="G84" s="2">
        <v>0.77569444444444446</v>
      </c>
      <c r="H84" t="s">
        <v>23</v>
      </c>
      <c r="I84">
        <v>154</v>
      </c>
      <c r="J84">
        <v>4.7619047620000003</v>
      </c>
      <c r="K84">
        <v>7.7</v>
      </c>
      <c r="L84">
        <v>6.6</v>
      </c>
    </row>
    <row r="85" spans="1:12" x14ac:dyDescent="0.25">
      <c r="A85" t="s">
        <v>119</v>
      </c>
      <c r="B85">
        <v>80.36</v>
      </c>
      <c r="C85">
        <v>4</v>
      </c>
      <c r="D85">
        <v>16.071999999999999</v>
      </c>
      <c r="E85">
        <v>337.512</v>
      </c>
      <c r="F85" s="1">
        <v>43519</v>
      </c>
      <c r="G85" s="2">
        <v>0.78125</v>
      </c>
      <c r="H85" t="s">
        <v>33</v>
      </c>
      <c r="I85">
        <v>321.44</v>
      </c>
      <c r="J85">
        <v>4.7619047620000003</v>
      </c>
      <c r="K85">
        <v>16.071999999999999</v>
      </c>
      <c r="L85">
        <v>8.3000000000000007</v>
      </c>
    </row>
    <row r="86" spans="1:12" x14ac:dyDescent="0.25">
      <c r="A86" t="s">
        <v>120</v>
      </c>
      <c r="B86">
        <v>48.91</v>
      </c>
      <c r="C86">
        <v>5</v>
      </c>
      <c r="D86">
        <v>12.227499999999999</v>
      </c>
      <c r="E86">
        <v>256.77749999999997</v>
      </c>
      <c r="F86" s="1">
        <v>43533</v>
      </c>
      <c r="G86" s="2">
        <v>0.4284722222222222</v>
      </c>
      <c r="H86" t="s">
        <v>29</v>
      </c>
      <c r="I86">
        <v>244.55</v>
      </c>
      <c r="J86">
        <v>4.7619047620000003</v>
      </c>
      <c r="K86">
        <v>12.227499999999999</v>
      </c>
      <c r="L86">
        <v>6.6</v>
      </c>
    </row>
    <row r="87" spans="1:12" x14ac:dyDescent="0.25">
      <c r="A87" t="s">
        <v>121</v>
      </c>
      <c r="B87">
        <v>83.06</v>
      </c>
      <c r="C87">
        <v>7</v>
      </c>
      <c r="D87">
        <v>29.071000000000002</v>
      </c>
      <c r="E87">
        <v>610.49099999999999</v>
      </c>
      <c r="F87" s="1">
        <v>43529</v>
      </c>
      <c r="G87" s="2">
        <v>0.60486111111111118</v>
      </c>
      <c r="H87" t="s">
        <v>23</v>
      </c>
      <c r="I87">
        <v>581.41999999999996</v>
      </c>
      <c r="J87">
        <v>4.7619047620000003</v>
      </c>
      <c r="K87">
        <v>29.071000000000002</v>
      </c>
      <c r="L87">
        <v>4</v>
      </c>
    </row>
    <row r="88" spans="1:12" x14ac:dyDescent="0.25">
      <c r="A88" t="s">
        <v>122</v>
      </c>
      <c r="B88">
        <v>76.52</v>
      </c>
      <c r="C88">
        <v>5</v>
      </c>
      <c r="D88">
        <v>19.13</v>
      </c>
      <c r="E88">
        <v>401.73</v>
      </c>
      <c r="F88" s="1">
        <v>43549</v>
      </c>
      <c r="G88" s="2">
        <v>0.43263888888888885</v>
      </c>
      <c r="H88" t="s">
        <v>29</v>
      </c>
      <c r="I88">
        <v>382.6</v>
      </c>
      <c r="J88">
        <v>4.7619047620000003</v>
      </c>
      <c r="K88">
        <v>19.13</v>
      </c>
      <c r="L88">
        <v>9.9</v>
      </c>
    </row>
    <row r="89" spans="1:12" x14ac:dyDescent="0.25">
      <c r="A89" t="s">
        <v>123</v>
      </c>
      <c r="B89">
        <v>49.38</v>
      </c>
      <c r="C89">
        <v>7</v>
      </c>
      <c r="D89">
        <v>17.283000000000001</v>
      </c>
      <c r="E89">
        <v>362.94299999999998</v>
      </c>
      <c r="F89" s="1">
        <v>43551</v>
      </c>
      <c r="G89" s="2">
        <v>0.85763888888888884</v>
      </c>
      <c r="H89" t="s">
        <v>33</v>
      </c>
      <c r="I89">
        <v>345.66</v>
      </c>
      <c r="J89">
        <v>4.7619047620000003</v>
      </c>
      <c r="K89">
        <v>17.283000000000001</v>
      </c>
      <c r="L89">
        <v>7.3</v>
      </c>
    </row>
    <row r="90" spans="1:12" x14ac:dyDescent="0.25">
      <c r="A90" t="s">
        <v>124</v>
      </c>
      <c r="B90">
        <v>42.47</v>
      </c>
      <c r="C90">
        <v>1</v>
      </c>
      <c r="D90">
        <v>2.1234999999999999</v>
      </c>
      <c r="E90">
        <v>44.593499999999999</v>
      </c>
      <c r="F90" s="1">
        <v>43467</v>
      </c>
      <c r="G90" s="2">
        <v>0.70624999999999993</v>
      </c>
      <c r="H90" t="s">
        <v>29</v>
      </c>
      <c r="I90">
        <v>42.47</v>
      </c>
      <c r="J90">
        <v>4.7619047620000003</v>
      </c>
      <c r="K90">
        <v>2.1234999999999999</v>
      </c>
      <c r="L90">
        <v>5.7</v>
      </c>
    </row>
    <row r="91" spans="1:12" x14ac:dyDescent="0.25">
      <c r="A91" t="s">
        <v>125</v>
      </c>
      <c r="B91">
        <v>76.989999999999995</v>
      </c>
      <c r="C91">
        <v>6</v>
      </c>
      <c r="D91">
        <v>23.097000000000001</v>
      </c>
      <c r="E91">
        <v>485.03699999999998</v>
      </c>
      <c r="F91" s="1">
        <v>43523</v>
      </c>
      <c r="G91" s="2">
        <v>0.74652777777777779</v>
      </c>
      <c r="H91" t="s">
        <v>29</v>
      </c>
      <c r="I91">
        <v>461.94</v>
      </c>
      <c r="J91">
        <v>4.7619047620000003</v>
      </c>
      <c r="K91">
        <v>23.097000000000001</v>
      </c>
      <c r="L91">
        <v>6.1</v>
      </c>
    </row>
    <row r="92" spans="1:12" x14ac:dyDescent="0.25">
      <c r="A92" t="s">
        <v>126</v>
      </c>
      <c r="B92">
        <v>47.38</v>
      </c>
      <c r="C92">
        <v>4</v>
      </c>
      <c r="D92">
        <v>9.4760000000000009</v>
      </c>
      <c r="E92">
        <v>198.99600000000001</v>
      </c>
      <c r="F92" s="1">
        <v>43488</v>
      </c>
      <c r="G92" s="2">
        <v>0.43402777777777773</v>
      </c>
      <c r="H92" t="s">
        <v>29</v>
      </c>
      <c r="I92">
        <v>189.52</v>
      </c>
      <c r="J92">
        <v>4.7619047620000003</v>
      </c>
      <c r="K92">
        <v>9.4760000000000009</v>
      </c>
      <c r="L92">
        <v>7.1</v>
      </c>
    </row>
    <row r="93" spans="1:12" x14ac:dyDescent="0.25">
      <c r="A93" t="s">
        <v>127</v>
      </c>
      <c r="B93">
        <v>44.86</v>
      </c>
      <c r="C93">
        <v>10</v>
      </c>
      <c r="D93">
        <v>22.43</v>
      </c>
      <c r="E93">
        <v>471.03</v>
      </c>
      <c r="F93" s="1">
        <v>43491</v>
      </c>
      <c r="G93" s="2">
        <v>0.82916666666666661</v>
      </c>
      <c r="H93" t="s">
        <v>23</v>
      </c>
      <c r="I93">
        <v>448.6</v>
      </c>
      <c r="J93">
        <v>4.7619047620000003</v>
      </c>
      <c r="K93">
        <v>22.43</v>
      </c>
      <c r="L93">
        <v>8.1999999999999993</v>
      </c>
    </row>
    <row r="94" spans="1:12" x14ac:dyDescent="0.25">
      <c r="A94" t="s">
        <v>128</v>
      </c>
      <c r="B94">
        <v>21.98</v>
      </c>
      <c r="C94">
        <v>7</v>
      </c>
      <c r="D94">
        <v>7.6929999999999996</v>
      </c>
      <c r="E94">
        <v>161.553</v>
      </c>
      <c r="F94" s="1">
        <v>43475</v>
      </c>
      <c r="G94" s="2">
        <v>0.6958333333333333</v>
      </c>
      <c r="H94" t="s">
        <v>23</v>
      </c>
      <c r="I94">
        <v>153.86000000000001</v>
      </c>
      <c r="J94">
        <v>4.7619047620000003</v>
      </c>
      <c r="K94">
        <v>7.6929999999999996</v>
      </c>
      <c r="L94">
        <v>5.0999999999999996</v>
      </c>
    </row>
    <row r="95" spans="1:12" x14ac:dyDescent="0.25">
      <c r="A95" t="s">
        <v>129</v>
      </c>
      <c r="B95">
        <v>64.36</v>
      </c>
      <c r="C95">
        <v>9</v>
      </c>
      <c r="D95">
        <v>28.962</v>
      </c>
      <c r="E95">
        <v>608.202</v>
      </c>
      <c r="F95" s="1">
        <v>43536</v>
      </c>
      <c r="G95" s="2">
        <v>0.50624999999999998</v>
      </c>
      <c r="H95" t="s">
        <v>33</v>
      </c>
      <c r="I95">
        <v>579.24</v>
      </c>
      <c r="J95">
        <v>4.7619047620000003</v>
      </c>
      <c r="K95">
        <v>28.962</v>
      </c>
      <c r="L95">
        <v>8.6</v>
      </c>
    </row>
    <row r="96" spans="1:12" x14ac:dyDescent="0.25">
      <c r="A96" t="s">
        <v>130</v>
      </c>
      <c r="B96">
        <v>89.75</v>
      </c>
      <c r="C96">
        <v>1</v>
      </c>
      <c r="D96">
        <v>4.4874999999999998</v>
      </c>
      <c r="E96">
        <v>94.237499999999997</v>
      </c>
      <c r="F96" s="1">
        <v>43502</v>
      </c>
      <c r="G96" s="2">
        <v>0.83680555555555547</v>
      </c>
      <c r="H96" t="s">
        <v>33</v>
      </c>
      <c r="I96">
        <v>89.75</v>
      </c>
      <c r="J96">
        <v>4.7619047620000003</v>
      </c>
      <c r="K96">
        <v>4.4874999999999998</v>
      </c>
      <c r="L96">
        <v>6.6</v>
      </c>
    </row>
    <row r="97" spans="1:12" x14ac:dyDescent="0.25">
      <c r="A97" t="s">
        <v>131</v>
      </c>
      <c r="B97">
        <v>97.16</v>
      </c>
      <c r="C97">
        <v>1</v>
      </c>
      <c r="D97">
        <v>4.8579999999999997</v>
      </c>
      <c r="E97">
        <v>102.018</v>
      </c>
      <c r="F97" s="1">
        <v>43532</v>
      </c>
      <c r="G97" s="2">
        <v>0.85972222222222217</v>
      </c>
      <c r="H97" t="s">
        <v>23</v>
      </c>
      <c r="I97">
        <v>97.16</v>
      </c>
      <c r="J97">
        <v>4.7619047620000003</v>
      </c>
      <c r="K97">
        <v>4.8579999999999997</v>
      </c>
      <c r="L97">
        <v>7.2</v>
      </c>
    </row>
    <row r="98" spans="1:12" x14ac:dyDescent="0.25">
      <c r="A98" t="s">
        <v>132</v>
      </c>
      <c r="B98">
        <v>87.87</v>
      </c>
      <c r="C98">
        <v>10</v>
      </c>
      <c r="D98">
        <v>43.935000000000002</v>
      </c>
      <c r="E98">
        <v>922.63499999999999</v>
      </c>
      <c r="F98" s="1">
        <v>43553</v>
      </c>
      <c r="G98" s="2">
        <v>0.43402777777777773</v>
      </c>
      <c r="H98" t="s">
        <v>23</v>
      </c>
      <c r="I98">
        <v>878.7</v>
      </c>
      <c r="J98">
        <v>4.7619047620000003</v>
      </c>
      <c r="K98">
        <v>43.935000000000002</v>
      </c>
      <c r="L98">
        <v>5.0999999999999996</v>
      </c>
    </row>
    <row r="99" spans="1:12" x14ac:dyDescent="0.25">
      <c r="A99" t="s">
        <v>133</v>
      </c>
      <c r="B99">
        <v>12.45</v>
      </c>
      <c r="C99">
        <v>6</v>
      </c>
      <c r="D99">
        <v>3.7349999999999999</v>
      </c>
      <c r="E99">
        <v>78.435000000000002</v>
      </c>
      <c r="F99" s="1">
        <v>43505</v>
      </c>
      <c r="G99" s="2">
        <v>0.5493055555555556</v>
      </c>
      <c r="H99" t="s">
        <v>29</v>
      </c>
      <c r="I99">
        <v>74.7</v>
      </c>
      <c r="J99">
        <v>4.7619047620000003</v>
      </c>
      <c r="K99">
        <v>3.7349999999999999</v>
      </c>
      <c r="L99">
        <v>4.0999999999999996</v>
      </c>
    </row>
    <row r="100" spans="1:12" x14ac:dyDescent="0.25">
      <c r="A100" t="s">
        <v>134</v>
      </c>
      <c r="B100">
        <v>52.75</v>
      </c>
      <c r="C100">
        <v>3</v>
      </c>
      <c r="D100">
        <v>7.9124999999999996</v>
      </c>
      <c r="E100">
        <v>166.16249999999999</v>
      </c>
      <c r="F100" s="1">
        <v>43547</v>
      </c>
      <c r="G100" s="2">
        <v>0.42777777777777781</v>
      </c>
      <c r="H100" t="s">
        <v>23</v>
      </c>
      <c r="I100">
        <v>158.25</v>
      </c>
      <c r="J100">
        <v>4.7619047620000003</v>
      </c>
      <c r="K100">
        <v>7.9124999999999996</v>
      </c>
      <c r="L100">
        <v>9.3000000000000007</v>
      </c>
    </row>
    <row r="101" spans="1:12" x14ac:dyDescent="0.25">
      <c r="A101" t="s">
        <v>135</v>
      </c>
      <c r="B101">
        <v>82.7</v>
      </c>
      <c r="C101">
        <v>6</v>
      </c>
      <c r="D101">
        <v>24.81</v>
      </c>
      <c r="E101">
        <v>521.01</v>
      </c>
      <c r="F101" s="1">
        <v>43529</v>
      </c>
      <c r="G101" s="2">
        <v>0.7597222222222223</v>
      </c>
      <c r="H101" t="s">
        <v>29</v>
      </c>
      <c r="I101">
        <v>496.2</v>
      </c>
      <c r="J101">
        <v>4.7619047620000003</v>
      </c>
      <c r="K101">
        <v>24.81</v>
      </c>
      <c r="L101">
        <v>7.4</v>
      </c>
    </row>
    <row r="102" spans="1:12" x14ac:dyDescent="0.25">
      <c r="A102" t="s">
        <v>136</v>
      </c>
      <c r="B102">
        <v>48.71</v>
      </c>
      <c r="C102">
        <v>1</v>
      </c>
      <c r="D102">
        <v>2.4355000000000002</v>
      </c>
      <c r="E102">
        <v>51.145499999999998</v>
      </c>
      <c r="F102" s="1">
        <v>43550</v>
      </c>
      <c r="G102" s="2">
        <v>0.80555555555555547</v>
      </c>
      <c r="H102" t="s">
        <v>29</v>
      </c>
      <c r="I102">
        <v>48.71</v>
      </c>
      <c r="J102">
        <v>4.7619047620000003</v>
      </c>
      <c r="K102">
        <v>2.4355000000000002</v>
      </c>
      <c r="L102">
        <v>4.0999999999999996</v>
      </c>
    </row>
    <row r="103" spans="1:12" x14ac:dyDescent="0.25">
      <c r="A103" t="s">
        <v>137</v>
      </c>
      <c r="B103">
        <v>78.55</v>
      </c>
      <c r="C103">
        <v>9</v>
      </c>
      <c r="D103">
        <v>35.347499999999997</v>
      </c>
      <c r="E103">
        <v>742.29750000000001</v>
      </c>
      <c r="F103" s="1">
        <v>43525</v>
      </c>
      <c r="G103" s="2">
        <v>0.55694444444444446</v>
      </c>
      <c r="H103" t="s">
        <v>29</v>
      </c>
      <c r="I103">
        <v>706.95</v>
      </c>
      <c r="J103">
        <v>4.7619047620000003</v>
      </c>
      <c r="K103">
        <v>35.347499999999997</v>
      </c>
      <c r="L103">
        <v>7.2</v>
      </c>
    </row>
    <row r="104" spans="1:12" x14ac:dyDescent="0.25">
      <c r="A104" t="s">
        <v>138</v>
      </c>
      <c r="B104">
        <v>23.07</v>
      </c>
      <c r="C104">
        <v>9</v>
      </c>
      <c r="D104">
        <v>10.381500000000001</v>
      </c>
      <c r="E104">
        <v>218.01150000000001</v>
      </c>
      <c r="F104" s="1">
        <v>43497</v>
      </c>
      <c r="G104" s="2">
        <v>0.4770833333333333</v>
      </c>
      <c r="H104" t="s">
        <v>29</v>
      </c>
      <c r="I104">
        <v>207.63</v>
      </c>
      <c r="J104">
        <v>4.7619047620000003</v>
      </c>
      <c r="K104">
        <v>10.381500000000001</v>
      </c>
      <c r="L104">
        <v>4.9000000000000004</v>
      </c>
    </row>
    <row r="105" spans="1:12" x14ac:dyDescent="0.25">
      <c r="A105" t="s">
        <v>139</v>
      </c>
      <c r="B105">
        <v>58.26</v>
      </c>
      <c r="C105">
        <v>6</v>
      </c>
      <c r="D105">
        <v>17.478000000000002</v>
      </c>
      <c r="E105">
        <v>367.03800000000001</v>
      </c>
      <c r="F105" s="1">
        <v>43552</v>
      </c>
      <c r="G105" s="2">
        <v>0.6972222222222223</v>
      </c>
      <c r="H105" t="s">
        <v>29</v>
      </c>
      <c r="I105">
        <v>349.56</v>
      </c>
      <c r="J105">
        <v>4.7619047620000003</v>
      </c>
      <c r="K105">
        <v>17.478000000000002</v>
      </c>
      <c r="L105">
        <v>9.9</v>
      </c>
    </row>
    <row r="106" spans="1:12" x14ac:dyDescent="0.25">
      <c r="A106" t="s">
        <v>140</v>
      </c>
      <c r="B106">
        <v>30.35</v>
      </c>
      <c r="C106">
        <v>7</v>
      </c>
      <c r="D106">
        <v>10.6225</v>
      </c>
      <c r="E106">
        <v>223.07249999999999</v>
      </c>
      <c r="F106" s="1">
        <v>43543</v>
      </c>
      <c r="G106" s="2">
        <v>0.7631944444444444</v>
      </c>
      <c r="H106" t="s">
        <v>29</v>
      </c>
      <c r="I106">
        <v>212.45</v>
      </c>
      <c r="J106">
        <v>4.7619047620000003</v>
      </c>
      <c r="K106">
        <v>10.6225</v>
      </c>
      <c r="L106">
        <v>8</v>
      </c>
    </row>
    <row r="107" spans="1:12" x14ac:dyDescent="0.25">
      <c r="A107" t="s">
        <v>141</v>
      </c>
      <c r="B107">
        <v>88.67</v>
      </c>
      <c r="C107">
        <v>10</v>
      </c>
      <c r="D107">
        <v>44.335000000000001</v>
      </c>
      <c r="E107">
        <v>931.03499999999997</v>
      </c>
      <c r="F107" s="1">
        <v>43477</v>
      </c>
      <c r="G107" s="2">
        <v>0.61805555555555558</v>
      </c>
      <c r="H107" t="s">
        <v>23</v>
      </c>
      <c r="I107">
        <v>886.7</v>
      </c>
      <c r="J107">
        <v>4.7619047620000003</v>
      </c>
      <c r="K107">
        <v>44.335000000000001</v>
      </c>
      <c r="L107">
        <v>7.3</v>
      </c>
    </row>
    <row r="108" spans="1:12" x14ac:dyDescent="0.25">
      <c r="A108" t="s">
        <v>142</v>
      </c>
      <c r="B108">
        <v>27.38</v>
      </c>
      <c r="C108">
        <v>6</v>
      </c>
      <c r="D108">
        <v>8.2140000000000004</v>
      </c>
      <c r="E108">
        <v>172.494</v>
      </c>
      <c r="F108" s="1">
        <v>43470</v>
      </c>
      <c r="G108" s="2">
        <v>0.87083333333333324</v>
      </c>
      <c r="H108" t="s">
        <v>33</v>
      </c>
      <c r="I108">
        <v>164.28</v>
      </c>
      <c r="J108">
        <v>4.7619047620000003</v>
      </c>
      <c r="K108">
        <v>8.2140000000000004</v>
      </c>
      <c r="L108">
        <v>7.9</v>
      </c>
    </row>
    <row r="109" spans="1:12" x14ac:dyDescent="0.25">
      <c r="A109" t="s">
        <v>143</v>
      </c>
      <c r="B109">
        <v>62.13</v>
      </c>
      <c r="C109">
        <v>6</v>
      </c>
      <c r="D109">
        <v>18.638999999999999</v>
      </c>
      <c r="E109">
        <v>391.41899999999998</v>
      </c>
      <c r="F109" s="1">
        <v>43546</v>
      </c>
      <c r="G109" s="2">
        <v>0.84652777777777777</v>
      </c>
      <c r="H109" t="s">
        <v>29</v>
      </c>
      <c r="I109">
        <v>372.78</v>
      </c>
      <c r="J109">
        <v>4.7619047620000003</v>
      </c>
      <c r="K109">
        <v>18.638999999999999</v>
      </c>
      <c r="L109">
        <v>7.4</v>
      </c>
    </row>
    <row r="110" spans="1:12" x14ac:dyDescent="0.25">
      <c r="A110" t="s">
        <v>144</v>
      </c>
      <c r="B110">
        <v>33.979999999999997</v>
      </c>
      <c r="C110">
        <v>9</v>
      </c>
      <c r="D110">
        <v>15.291</v>
      </c>
      <c r="E110">
        <v>321.11099999999999</v>
      </c>
      <c r="F110" s="1">
        <v>43548</v>
      </c>
      <c r="G110" s="2">
        <v>0.4465277777777778</v>
      </c>
      <c r="H110" t="s">
        <v>29</v>
      </c>
      <c r="I110">
        <v>305.82</v>
      </c>
      <c r="J110">
        <v>4.7619047620000003</v>
      </c>
      <c r="K110">
        <v>15.291</v>
      </c>
      <c r="L110">
        <v>4.2</v>
      </c>
    </row>
    <row r="111" spans="1:12" x14ac:dyDescent="0.25">
      <c r="A111" t="s">
        <v>145</v>
      </c>
      <c r="B111">
        <v>81.97</v>
      </c>
      <c r="C111">
        <v>10</v>
      </c>
      <c r="D111">
        <v>40.984999999999999</v>
      </c>
      <c r="E111">
        <v>860.68499999999995</v>
      </c>
      <c r="F111" s="1">
        <v>43527</v>
      </c>
      <c r="G111" s="2">
        <v>0.60416666666666663</v>
      </c>
      <c r="H111" t="s">
        <v>29</v>
      </c>
      <c r="I111">
        <v>819.7</v>
      </c>
      <c r="J111">
        <v>4.7619047620000003</v>
      </c>
      <c r="K111">
        <v>40.984999999999999</v>
      </c>
      <c r="L111">
        <v>9.1999999999999993</v>
      </c>
    </row>
    <row r="112" spans="1:12" x14ac:dyDescent="0.25">
      <c r="A112" t="s">
        <v>146</v>
      </c>
      <c r="B112">
        <v>16.489999999999998</v>
      </c>
      <c r="C112">
        <v>2</v>
      </c>
      <c r="D112">
        <v>1.649</v>
      </c>
      <c r="E112">
        <v>34.628999999999998</v>
      </c>
      <c r="F112" s="1">
        <v>43501</v>
      </c>
      <c r="G112" s="2">
        <v>0.48055555555555557</v>
      </c>
      <c r="H112" t="s">
        <v>23</v>
      </c>
      <c r="I112">
        <v>32.979999999999997</v>
      </c>
      <c r="J112">
        <v>4.7619047620000003</v>
      </c>
      <c r="K112">
        <v>1.649</v>
      </c>
      <c r="L112">
        <v>4.5999999999999996</v>
      </c>
    </row>
    <row r="113" spans="1:12" x14ac:dyDescent="0.25">
      <c r="A113" t="s">
        <v>147</v>
      </c>
      <c r="B113">
        <v>98.21</v>
      </c>
      <c r="C113">
        <v>3</v>
      </c>
      <c r="D113">
        <v>14.7315</v>
      </c>
      <c r="E113">
        <v>309.36149999999998</v>
      </c>
      <c r="F113" s="1">
        <v>43501</v>
      </c>
      <c r="G113" s="2">
        <v>0.44513888888888892</v>
      </c>
      <c r="H113" t="s">
        <v>33</v>
      </c>
      <c r="I113">
        <v>294.63</v>
      </c>
      <c r="J113">
        <v>4.7619047620000003</v>
      </c>
      <c r="K113">
        <v>14.7315</v>
      </c>
      <c r="L113">
        <v>7.8</v>
      </c>
    </row>
    <row r="114" spans="1:12" x14ac:dyDescent="0.25">
      <c r="A114" t="s">
        <v>148</v>
      </c>
      <c r="B114">
        <v>72.84</v>
      </c>
      <c r="C114">
        <v>7</v>
      </c>
      <c r="D114">
        <v>25.494</v>
      </c>
      <c r="E114">
        <v>535.37400000000002</v>
      </c>
      <c r="F114" s="1">
        <v>43511</v>
      </c>
      <c r="G114" s="2">
        <v>0.53055555555555556</v>
      </c>
      <c r="H114" t="s">
        <v>29</v>
      </c>
      <c r="I114">
        <v>509.88</v>
      </c>
      <c r="J114">
        <v>4.7619047620000003</v>
      </c>
      <c r="K114">
        <v>25.494</v>
      </c>
      <c r="L114">
        <v>8.4</v>
      </c>
    </row>
    <row r="115" spans="1:12" x14ac:dyDescent="0.25">
      <c r="A115" t="s">
        <v>149</v>
      </c>
      <c r="B115">
        <v>58.07</v>
      </c>
      <c r="C115">
        <v>9</v>
      </c>
      <c r="D115">
        <v>26.131499999999999</v>
      </c>
      <c r="E115">
        <v>548.76149999999996</v>
      </c>
      <c r="F115" s="1">
        <v>43484</v>
      </c>
      <c r="G115" s="2">
        <v>0.83819444444444446</v>
      </c>
      <c r="H115" t="s">
        <v>23</v>
      </c>
      <c r="I115">
        <v>522.63</v>
      </c>
      <c r="J115">
        <v>4.7619047620000003</v>
      </c>
      <c r="K115">
        <v>26.131499999999999</v>
      </c>
      <c r="L115">
        <v>4.3</v>
      </c>
    </row>
    <row r="116" spans="1:12" x14ac:dyDescent="0.25">
      <c r="A116" t="s">
        <v>150</v>
      </c>
      <c r="B116">
        <v>80.790000000000006</v>
      </c>
      <c r="C116">
        <v>9</v>
      </c>
      <c r="D116">
        <v>36.355499999999999</v>
      </c>
      <c r="E116">
        <v>763.46550000000002</v>
      </c>
      <c r="F116" s="1">
        <v>43497</v>
      </c>
      <c r="G116" s="2">
        <v>0.85486111111111107</v>
      </c>
      <c r="H116" t="s">
        <v>33</v>
      </c>
      <c r="I116">
        <v>727.11</v>
      </c>
      <c r="J116">
        <v>4.7619047620000003</v>
      </c>
      <c r="K116">
        <v>36.355499999999999</v>
      </c>
      <c r="L116">
        <v>9.5</v>
      </c>
    </row>
    <row r="117" spans="1:12" x14ac:dyDescent="0.25">
      <c r="A117" t="s">
        <v>151</v>
      </c>
      <c r="B117">
        <v>27.02</v>
      </c>
      <c r="C117">
        <v>3</v>
      </c>
      <c r="D117">
        <v>4.0529999999999999</v>
      </c>
      <c r="E117">
        <v>85.113</v>
      </c>
      <c r="F117" s="1">
        <v>43526</v>
      </c>
      <c r="G117" s="2">
        <v>0.54236111111111118</v>
      </c>
      <c r="H117" t="s">
        <v>33</v>
      </c>
      <c r="I117">
        <v>81.06</v>
      </c>
      <c r="J117">
        <v>4.7619047620000003</v>
      </c>
      <c r="K117">
        <v>4.0529999999999999</v>
      </c>
      <c r="L117">
        <v>7.1</v>
      </c>
    </row>
    <row r="118" spans="1:12" x14ac:dyDescent="0.25">
      <c r="A118" t="s">
        <v>152</v>
      </c>
      <c r="B118">
        <v>21.94</v>
      </c>
      <c r="C118">
        <v>5</v>
      </c>
      <c r="D118">
        <v>5.4850000000000003</v>
      </c>
      <c r="E118">
        <v>115.185</v>
      </c>
      <c r="F118" s="1">
        <v>43529</v>
      </c>
      <c r="G118" s="2">
        <v>0.52013888888888882</v>
      </c>
      <c r="H118" t="s">
        <v>23</v>
      </c>
      <c r="I118">
        <v>109.7</v>
      </c>
      <c r="J118">
        <v>4.7619047620000003</v>
      </c>
      <c r="K118">
        <v>5.4850000000000003</v>
      </c>
      <c r="L118">
        <v>5.3</v>
      </c>
    </row>
    <row r="119" spans="1:12" x14ac:dyDescent="0.25">
      <c r="A119" t="s">
        <v>153</v>
      </c>
      <c r="B119">
        <v>51.36</v>
      </c>
      <c r="C119">
        <v>1</v>
      </c>
      <c r="D119">
        <v>2.5680000000000001</v>
      </c>
      <c r="E119">
        <v>53.927999999999997</v>
      </c>
      <c r="F119" s="1">
        <v>43481</v>
      </c>
      <c r="G119" s="2">
        <v>0.6430555555555556</v>
      </c>
      <c r="H119" t="s">
        <v>23</v>
      </c>
      <c r="I119">
        <v>51.36</v>
      </c>
      <c r="J119">
        <v>4.7619047620000003</v>
      </c>
      <c r="K119">
        <v>2.5680000000000001</v>
      </c>
      <c r="L119">
        <v>5.2</v>
      </c>
    </row>
    <row r="120" spans="1:12" x14ac:dyDescent="0.25">
      <c r="A120" t="s">
        <v>154</v>
      </c>
      <c r="B120">
        <v>10.96</v>
      </c>
      <c r="C120">
        <v>10</v>
      </c>
      <c r="D120">
        <v>5.48</v>
      </c>
      <c r="E120">
        <v>115.08</v>
      </c>
      <c r="F120" s="1">
        <v>43498</v>
      </c>
      <c r="G120" s="2">
        <v>0.8666666666666667</v>
      </c>
      <c r="H120" t="s">
        <v>23</v>
      </c>
      <c r="I120">
        <v>109.6</v>
      </c>
      <c r="J120">
        <v>4.7619047620000003</v>
      </c>
      <c r="K120">
        <v>5.48</v>
      </c>
      <c r="L120">
        <v>6</v>
      </c>
    </row>
    <row r="121" spans="1:12" x14ac:dyDescent="0.25">
      <c r="A121" t="s">
        <v>155</v>
      </c>
      <c r="B121">
        <v>53.44</v>
      </c>
      <c r="C121">
        <v>2</v>
      </c>
      <c r="D121">
        <v>5.3440000000000003</v>
      </c>
      <c r="E121">
        <v>112.224</v>
      </c>
      <c r="F121" s="1">
        <v>43485</v>
      </c>
      <c r="G121" s="2">
        <v>0.85972222222222217</v>
      </c>
      <c r="H121" t="s">
        <v>23</v>
      </c>
      <c r="I121">
        <v>106.88</v>
      </c>
      <c r="J121">
        <v>4.7619047620000003</v>
      </c>
      <c r="K121">
        <v>5.3440000000000003</v>
      </c>
      <c r="L121">
        <v>4.0999999999999996</v>
      </c>
    </row>
    <row r="122" spans="1:12" x14ac:dyDescent="0.25">
      <c r="A122" t="s">
        <v>156</v>
      </c>
      <c r="B122">
        <v>99.56</v>
      </c>
      <c r="C122">
        <v>8</v>
      </c>
      <c r="D122">
        <v>39.823999999999998</v>
      </c>
      <c r="E122">
        <v>836.30399999999997</v>
      </c>
      <c r="F122" s="1">
        <v>43510</v>
      </c>
      <c r="G122" s="2">
        <v>0.7104166666666667</v>
      </c>
      <c r="H122" t="s">
        <v>33</v>
      </c>
      <c r="I122">
        <v>796.48</v>
      </c>
      <c r="J122">
        <v>4.7619047620000003</v>
      </c>
      <c r="K122">
        <v>39.823999999999998</v>
      </c>
      <c r="L122">
        <v>5.2</v>
      </c>
    </row>
    <row r="123" spans="1:12" x14ac:dyDescent="0.25">
      <c r="A123" t="s">
        <v>157</v>
      </c>
      <c r="B123">
        <v>57.12</v>
      </c>
      <c r="C123">
        <v>7</v>
      </c>
      <c r="D123">
        <v>19.992000000000001</v>
      </c>
      <c r="E123">
        <v>419.83199999999999</v>
      </c>
      <c r="F123" s="1">
        <v>43477</v>
      </c>
      <c r="G123" s="2">
        <v>0.50138888888888888</v>
      </c>
      <c r="H123" t="s">
        <v>33</v>
      </c>
      <c r="I123">
        <v>399.84</v>
      </c>
      <c r="J123">
        <v>4.7619047620000003</v>
      </c>
      <c r="K123">
        <v>19.992000000000001</v>
      </c>
      <c r="L123">
        <v>6.5</v>
      </c>
    </row>
    <row r="124" spans="1:12" x14ac:dyDescent="0.25">
      <c r="A124" t="s">
        <v>158</v>
      </c>
      <c r="B124">
        <v>99.96</v>
      </c>
      <c r="C124">
        <v>9</v>
      </c>
      <c r="D124">
        <v>44.981999999999999</v>
      </c>
      <c r="E124">
        <v>944.62199999999996</v>
      </c>
      <c r="F124" s="1">
        <v>43533</v>
      </c>
      <c r="G124" s="2">
        <v>0.72638888888888886</v>
      </c>
      <c r="H124" t="s">
        <v>33</v>
      </c>
      <c r="I124">
        <v>899.64</v>
      </c>
      <c r="J124">
        <v>4.7619047620000003</v>
      </c>
      <c r="K124">
        <v>44.981999999999999</v>
      </c>
      <c r="L124">
        <v>4.2</v>
      </c>
    </row>
    <row r="125" spans="1:12" x14ac:dyDescent="0.25">
      <c r="A125" t="s">
        <v>159</v>
      </c>
      <c r="B125">
        <v>63.91</v>
      </c>
      <c r="C125">
        <v>8</v>
      </c>
      <c r="D125">
        <v>25.564</v>
      </c>
      <c r="E125">
        <v>536.84400000000005</v>
      </c>
      <c r="F125" s="1">
        <v>43537</v>
      </c>
      <c r="G125" s="2">
        <v>0.82777777777777783</v>
      </c>
      <c r="H125" t="s">
        <v>33</v>
      </c>
      <c r="I125">
        <v>511.28</v>
      </c>
      <c r="J125">
        <v>4.7619047620000003</v>
      </c>
      <c r="K125">
        <v>25.564</v>
      </c>
      <c r="L125">
        <v>4.5999999999999996</v>
      </c>
    </row>
    <row r="126" spans="1:12" x14ac:dyDescent="0.25">
      <c r="A126" t="s">
        <v>160</v>
      </c>
      <c r="B126">
        <v>56.47</v>
      </c>
      <c r="C126">
        <v>8</v>
      </c>
      <c r="D126">
        <v>22.588000000000001</v>
      </c>
      <c r="E126">
        <v>474.34800000000001</v>
      </c>
      <c r="F126" s="1">
        <v>43533</v>
      </c>
      <c r="G126" s="2">
        <v>0.62291666666666667</v>
      </c>
      <c r="H126" t="s">
        <v>23</v>
      </c>
      <c r="I126">
        <v>451.76</v>
      </c>
      <c r="J126">
        <v>4.7619047620000003</v>
      </c>
      <c r="K126">
        <v>22.588000000000001</v>
      </c>
      <c r="L126">
        <v>7.3</v>
      </c>
    </row>
    <row r="127" spans="1:12" x14ac:dyDescent="0.25">
      <c r="A127" t="s">
        <v>161</v>
      </c>
      <c r="B127">
        <v>93.69</v>
      </c>
      <c r="C127">
        <v>7</v>
      </c>
      <c r="D127">
        <v>32.791499999999999</v>
      </c>
      <c r="E127">
        <v>688.62149999999997</v>
      </c>
      <c r="F127" s="1">
        <v>43534</v>
      </c>
      <c r="G127" s="2">
        <v>0.78055555555555556</v>
      </c>
      <c r="H127" t="s">
        <v>33</v>
      </c>
      <c r="I127">
        <v>655.83</v>
      </c>
      <c r="J127">
        <v>4.7619047620000003</v>
      </c>
      <c r="K127">
        <v>32.791499999999999</v>
      </c>
      <c r="L127">
        <v>4.5</v>
      </c>
    </row>
    <row r="128" spans="1:12" x14ac:dyDescent="0.25">
      <c r="A128" t="s">
        <v>162</v>
      </c>
      <c r="B128">
        <v>32.25</v>
      </c>
      <c r="C128">
        <v>5</v>
      </c>
      <c r="D128">
        <v>8.0625</v>
      </c>
      <c r="E128">
        <v>169.3125</v>
      </c>
      <c r="F128" s="1">
        <v>43492</v>
      </c>
      <c r="G128" s="2">
        <v>0.55972222222222223</v>
      </c>
      <c r="H128" t="s">
        <v>29</v>
      </c>
      <c r="I128">
        <v>161.25</v>
      </c>
      <c r="J128">
        <v>4.7619047620000003</v>
      </c>
      <c r="K128">
        <v>8.0625</v>
      </c>
      <c r="L128">
        <v>9</v>
      </c>
    </row>
    <row r="129" spans="1:12" x14ac:dyDescent="0.25">
      <c r="A129" t="s">
        <v>163</v>
      </c>
      <c r="B129">
        <v>31.73</v>
      </c>
      <c r="C129">
        <v>9</v>
      </c>
      <c r="D129">
        <v>14.278499999999999</v>
      </c>
      <c r="E129">
        <v>299.8485</v>
      </c>
      <c r="F129" s="1">
        <v>43473</v>
      </c>
      <c r="G129" s="2">
        <v>0.67847222222222225</v>
      </c>
      <c r="H129" t="s">
        <v>33</v>
      </c>
      <c r="I129">
        <v>285.57</v>
      </c>
      <c r="J129">
        <v>4.7619047620000003</v>
      </c>
      <c r="K129">
        <v>14.278499999999999</v>
      </c>
      <c r="L129">
        <v>5.9</v>
      </c>
    </row>
    <row r="130" spans="1:12" x14ac:dyDescent="0.25">
      <c r="A130" t="s">
        <v>164</v>
      </c>
      <c r="B130">
        <v>68.540000000000006</v>
      </c>
      <c r="C130">
        <v>8</v>
      </c>
      <c r="D130">
        <v>27.416</v>
      </c>
      <c r="E130">
        <v>575.73599999999999</v>
      </c>
      <c r="F130" s="1">
        <v>43473</v>
      </c>
      <c r="G130" s="2">
        <v>0.6645833333333333</v>
      </c>
      <c r="H130" t="s">
        <v>23</v>
      </c>
      <c r="I130">
        <v>548.32000000000005</v>
      </c>
      <c r="J130">
        <v>4.7619047620000003</v>
      </c>
      <c r="K130">
        <v>27.416</v>
      </c>
      <c r="L130">
        <v>8.5</v>
      </c>
    </row>
    <row r="131" spans="1:12" x14ac:dyDescent="0.25">
      <c r="A131" t="s">
        <v>165</v>
      </c>
      <c r="B131">
        <v>90.28</v>
      </c>
      <c r="C131">
        <v>9</v>
      </c>
      <c r="D131">
        <v>40.625999999999998</v>
      </c>
      <c r="E131">
        <v>853.14599999999996</v>
      </c>
      <c r="F131" s="1">
        <v>43504</v>
      </c>
      <c r="G131" s="2">
        <v>0.46875</v>
      </c>
      <c r="H131" t="s">
        <v>23</v>
      </c>
      <c r="I131">
        <v>812.52</v>
      </c>
      <c r="J131">
        <v>4.7619047620000003</v>
      </c>
      <c r="K131">
        <v>40.625999999999998</v>
      </c>
      <c r="L131">
        <v>7.2</v>
      </c>
    </row>
    <row r="132" spans="1:12" x14ac:dyDescent="0.25">
      <c r="A132" t="s">
        <v>166</v>
      </c>
      <c r="B132">
        <v>39.619999999999997</v>
      </c>
      <c r="C132">
        <v>7</v>
      </c>
      <c r="D132">
        <v>13.867000000000001</v>
      </c>
      <c r="E132">
        <v>291.20699999999999</v>
      </c>
      <c r="F132" s="1">
        <v>43490</v>
      </c>
      <c r="G132" s="2">
        <v>0.5541666666666667</v>
      </c>
      <c r="H132" t="s">
        <v>29</v>
      </c>
      <c r="I132">
        <v>277.33999999999997</v>
      </c>
      <c r="J132">
        <v>4.7619047620000003</v>
      </c>
      <c r="K132">
        <v>13.867000000000001</v>
      </c>
      <c r="L132">
        <v>7.5</v>
      </c>
    </row>
    <row r="133" spans="1:12" x14ac:dyDescent="0.25">
      <c r="A133" t="s">
        <v>167</v>
      </c>
      <c r="B133">
        <v>92.13</v>
      </c>
      <c r="C133">
        <v>6</v>
      </c>
      <c r="D133">
        <v>27.638999999999999</v>
      </c>
      <c r="E133">
        <v>580.41899999999998</v>
      </c>
      <c r="F133" s="1">
        <v>43530</v>
      </c>
      <c r="G133" s="2">
        <v>0.8569444444444444</v>
      </c>
      <c r="H133" t="s">
        <v>29</v>
      </c>
      <c r="I133">
        <v>552.78</v>
      </c>
      <c r="J133">
        <v>4.7619047620000003</v>
      </c>
      <c r="K133">
        <v>27.638999999999999</v>
      </c>
      <c r="L133">
        <v>8.3000000000000007</v>
      </c>
    </row>
    <row r="134" spans="1:12" x14ac:dyDescent="0.25">
      <c r="A134" t="s">
        <v>168</v>
      </c>
      <c r="B134">
        <v>34.840000000000003</v>
      </c>
      <c r="C134">
        <v>4</v>
      </c>
      <c r="D134">
        <v>6.968</v>
      </c>
      <c r="E134">
        <v>146.328</v>
      </c>
      <c r="F134" s="1">
        <v>43506</v>
      </c>
      <c r="G134" s="2">
        <v>0.77500000000000002</v>
      </c>
      <c r="H134" t="s">
        <v>29</v>
      </c>
      <c r="I134">
        <v>139.36000000000001</v>
      </c>
      <c r="J134">
        <v>4.7619047620000003</v>
      </c>
      <c r="K134">
        <v>6.968</v>
      </c>
      <c r="L134">
        <v>7.4</v>
      </c>
    </row>
    <row r="135" spans="1:12" x14ac:dyDescent="0.25">
      <c r="A135" t="s">
        <v>169</v>
      </c>
      <c r="B135">
        <v>87.45</v>
      </c>
      <c r="C135">
        <v>6</v>
      </c>
      <c r="D135">
        <v>26.234999999999999</v>
      </c>
      <c r="E135">
        <v>550.93499999999995</v>
      </c>
      <c r="F135" s="1">
        <v>43513</v>
      </c>
      <c r="G135" s="2">
        <v>0.61111111111111105</v>
      </c>
      <c r="H135" t="s">
        <v>33</v>
      </c>
      <c r="I135">
        <v>524.70000000000005</v>
      </c>
      <c r="J135">
        <v>4.7619047620000003</v>
      </c>
      <c r="K135">
        <v>26.234999999999999</v>
      </c>
      <c r="L135">
        <v>8.8000000000000007</v>
      </c>
    </row>
    <row r="136" spans="1:12" x14ac:dyDescent="0.25">
      <c r="A136" t="s">
        <v>170</v>
      </c>
      <c r="B136">
        <v>81.3</v>
      </c>
      <c r="C136">
        <v>6</v>
      </c>
      <c r="D136">
        <v>24.39</v>
      </c>
      <c r="E136">
        <v>512.19000000000005</v>
      </c>
      <c r="F136" s="1">
        <v>43532</v>
      </c>
      <c r="G136" s="2">
        <v>0.69652777777777775</v>
      </c>
      <c r="H136" t="s">
        <v>23</v>
      </c>
      <c r="I136">
        <v>487.8</v>
      </c>
      <c r="J136">
        <v>4.7619047620000003</v>
      </c>
      <c r="K136">
        <v>24.39</v>
      </c>
      <c r="L136">
        <v>5.3</v>
      </c>
    </row>
    <row r="137" spans="1:12" x14ac:dyDescent="0.25">
      <c r="A137" t="s">
        <v>171</v>
      </c>
      <c r="B137">
        <v>90.22</v>
      </c>
      <c r="C137">
        <v>3</v>
      </c>
      <c r="D137">
        <v>13.532999999999999</v>
      </c>
      <c r="E137">
        <v>284.19299999999998</v>
      </c>
      <c r="F137" s="1">
        <v>43514</v>
      </c>
      <c r="G137" s="2">
        <v>0.81874999999999998</v>
      </c>
      <c r="H137" t="s">
        <v>29</v>
      </c>
      <c r="I137">
        <v>270.66000000000003</v>
      </c>
      <c r="J137">
        <v>4.7619047620000003</v>
      </c>
      <c r="K137">
        <v>13.532999999999999</v>
      </c>
      <c r="L137">
        <v>6.2</v>
      </c>
    </row>
    <row r="138" spans="1:12" x14ac:dyDescent="0.25">
      <c r="A138" t="s">
        <v>172</v>
      </c>
      <c r="B138">
        <v>26.31</v>
      </c>
      <c r="C138">
        <v>5</v>
      </c>
      <c r="D138">
        <v>6.5774999999999997</v>
      </c>
      <c r="E138">
        <v>138.1275</v>
      </c>
      <c r="F138" s="1">
        <v>43483</v>
      </c>
      <c r="G138" s="2">
        <v>0.87430555555555556</v>
      </c>
      <c r="H138" t="s">
        <v>33</v>
      </c>
      <c r="I138">
        <v>131.55000000000001</v>
      </c>
      <c r="J138">
        <v>4.7619047620000003</v>
      </c>
      <c r="K138">
        <v>6.5774999999999997</v>
      </c>
      <c r="L138">
        <v>8.8000000000000007</v>
      </c>
    </row>
    <row r="139" spans="1:12" x14ac:dyDescent="0.25">
      <c r="A139" t="s">
        <v>173</v>
      </c>
      <c r="B139">
        <v>34.42</v>
      </c>
      <c r="C139">
        <v>6</v>
      </c>
      <c r="D139">
        <v>10.326000000000001</v>
      </c>
      <c r="E139">
        <v>216.846</v>
      </c>
      <c r="F139" s="1">
        <v>43514</v>
      </c>
      <c r="G139" s="2">
        <v>0.65208333333333335</v>
      </c>
      <c r="H139" t="s">
        <v>29</v>
      </c>
      <c r="I139">
        <v>206.52</v>
      </c>
      <c r="J139">
        <v>4.7619047620000003</v>
      </c>
      <c r="K139">
        <v>10.326000000000001</v>
      </c>
      <c r="L139">
        <v>9.8000000000000007</v>
      </c>
    </row>
    <row r="140" spans="1:12" x14ac:dyDescent="0.25">
      <c r="A140" t="s">
        <v>174</v>
      </c>
      <c r="B140">
        <v>51.91</v>
      </c>
      <c r="C140">
        <v>10</v>
      </c>
      <c r="D140">
        <v>25.954999999999998</v>
      </c>
      <c r="E140">
        <v>545.05499999999995</v>
      </c>
      <c r="F140" s="1">
        <v>43512</v>
      </c>
      <c r="G140" s="2">
        <v>0.51458333333333328</v>
      </c>
      <c r="H140" t="s">
        <v>29</v>
      </c>
      <c r="I140">
        <v>519.1</v>
      </c>
      <c r="J140">
        <v>4.7619047620000003</v>
      </c>
      <c r="K140">
        <v>25.954999999999998</v>
      </c>
      <c r="L140">
        <v>8.1999999999999993</v>
      </c>
    </row>
    <row r="141" spans="1:12" x14ac:dyDescent="0.25">
      <c r="A141" t="s">
        <v>175</v>
      </c>
      <c r="B141">
        <v>72.5</v>
      </c>
      <c r="C141">
        <v>8</v>
      </c>
      <c r="D141">
        <v>29</v>
      </c>
      <c r="E141">
        <v>609</v>
      </c>
      <c r="F141" s="1">
        <v>43540</v>
      </c>
      <c r="G141" s="2">
        <v>0.80902777777777779</v>
      </c>
      <c r="H141" t="s">
        <v>23</v>
      </c>
      <c r="I141">
        <v>580</v>
      </c>
      <c r="J141">
        <v>4.7619047620000003</v>
      </c>
      <c r="K141">
        <v>29</v>
      </c>
      <c r="L141">
        <v>9.1999999999999993</v>
      </c>
    </row>
    <row r="142" spans="1:12" x14ac:dyDescent="0.25">
      <c r="A142" t="s">
        <v>176</v>
      </c>
      <c r="B142">
        <v>89.8</v>
      </c>
      <c r="C142">
        <v>10</v>
      </c>
      <c r="D142">
        <v>44.9</v>
      </c>
      <c r="E142">
        <v>942.9</v>
      </c>
      <c r="F142" s="1">
        <v>43488</v>
      </c>
      <c r="G142" s="2">
        <v>0.54166666666666663</v>
      </c>
      <c r="H142" t="s">
        <v>33</v>
      </c>
      <c r="I142">
        <v>898</v>
      </c>
      <c r="J142">
        <v>4.7619047620000003</v>
      </c>
      <c r="K142">
        <v>44.9</v>
      </c>
      <c r="L142">
        <v>5.4</v>
      </c>
    </row>
    <row r="143" spans="1:12" x14ac:dyDescent="0.25">
      <c r="A143" t="s">
        <v>177</v>
      </c>
      <c r="B143">
        <v>90.5</v>
      </c>
      <c r="C143">
        <v>10</v>
      </c>
      <c r="D143">
        <v>45.25</v>
      </c>
      <c r="E143">
        <v>950.25</v>
      </c>
      <c r="F143" s="1">
        <v>43490</v>
      </c>
      <c r="G143" s="2">
        <v>0.57500000000000007</v>
      </c>
      <c r="H143" t="s">
        <v>29</v>
      </c>
      <c r="I143">
        <v>905</v>
      </c>
      <c r="J143">
        <v>4.7619047620000003</v>
      </c>
      <c r="K143">
        <v>45.25</v>
      </c>
      <c r="L143">
        <v>8.1</v>
      </c>
    </row>
    <row r="144" spans="1:12" x14ac:dyDescent="0.25">
      <c r="A144" t="s">
        <v>178</v>
      </c>
      <c r="B144">
        <v>68.599999999999994</v>
      </c>
      <c r="C144">
        <v>10</v>
      </c>
      <c r="D144">
        <v>34.299999999999997</v>
      </c>
      <c r="E144">
        <v>720.3</v>
      </c>
      <c r="F144" s="1">
        <v>43501</v>
      </c>
      <c r="G144" s="2">
        <v>0.83124999999999993</v>
      </c>
      <c r="H144" t="s">
        <v>29</v>
      </c>
      <c r="I144">
        <v>686</v>
      </c>
      <c r="J144">
        <v>4.7619047620000003</v>
      </c>
      <c r="K144">
        <v>34.299999999999997</v>
      </c>
      <c r="L144">
        <v>9.1</v>
      </c>
    </row>
    <row r="145" spans="1:12" x14ac:dyDescent="0.25">
      <c r="A145" t="s">
        <v>179</v>
      </c>
      <c r="B145">
        <v>30.41</v>
      </c>
      <c r="C145">
        <v>1</v>
      </c>
      <c r="D145">
        <v>1.5205</v>
      </c>
      <c r="E145">
        <v>31.930499999999999</v>
      </c>
      <c r="F145" s="1">
        <v>43518</v>
      </c>
      <c r="G145" s="2">
        <v>0.44166666666666665</v>
      </c>
      <c r="H145" t="s">
        <v>33</v>
      </c>
      <c r="I145">
        <v>30.41</v>
      </c>
      <c r="J145">
        <v>4.7619047620000003</v>
      </c>
      <c r="K145">
        <v>1.5205</v>
      </c>
      <c r="L145">
        <v>8.4</v>
      </c>
    </row>
    <row r="146" spans="1:12" x14ac:dyDescent="0.25">
      <c r="A146" t="s">
        <v>180</v>
      </c>
      <c r="B146">
        <v>77.95</v>
      </c>
      <c r="C146">
        <v>6</v>
      </c>
      <c r="D146">
        <v>23.385000000000002</v>
      </c>
      <c r="E146">
        <v>491.08499999999998</v>
      </c>
      <c r="F146" s="1">
        <v>43486</v>
      </c>
      <c r="G146" s="2">
        <v>0.69236111111111109</v>
      </c>
      <c r="H146" t="s">
        <v>23</v>
      </c>
      <c r="I146">
        <v>467.7</v>
      </c>
      <c r="J146">
        <v>4.7619047620000003</v>
      </c>
      <c r="K146">
        <v>23.385000000000002</v>
      </c>
      <c r="L146">
        <v>8</v>
      </c>
    </row>
    <row r="147" spans="1:12" x14ac:dyDescent="0.25">
      <c r="A147" t="s">
        <v>181</v>
      </c>
      <c r="B147">
        <v>46.26</v>
      </c>
      <c r="C147">
        <v>6</v>
      </c>
      <c r="D147">
        <v>13.878</v>
      </c>
      <c r="E147">
        <v>291.43799999999999</v>
      </c>
      <c r="F147" s="1">
        <v>43532</v>
      </c>
      <c r="G147" s="2">
        <v>0.71597222222222223</v>
      </c>
      <c r="H147" t="s">
        <v>33</v>
      </c>
      <c r="I147">
        <v>277.56</v>
      </c>
      <c r="J147">
        <v>4.7619047620000003</v>
      </c>
      <c r="K147">
        <v>13.878</v>
      </c>
      <c r="L147">
        <v>9.5</v>
      </c>
    </row>
    <row r="148" spans="1:12" x14ac:dyDescent="0.25">
      <c r="A148" t="s">
        <v>182</v>
      </c>
      <c r="B148">
        <v>30.14</v>
      </c>
      <c r="C148">
        <v>10</v>
      </c>
      <c r="D148">
        <v>15.07</v>
      </c>
      <c r="E148">
        <v>316.47000000000003</v>
      </c>
      <c r="F148" s="1">
        <v>43506</v>
      </c>
      <c r="G148" s="2">
        <v>0.51944444444444449</v>
      </c>
      <c r="H148" t="s">
        <v>23</v>
      </c>
      <c r="I148">
        <v>301.39999999999998</v>
      </c>
      <c r="J148">
        <v>4.7619047620000003</v>
      </c>
      <c r="K148">
        <v>15.07</v>
      </c>
      <c r="L148">
        <v>9.1999999999999993</v>
      </c>
    </row>
    <row r="149" spans="1:12" x14ac:dyDescent="0.25">
      <c r="A149" t="s">
        <v>183</v>
      </c>
      <c r="B149">
        <v>66.14</v>
      </c>
      <c r="C149">
        <v>4</v>
      </c>
      <c r="D149">
        <v>13.228</v>
      </c>
      <c r="E149">
        <v>277.78800000000001</v>
      </c>
      <c r="F149" s="1">
        <v>43543</v>
      </c>
      <c r="G149" s="2">
        <v>0.53194444444444444</v>
      </c>
      <c r="H149" t="s">
        <v>33</v>
      </c>
      <c r="I149">
        <v>264.56</v>
      </c>
      <c r="J149">
        <v>4.7619047620000003</v>
      </c>
      <c r="K149">
        <v>13.228</v>
      </c>
      <c r="L149">
        <v>5.6</v>
      </c>
    </row>
    <row r="150" spans="1:12" x14ac:dyDescent="0.25">
      <c r="A150" t="s">
        <v>184</v>
      </c>
      <c r="B150">
        <v>71.86</v>
      </c>
      <c r="C150">
        <v>8</v>
      </c>
      <c r="D150">
        <v>28.744</v>
      </c>
      <c r="E150">
        <v>603.62400000000002</v>
      </c>
      <c r="F150" s="1">
        <v>43530</v>
      </c>
      <c r="G150" s="2">
        <v>0.62986111111111109</v>
      </c>
      <c r="H150" t="s">
        <v>33</v>
      </c>
      <c r="I150">
        <v>574.88</v>
      </c>
      <c r="J150">
        <v>4.7619047620000003</v>
      </c>
      <c r="K150">
        <v>28.744</v>
      </c>
      <c r="L150">
        <v>6.2</v>
      </c>
    </row>
    <row r="151" spans="1:12" x14ac:dyDescent="0.25">
      <c r="A151" t="s">
        <v>185</v>
      </c>
      <c r="B151">
        <v>32.46</v>
      </c>
      <c r="C151">
        <v>8</v>
      </c>
      <c r="D151">
        <v>12.984</v>
      </c>
      <c r="E151">
        <v>272.66399999999999</v>
      </c>
      <c r="F151" s="1">
        <v>43551</v>
      </c>
      <c r="G151" s="2">
        <v>0.57500000000000007</v>
      </c>
      <c r="H151" t="s">
        <v>33</v>
      </c>
      <c r="I151">
        <v>259.68</v>
      </c>
      <c r="J151">
        <v>4.7619047620000003</v>
      </c>
      <c r="K151">
        <v>12.984</v>
      </c>
      <c r="L151">
        <v>4.9000000000000004</v>
      </c>
    </row>
    <row r="152" spans="1:12" x14ac:dyDescent="0.25">
      <c r="A152" t="s">
        <v>186</v>
      </c>
      <c r="B152">
        <v>91.54</v>
      </c>
      <c r="C152">
        <v>4</v>
      </c>
      <c r="D152">
        <v>18.308</v>
      </c>
      <c r="E152">
        <v>384.46800000000002</v>
      </c>
      <c r="F152" s="1">
        <v>43547</v>
      </c>
      <c r="G152" s="2">
        <v>0.80555555555555547</v>
      </c>
      <c r="H152" t="s">
        <v>33</v>
      </c>
      <c r="I152">
        <v>366.16</v>
      </c>
      <c r="J152">
        <v>4.7619047620000003</v>
      </c>
      <c r="K152">
        <v>18.308</v>
      </c>
      <c r="L152">
        <v>4.8</v>
      </c>
    </row>
    <row r="153" spans="1:12" x14ac:dyDescent="0.25">
      <c r="A153" t="s">
        <v>187</v>
      </c>
      <c r="B153">
        <v>34.56</v>
      </c>
      <c r="C153">
        <v>7</v>
      </c>
      <c r="D153">
        <v>12.096</v>
      </c>
      <c r="E153">
        <v>254.01599999999999</v>
      </c>
      <c r="F153" s="1">
        <v>43535</v>
      </c>
      <c r="G153" s="2">
        <v>0.67152777777777783</v>
      </c>
      <c r="H153" t="s">
        <v>33</v>
      </c>
      <c r="I153">
        <v>241.92</v>
      </c>
      <c r="J153">
        <v>4.7619047620000003</v>
      </c>
      <c r="K153">
        <v>12.096</v>
      </c>
      <c r="L153">
        <v>7.3</v>
      </c>
    </row>
    <row r="154" spans="1:12" x14ac:dyDescent="0.25">
      <c r="A154" t="s">
        <v>188</v>
      </c>
      <c r="B154">
        <v>83.24</v>
      </c>
      <c r="C154">
        <v>9</v>
      </c>
      <c r="D154">
        <v>37.457999999999998</v>
      </c>
      <c r="E154">
        <v>786.61800000000005</v>
      </c>
      <c r="F154" s="1">
        <v>43494</v>
      </c>
      <c r="G154" s="2">
        <v>0.49722222222222223</v>
      </c>
      <c r="H154" t="s">
        <v>33</v>
      </c>
      <c r="I154">
        <v>749.16</v>
      </c>
      <c r="J154">
        <v>4.7619047620000003</v>
      </c>
      <c r="K154">
        <v>37.457999999999998</v>
      </c>
      <c r="L154">
        <v>7.4</v>
      </c>
    </row>
    <row r="155" spans="1:12" x14ac:dyDescent="0.25">
      <c r="A155" t="s">
        <v>189</v>
      </c>
      <c r="B155">
        <v>16.48</v>
      </c>
      <c r="C155">
        <v>6</v>
      </c>
      <c r="D155">
        <v>4.944</v>
      </c>
      <c r="E155">
        <v>103.824</v>
      </c>
      <c r="F155" s="1">
        <v>43503</v>
      </c>
      <c r="G155" s="2">
        <v>0.76597222222222217</v>
      </c>
      <c r="H155" t="s">
        <v>23</v>
      </c>
      <c r="I155">
        <v>98.88</v>
      </c>
      <c r="J155">
        <v>4.7619047620000003</v>
      </c>
      <c r="K155">
        <v>4.944</v>
      </c>
      <c r="L155">
        <v>9.9</v>
      </c>
    </row>
    <row r="156" spans="1:12" x14ac:dyDescent="0.25">
      <c r="A156" t="s">
        <v>190</v>
      </c>
      <c r="B156">
        <v>80.97</v>
      </c>
      <c r="C156">
        <v>8</v>
      </c>
      <c r="D156">
        <v>32.387999999999998</v>
      </c>
      <c r="E156">
        <v>680.14800000000002</v>
      </c>
      <c r="F156" s="1">
        <v>43493</v>
      </c>
      <c r="G156" s="2">
        <v>0.54513888888888895</v>
      </c>
      <c r="H156" t="s">
        <v>29</v>
      </c>
      <c r="I156">
        <v>647.76</v>
      </c>
      <c r="J156">
        <v>4.7619047620000003</v>
      </c>
      <c r="K156">
        <v>32.387999999999998</v>
      </c>
      <c r="L156">
        <v>9.3000000000000007</v>
      </c>
    </row>
    <row r="157" spans="1:12" x14ac:dyDescent="0.25">
      <c r="A157" t="s">
        <v>191</v>
      </c>
      <c r="B157">
        <v>92.29</v>
      </c>
      <c r="C157">
        <v>5</v>
      </c>
      <c r="D157">
        <v>23.072500000000002</v>
      </c>
      <c r="E157">
        <v>484.52249999999998</v>
      </c>
      <c r="F157" s="1">
        <v>43516</v>
      </c>
      <c r="G157" s="2">
        <v>0.66319444444444442</v>
      </c>
      <c r="H157" t="s">
        <v>33</v>
      </c>
      <c r="I157">
        <v>461.45</v>
      </c>
      <c r="J157">
        <v>4.7619047620000003</v>
      </c>
      <c r="K157">
        <v>23.072500000000002</v>
      </c>
      <c r="L157">
        <v>9</v>
      </c>
    </row>
    <row r="158" spans="1:12" x14ac:dyDescent="0.25">
      <c r="A158" t="s">
        <v>192</v>
      </c>
      <c r="B158">
        <v>72.17</v>
      </c>
      <c r="C158">
        <v>1</v>
      </c>
      <c r="D158">
        <v>3.6084999999999998</v>
      </c>
      <c r="E158">
        <v>75.778499999999994</v>
      </c>
      <c r="F158" s="1">
        <v>43469</v>
      </c>
      <c r="G158" s="2">
        <v>0.81944444444444453</v>
      </c>
      <c r="H158" t="s">
        <v>29</v>
      </c>
      <c r="I158">
        <v>72.17</v>
      </c>
      <c r="J158">
        <v>4.7619047620000003</v>
      </c>
      <c r="K158">
        <v>3.6084999999999998</v>
      </c>
      <c r="L158">
        <v>6.1</v>
      </c>
    </row>
    <row r="159" spans="1:12" x14ac:dyDescent="0.25">
      <c r="A159" t="s">
        <v>193</v>
      </c>
      <c r="B159">
        <v>50.28</v>
      </c>
      <c r="C159">
        <v>5</v>
      </c>
      <c r="D159">
        <v>12.57</v>
      </c>
      <c r="E159">
        <v>263.97000000000003</v>
      </c>
      <c r="F159" s="1">
        <v>43531</v>
      </c>
      <c r="G159" s="2">
        <v>0.58194444444444449</v>
      </c>
      <c r="H159" t="s">
        <v>23</v>
      </c>
      <c r="I159">
        <v>251.4</v>
      </c>
      <c r="J159">
        <v>4.7619047620000003</v>
      </c>
      <c r="K159">
        <v>12.57</v>
      </c>
      <c r="L159">
        <v>9.6999999999999993</v>
      </c>
    </row>
    <row r="160" spans="1:12" x14ac:dyDescent="0.25">
      <c r="A160" t="s">
        <v>194</v>
      </c>
      <c r="B160">
        <v>97.22</v>
      </c>
      <c r="C160">
        <v>9</v>
      </c>
      <c r="D160">
        <v>43.749000000000002</v>
      </c>
      <c r="E160">
        <v>918.72900000000004</v>
      </c>
      <c r="F160" s="1">
        <v>43554</v>
      </c>
      <c r="G160" s="2">
        <v>0.61319444444444449</v>
      </c>
      <c r="H160" t="s">
        <v>23</v>
      </c>
      <c r="I160">
        <v>874.98</v>
      </c>
      <c r="J160">
        <v>4.7619047620000003</v>
      </c>
      <c r="K160">
        <v>43.749000000000002</v>
      </c>
      <c r="L160">
        <v>6</v>
      </c>
    </row>
    <row r="161" spans="1:12" x14ac:dyDescent="0.25">
      <c r="A161" t="s">
        <v>195</v>
      </c>
      <c r="B161">
        <v>93.39</v>
      </c>
      <c r="C161">
        <v>6</v>
      </c>
      <c r="D161">
        <v>28.016999999999999</v>
      </c>
      <c r="E161">
        <v>588.35699999999997</v>
      </c>
      <c r="F161" s="1">
        <v>43551</v>
      </c>
      <c r="G161" s="2">
        <v>0.8041666666666667</v>
      </c>
      <c r="H161" t="s">
        <v>23</v>
      </c>
      <c r="I161">
        <v>560.34</v>
      </c>
      <c r="J161">
        <v>4.7619047620000003</v>
      </c>
      <c r="K161">
        <v>28.016999999999999</v>
      </c>
      <c r="L161">
        <v>10</v>
      </c>
    </row>
    <row r="162" spans="1:12" x14ac:dyDescent="0.25">
      <c r="A162" t="s">
        <v>196</v>
      </c>
      <c r="B162">
        <v>43.18</v>
      </c>
      <c r="C162">
        <v>8</v>
      </c>
      <c r="D162">
        <v>17.271999999999998</v>
      </c>
      <c r="E162">
        <v>362.71199999999999</v>
      </c>
      <c r="F162" s="1">
        <v>43484</v>
      </c>
      <c r="G162" s="2">
        <v>0.81874999999999998</v>
      </c>
      <c r="H162" t="s">
        <v>33</v>
      </c>
      <c r="I162">
        <v>345.44</v>
      </c>
      <c r="J162">
        <v>4.7619047620000003</v>
      </c>
      <c r="K162">
        <v>17.271999999999998</v>
      </c>
      <c r="L162">
        <v>8.3000000000000007</v>
      </c>
    </row>
    <row r="163" spans="1:12" x14ac:dyDescent="0.25">
      <c r="A163" t="s">
        <v>197</v>
      </c>
      <c r="B163">
        <v>63.69</v>
      </c>
      <c r="C163">
        <v>1</v>
      </c>
      <c r="D163">
        <v>3.1844999999999999</v>
      </c>
      <c r="E163">
        <v>66.874499999999998</v>
      </c>
      <c r="F163" s="1">
        <v>43521</v>
      </c>
      <c r="G163" s="2">
        <v>0.68125000000000002</v>
      </c>
      <c r="H163" t="s">
        <v>29</v>
      </c>
      <c r="I163">
        <v>63.69</v>
      </c>
      <c r="J163">
        <v>4.7619047620000003</v>
      </c>
      <c r="K163">
        <v>3.1844999999999999</v>
      </c>
      <c r="L163">
        <v>6</v>
      </c>
    </row>
    <row r="164" spans="1:12" x14ac:dyDescent="0.25">
      <c r="A164" t="s">
        <v>198</v>
      </c>
      <c r="B164">
        <v>45.79</v>
      </c>
      <c r="C164">
        <v>7</v>
      </c>
      <c r="D164">
        <v>16.026499999999999</v>
      </c>
      <c r="E164">
        <v>336.55650000000003</v>
      </c>
      <c r="F164" s="1">
        <v>43537</v>
      </c>
      <c r="G164" s="2">
        <v>0.8222222222222223</v>
      </c>
      <c r="H164" t="s">
        <v>33</v>
      </c>
      <c r="I164">
        <v>320.52999999999997</v>
      </c>
      <c r="J164">
        <v>4.7619047620000003</v>
      </c>
      <c r="K164">
        <v>16.026499999999999</v>
      </c>
      <c r="L164">
        <v>7</v>
      </c>
    </row>
    <row r="165" spans="1:12" x14ac:dyDescent="0.25">
      <c r="A165" t="s">
        <v>199</v>
      </c>
      <c r="B165">
        <v>76.400000000000006</v>
      </c>
      <c r="C165">
        <v>2</v>
      </c>
      <c r="D165">
        <v>7.64</v>
      </c>
      <c r="E165">
        <v>160.44</v>
      </c>
      <c r="F165" s="1">
        <v>43495</v>
      </c>
      <c r="G165" s="2">
        <v>0.8208333333333333</v>
      </c>
      <c r="H165" t="s">
        <v>23</v>
      </c>
      <c r="I165">
        <v>152.80000000000001</v>
      </c>
      <c r="J165">
        <v>4.7619047620000003</v>
      </c>
      <c r="K165">
        <v>7.64</v>
      </c>
      <c r="L165">
        <v>6.5</v>
      </c>
    </row>
    <row r="166" spans="1:12" x14ac:dyDescent="0.25">
      <c r="A166" t="s">
        <v>200</v>
      </c>
      <c r="B166">
        <v>39.9</v>
      </c>
      <c r="C166">
        <v>10</v>
      </c>
      <c r="D166">
        <v>19.95</v>
      </c>
      <c r="E166">
        <v>418.95</v>
      </c>
      <c r="F166" s="1">
        <v>43516</v>
      </c>
      <c r="G166" s="2">
        <v>0.64166666666666672</v>
      </c>
      <c r="H166" t="s">
        <v>33</v>
      </c>
      <c r="I166">
        <v>399</v>
      </c>
      <c r="J166">
        <v>4.7619047620000003</v>
      </c>
      <c r="K166">
        <v>19.95</v>
      </c>
      <c r="L166">
        <v>5.9</v>
      </c>
    </row>
    <row r="167" spans="1:12" x14ac:dyDescent="0.25">
      <c r="A167" t="s">
        <v>201</v>
      </c>
      <c r="B167">
        <v>42.57</v>
      </c>
      <c r="C167">
        <v>8</v>
      </c>
      <c r="D167">
        <v>17.027999999999999</v>
      </c>
      <c r="E167">
        <v>357.58800000000002</v>
      </c>
      <c r="F167" s="1">
        <v>43521</v>
      </c>
      <c r="G167" s="2">
        <v>0.59166666666666667</v>
      </c>
      <c r="H167" t="s">
        <v>23</v>
      </c>
      <c r="I167">
        <v>340.56</v>
      </c>
      <c r="J167">
        <v>4.7619047620000003</v>
      </c>
      <c r="K167">
        <v>17.027999999999999</v>
      </c>
      <c r="L167">
        <v>5.6</v>
      </c>
    </row>
    <row r="168" spans="1:12" x14ac:dyDescent="0.25">
      <c r="A168" t="s">
        <v>202</v>
      </c>
      <c r="B168">
        <v>95.58</v>
      </c>
      <c r="C168">
        <v>10</v>
      </c>
      <c r="D168">
        <v>47.79</v>
      </c>
      <c r="E168">
        <v>1003.59</v>
      </c>
      <c r="F168" s="1">
        <v>43481</v>
      </c>
      <c r="G168" s="2">
        <v>0.56388888888888888</v>
      </c>
      <c r="H168" t="s">
        <v>29</v>
      </c>
      <c r="I168">
        <v>955.8</v>
      </c>
      <c r="J168">
        <v>4.7619047620000003</v>
      </c>
      <c r="K168">
        <v>47.79</v>
      </c>
      <c r="L168">
        <v>4.8</v>
      </c>
    </row>
    <row r="169" spans="1:12" x14ac:dyDescent="0.25">
      <c r="A169" t="s">
        <v>203</v>
      </c>
      <c r="B169">
        <v>98.98</v>
      </c>
      <c r="C169">
        <v>10</v>
      </c>
      <c r="D169">
        <v>49.49</v>
      </c>
      <c r="E169">
        <v>1039.29</v>
      </c>
      <c r="F169" s="1">
        <v>43504</v>
      </c>
      <c r="G169" s="2">
        <v>0.68055555555555547</v>
      </c>
      <c r="H169" t="s">
        <v>33</v>
      </c>
      <c r="I169">
        <v>989.8</v>
      </c>
      <c r="J169">
        <v>4.7619047620000003</v>
      </c>
      <c r="K169">
        <v>49.49</v>
      </c>
      <c r="L169">
        <v>8.6999999999999993</v>
      </c>
    </row>
    <row r="170" spans="1:12" x14ac:dyDescent="0.25">
      <c r="A170" t="s">
        <v>204</v>
      </c>
      <c r="B170">
        <v>51.28</v>
      </c>
      <c r="C170">
        <v>6</v>
      </c>
      <c r="D170">
        <v>15.384</v>
      </c>
      <c r="E170">
        <v>323.06400000000002</v>
      </c>
      <c r="F170" s="1">
        <v>43484</v>
      </c>
      <c r="G170" s="2">
        <v>0.68819444444444444</v>
      </c>
      <c r="H170" t="s">
        <v>29</v>
      </c>
      <c r="I170">
        <v>307.68</v>
      </c>
      <c r="J170">
        <v>4.7619047620000003</v>
      </c>
      <c r="K170">
        <v>15.384</v>
      </c>
      <c r="L170">
        <v>6.5</v>
      </c>
    </row>
    <row r="171" spans="1:12" x14ac:dyDescent="0.25">
      <c r="A171" t="s">
        <v>205</v>
      </c>
      <c r="B171">
        <v>69.52</v>
      </c>
      <c r="C171">
        <v>7</v>
      </c>
      <c r="D171">
        <v>24.332000000000001</v>
      </c>
      <c r="E171">
        <v>510.97199999999998</v>
      </c>
      <c r="F171" s="1">
        <v>43497</v>
      </c>
      <c r="G171" s="2">
        <v>0.63194444444444442</v>
      </c>
      <c r="H171" t="s">
        <v>33</v>
      </c>
      <c r="I171">
        <v>486.64</v>
      </c>
      <c r="J171">
        <v>4.7619047620000003</v>
      </c>
      <c r="K171">
        <v>24.332000000000001</v>
      </c>
      <c r="L171">
        <v>8.5</v>
      </c>
    </row>
    <row r="172" spans="1:12" x14ac:dyDescent="0.25">
      <c r="A172" t="s">
        <v>206</v>
      </c>
      <c r="B172">
        <v>70.010000000000005</v>
      </c>
      <c r="C172">
        <v>5</v>
      </c>
      <c r="D172">
        <v>17.502500000000001</v>
      </c>
      <c r="E172">
        <v>367.55250000000001</v>
      </c>
      <c r="F172" s="1">
        <v>43468</v>
      </c>
      <c r="G172" s="2">
        <v>0.48333333333333334</v>
      </c>
      <c r="H172" t="s">
        <v>23</v>
      </c>
      <c r="I172">
        <v>350.05</v>
      </c>
      <c r="J172">
        <v>4.7619047620000003</v>
      </c>
      <c r="K172">
        <v>17.502500000000001</v>
      </c>
      <c r="L172">
        <v>5.5</v>
      </c>
    </row>
    <row r="173" spans="1:12" x14ac:dyDescent="0.25">
      <c r="A173" t="s">
        <v>207</v>
      </c>
      <c r="B173">
        <v>80.05</v>
      </c>
      <c r="C173">
        <v>5</v>
      </c>
      <c r="D173">
        <v>20.012499999999999</v>
      </c>
      <c r="E173">
        <v>420.26249999999999</v>
      </c>
      <c r="F173" s="1">
        <v>43491</v>
      </c>
      <c r="G173" s="2">
        <v>0.53125</v>
      </c>
      <c r="H173" t="s">
        <v>33</v>
      </c>
      <c r="I173">
        <v>400.25</v>
      </c>
      <c r="J173">
        <v>4.7619047620000003</v>
      </c>
      <c r="K173">
        <v>20.012499999999999</v>
      </c>
      <c r="L173">
        <v>9.4</v>
      </c>
    </row>
    <row r="174" spans="1:12" x14ac:dyDescent="0.25">
      <c r="A174" t="s">
        <v>208</v>
      </c>
      <c r="B174">
        <v>20.85</v>
      </c>
      <c r="C174">
        <v>8</v>
      </c>
      <c r="D174">
        <v>8.34</v>
      </c>
      <c r="E174">
        <v>175.14</v>
      </c>
      <c r="F174" s="1">
        <v>43527</v>
      </c>
      <c r="G174" s="2">
        <v>0.80347222222222225</v>
      </c>
      <c r="H174" t="s">
        <v>29</v>
      </c>
      <c r="I174">
        <v>166.8</v>
      </c>
      <c r="J174">
        <v>4.7619047620000003</v>
      </c>
      <c r="K174">
        <v>8.34</v>
      </c>
      <c r="L174">
        <v>6.3</v>
      </c>
    </row>
    <row r="175" spans="1:12" x14ac:dyDescent="0.25">
      <c r="A175" t="s">
        <v>209</v>
      </c>
      <c r="B175">
        <v>52.89</v>
      </c>
      <c r="C175">
        <v>6</v>
      </c>
      <c r="D175">
        <v>15.867000000000001</v>
      </c>
      <c r="E175">
        <v>333.20699999999999</v>
      </c>
      <c r="F175" s="1">
        <v>43484</v>
      </c>
      <c r="G175" s="2">
        <v>0.7319444444444444</v>
      </c>
      <c r="H175" t="s">
        <v>33</v>
      </c>
      <c r="I175">
        <v>317.33999999999997</v>
      </c>
      <c r="J175">
        <v>4.7619047620000003</v>
      </c>
      <c r="K175">
        <v>15.867000000000001</v>
      </c>
      <c r="L175">
        <v>9.8000000000000007</v>
      </c>
    </row>
    <row r="176" spans="1:12" x14ac:dyDescent="0.25">
      <c r="A176" t="s">
        <v>210</v>
      </c>
      <c r="B176">
        <v>19.79</v>
      </c>
      <c r="C176">
        <v>8</v>
      </c>
      <c r="D176">
        <v>7.9160000000000004</v>
      </c>
      <c r="E176">
        <v>166.23599999999999</v>
      </c>
      <c r="F176" s="1">
        <v>43483</v>
      </c>
      <c r="G176" s="2">
        <v>0.50277777777777777</v>
      </c>
      <c r="H176" t="s">
        <v>23</v>
      </c>
      <c r="I176">
        <v>158.32</v>
      </c>
      <c r="J176">
        <v>4.7619047620000003</v>
      </c>
      <c r="K176">
        <v>7.9160000000000004</v>
      </c>
      <c r="L176">
        <v>8.6999999999999993</v>
      </c>
    </row>
    <row r="177" spans="1:12" x14ac:dyDescent="0.25">
      <c r="A177" t="s">
        <v>211</v>
      </c>
      <c r="B177">
        <v>33.840000000000003</v>
      </c>
      <c r="C177">
        <v>9</v>
      </c>
      <c r="D177">
        <v>15.228</v>
      </c>
      <c r="E177">
        <v>319.78800000000001</v>
      </c>
      <c r="F177" s="1">
        <v>43545</v>
      </c>
      <c r="G177" s="2">
        <v>0.68125000000000002</v>
      </c>
      <c r="H177" t="s">
        <v>23</v>
      </c>
      <c r="I177">
        <v>304.56</v>
      </c>
      <c r="J177">
        <v>4.7619047620000003</v>
      </c>
      <c r="K177">
        <v>15.228</v>
      </c>
      <c r="L177">
        <v>8.8000000000000007</v>
      </c>
    </row>
    <row r="178" spans="1:12" x14ac:dyDescent="0.25">
      <c r="A178" t="s">
        <v>212</v>
      </c>
      <c r="B178">
        <v>22.17</v>
      </c>
      <c r="C178">
        <v>8</v>
      </c>
      <c r="D178">
        <v>8.8680000000000003</v>
      </c>
      <c r="E178">
        <v>186.22800000000001</v>
      </c>
      <c r="F178" s="1">
        <v>43527</v>
      </c>
      <c r="G178" s="2">
        <v>0.7090277777777777</v>
      </c>
      <c r="H178" t="s">
        <v>33</v>
      </c>
      <c r="I178">
        <v>177.36</v>
      </c>
      <c r="J178">
        <v>4.7619047620000003</v>
      </c>
      <c r="K178">
        <v>8.8680000000000003</v>
      </c>
      <c r="L178">
        <v>9.6</v>
      </c>
    </row>
    <row r="179" spans="1:12" x14ac:dyDescent="0.25">
      <c r="A179" t="s">
        <v>213</v>
      </c>
      <c r="B179">
        <v>22.51</v>
      </c>
      <c r="C179">
        <v>7</v>
      </c>
      <c r="D179">
        <v>7.8784999999999998</v>
      </c>
      <c r="E179">
        <v>165.4485</v>
      </c>
      <c r="F179" s="1">
        <v>43509</v>
      </c>
      <c r="G179" s="2">
        <v>0.4513888888888889</v>
      </c>
      <c r="H179" t="s">
        <v>33</v>
      </c>
      <c r="I179">
        <v>157.57</v>
      </c>
      <c r="J179">
        <v>4.7619047620000003</v>
      </c>
      <c r="K179">
        <v>7.8784999999999998</v>
      </c>
      <c r="L179">
        <v>4.8</v>
      </c>
    </row>
    <row r="180" spans="1:12" x14ac:dyDescent="0.25">
      <c r="A180" t="s">
        <v>214</v>
      </c>
      <c r="B180">
        <v>73.88</v>
      </c>
      <c r="C180">
        <v>6</v>
      </c>
      <c r="D180">
        <v>22.164000000000001</v>
      </c>
      <c r="E180">
        <v>465.44400000000002</v>
      </c>
      <c r="F180" s="1">
        <v>43547</v>
      </c>
      <c r="G180" s="2">
        <v>0.8027777777777777</v>
      </c>
      <c r="H180" t="s">
        <v>23</v>
      </c>
      <c r="I180">
        <v>443.28</v>
      </c>
      <c r="J180">
        <v>4.7619047620000003</v>
      </c>
      <c r="K180">
        <v>22.164000000000001</v>
      </c>
      <c r="L180">
        <v>4.4000000000000004</v>
      </c>
    </row>
    <row r="181" spans="1:12" x14ac:dyDescent="0.25">
      <c r="A181" t="s">
        <v>215</v>
      </c>
      <c r="B181">
        <v>86.8</v>
      </c>
      <c r="C181">
        <v>3</v>
      </c>
      <c r="D181">
        <v>13.02</v>
      </c>
      <c r="E181">
        <v>273.42</v>
      </c>
      <c r="F181" s="1">
        <v>43493</v>
      </c>
      <c r="G181" s="2">
        <v>0.69930555555555562</v>
      </c>
      <c r="H181" t="s">
        <v>23</v>
      </c>
      <c r="I181">
        <v>260.39999999999998</v>
      </c>
      <c r="J181">
        <v>4.7619047620000003</v>
      </c>
      <c r="K181">
        <v>13.02</v>
      </c>
      <c r="L181">
        <v>9.9</v>
      </c>
    </row>
    <row r="182" spans="1:12" x14ac:dyDescent="0.25">
      <c r="A182" t="s">
        <v>216</v>
      </c>
      <c r="B182">
        <v>64.260000000000005</v>
      </c>
      <c r="C182">
        <v>7</v>
      </c>
      <c r="D182">
        <v>22.491</v>
      </c>
      <c r="E182">
        <v>472.31099999999998</v>
      </c>
      <c r="F182" s="1">
        <v>43505</v>
      </c>
      <c r="G182" s="2">
        <v>0.41666666666666669</v>
      </c>
      <c r="H182" t="s">
        <v>29</v>
      </c>
      <c r="I182">
        <v>449.82</v>
      </c>
      <c r="J182">
        <v>4.7619047620000003</v>
      </c>
      <c r="K182">
        <v>22.491</v>
      </c>
      <c r="L182">
        <v>5.7</v>
      </c>
    </row>
    <row r="183" spans="1:12" x14ac:dyDescent="0.25">
      <c r="A183" t="s">
        <v>217</v>
      </c>
      <c r="B183">
        <v>38.47</v>
      </c>
      <c r="C183">
        <v>8</v>
      </c>
      <c r="D183">
        <v>15.388</v>
      </c>
      <c r="E183">
        <v>323.14800000000002</v>
      </c>
      <c r="F183" s="1">
        <v>43488</v>
      </c>
      <c r="G183" s="2">
        <v>0.49374999999999997</v>
      </c>
      <c r="H183" t="s">
        <v>29</v>
      </c>
      <c r="I183">
        <v>307.76</v>
      </c>
      <c r="J183">
        <v>4.7619047620000003</v>
      </c>
      <c r="K183">
        <v>15.388</v>
      </c>
      <c r="L183">
        <v>7.7</v>
      </c>
    </row>
    <row r="184" spans="1:12" x14ac:dyDescent="0.25">
      <c r="A184" t="s">
        <v>218</v>
      </c>
      <c r="B184">
        <v>15.5</v>
      </c>
      <c r="C184">
        <v>10</v>
      </c>
      <c r="D184">
        <v>7.75</v>
      </c>
      <c r="E184">
        <v>162.75</v>
      </c>
      <c r="F184" s="1">
        <v>43547</v>
      </c>
      <c r="G184" s="2">
        <v>0.4548611111111111</v>
      </c>
      <c r="H184" t="s">
        <v>23</v>
      </c>
      <c r="I184">
        <v>155</v>
      </c>
      <c r="J184">
        <v>4.7619047620000003</v>
      </c>
      <c r="K184">
        <v>7.75</v>
      </c>
      <c r="L184">
        <v>8</v>
      </c>
    </row>
    <row r="185" spans="1:12" x14ac:dyDescent="0.25">
      <c r="A185" t="s">
        <v>219</v>
      </c>
      <c r="B185">
        <v>34.31</v>
      </c>
      <c r="C185">
        <v>8</v>
      </c>
      <c r="D185">
        <v>13.724</v>
      </c>
      <c r="E185">
        <v>288.20400000000001</v>
      </c>
      <c r="F185" s="1">
        <v>43490</v>
      </c>
      <c r="G185" s="2">
        <v>0.625</v>
      </c>
      <c r="H185" t="s">
        <v>23</v>
      </c>
      <c r="I185">
        <v>274.48</v>
      </c>
      <c r="J185">
        <v>4.7619047620000003</v>
      </c>
      <c r="K185">
        <v>13.724</v>
      </c>
      <c r="L185">
        <v>5.7</v>
      </c>
    </row>
    <row r="186" spans="1:12" x14ac:dyDescent="0.25">
      <c r="A186" t="s">
        <v>220</v>
      </c>
      <c r="B186">
        <v>12.34</v>
      </c>
      <c r="C186">
        <v>7</v>
      </c>
      <c r="D186">
        <v>4.319</v>
      </c>
      <c r="E186">
        <v>90.698999999999998</v>
      </c>
      <c r="F186" s="1">
        <v>43528</v>
      </c>
      <c r="G186" s="2">
        <v>0.47152777777777777</v>
      </c>
      <c r="H186" t="s">
        <v>33</v>
      </c>
      <c r="I186">
        <v>86.38</v>
      </c>
      <c r="J186">
        <v>4.7619047620000003</v>
      </c>
      <c r="K186">
        <v>4.319</v>
      </c>
      <c r="L186">
        <v>6.7</v>
      </c>
    </row>
    <row r="187" spans="1:12" x14ac:dyDescent="0.25">
      <c r="A187" t="s">
        <v>221</v>
      </c>
      <c r="B187">
        <v>18.079999999999998</v>
      </c>
      <c r="C187">
        <v>3</v>
      </c>
      <c r="D187">
        <v>2.7120000000000002</v>
      </c>
      <c r="E187">
        <v>56.951999999999998</v>
      </c>
      <c r="F187" s="1">
        <v>43529</v>
      </c>
      <c r="G187" s="2">
        <v>0.82361111111111107</v>
      </c>
      <c r="H187" t="s">
        <v>23</v>
      </c>
      <c r="I187">
        <v>54.24</v>
      </c>
      <c r="J187">
        <v>4.7619047620000003</v>
      </c>
      <c r="K187">
        <v>2.7120000000000002</v>
      </c>
      <c r="L187">
        <v>8</v>
      </c>
    </row>
    <row r="188" spans="1:12" x14ac:dyDescent="0.25">
      <c r="A188" t="s">
        <v>222</v>
      </c>
      <c r="B188">
        <v>94.49</v>
      </c>
      <c r="C188">
        <v>8</v>
      </c>
      <c r="D188">
        <v>37.795999999999999</v>
      </c>
      <c r="E188">
        <v>793.71600000000001</v>
      </c>
      <c r="F188" s="1">
        <v>43527</v>
      </c>
      <c r="G188" s="2">
        <v>0.79166666666666663</v>
      </c>
      <c r="H188" t="s">
        <v>23</v>
      </c>
      <c r="I188">
        <v>755.92</v>
      </c>
      <c r="J188">
        <v>4.7619047620000003</v>
      </c>
      <c r="K188">
        <v>37.795999999999999</v>
      </c>
      <c r="L188">
        <v>7.5</v>
      </c>
    </row>
    <row r="189" spans="1:12" x14ac:dyDescent="0.25">
      <c r="A189" t="s">
        <v>223</v>
      </c>
      <c r="B189">
        <v>46.47</v>
      </c>
      <c r="C189">
        <v>4</v>
      </c>
      <c r="D189">
        <v>9.2940000000000005</v>
      </c>
      <c r="E189">
        <v>195.17400000000001</v>
      </c>
      <c r="F189" s="1">
        <v>43504</v>
      </c>
      <c r="G189" s="2">
        <v>0.45347222222222222</v>
      </c>
      <c r="H189" t="s">
        <v>29</v>
      </c>
      <c r="I189">
        <v>185.88</v>
      </c>
      <c r="J189">
        <v>4.7619047620000003</v>
      </c>
      <c r="K189">
        <v>9.2940000000000005</v>
      </c>
      <c r="L189">
        <v>7</v>
      </c>
    </row>
    <row r="190" spans="1:12" x14ac:dyDescent="0.25">
      <c r="A190" t="s">
        <v>224</v>
      </c>
      <c r="B190">
        <v>74.069999999999993</v>
      </c>
      <c r="C190">
        <v>1</v>
      </c>
      <c r="D190">
        <v>3.7035</v>
      </c>
      <c r="E190">
        <v>77.773499999999999</v>
      </c>
      <c r="F190" s="1">
        <v>43506</v>
      </c>
      <c r="G190" s="2">
        <v>0.53472222222222221</v>
      </c>
      <c r="H190" t="s">
        <v>23</v>
      </c>
      <c r="I190">
        <v>74.069999999999993</v>
      </c>
      <c r="J190">
        <v>4.7619047620000003</v>
      </c>
      <c r="K190">
        <v>3.7035</v>
      </c>
      <c r="L190">
        <v>9.9</v>
      </c>
    </row>
    <row r="191" spans="1:12" x14ac:dyDescent="0.25">
      <c r="A191" t="s">
        <v>225</v>
      </c>
      <c r="B191">
        <v>69.81</v>
      </c>
      <c r="C191">
        <v>4</v>
      </c>
      <c r="D191">
        <v>13.962</v>
      </c>
      <c r="E191">
        <v>293.202</v>
      </c>
      <c r="F191" s="1">
        <v>43493</v>
      </c>
      <c r="G191" s="2">
        <v>0.86805555555555547</v>
      </c>
      <c r="H191" t="s">
        <v>33</v>
      </c>
      <c r="I191">
        <v>279.24</v>
      </c>
      <c r="J191">
        <v>4.7619047620000003</v>
      </c>
      <c r="K191">
        <v>13.962</v>
      </c>
      <c r="L191">
        <v>5.9</v>
      </c>
    </row>
    <row r="192" spans="1:12" x14ac:dyDescent="0.25">
      <c r="A192" t="s">
        <v>226</v>
      </c>
      <c r="B192">
        <v>77.040000000000006</v>
      </c>
      <c r="C192">
        <v>3</v>
      </c>
      <c r="D192">
        <v>11.555999999999999</v>
      </c>
      <c r="E192">
        <v>242.67599999999999</v>
      </c>
      <c r="F192" s="1">
        <v>43507</v>
      </c>
      <c r="G192" s="2">
        <v>0.44375000000000003</v>
      </c>
      <c r="H192" t="s">
        <v>33</v>
      </c>
      <c r="I192">
        <v>231.12</v>
      </c>
      <c r="J192">
        <v>4.7619047620000003</v>
      </c>
      <c r="K192">
        <v>11.555999999999999</v>
      </c>
      <c r="L192">
        <v>7.2</v>
      </c>
    </row>
    <row r="193" spans="1:12" x14ac:dyDescent="0.25">
      <c r="A193" t="s">
        <v>227</v>
      </c>
      <c r="B193">
        <v>73.52</v>
      </c>
      <c r="C193">
        <v>2</v>
      </c>
      <c r="D193">
        <v>7.3520000000000003</v>
      </c>
      <c r="E193">
        <v>154.392</v>
      </c>
      <c r="F193" s="1">
        <v>43480</v>
      </c>
      <c r="G193" s="2">
        <v>0.57013888888888886</v>
      </c>
      <c r="H193" t="s">
        <v>23</v>
      </c>
      <c r="I193">
        <v>147.04</v>
      </c>
      <c r="J193">
        <v>4.7619047620000003</v>
      </c>
      <c r="K193">
        <v>7.3520000000000003</v>
      </c>
      <c r="L193">
        <v>4.5999999999999996</v>
      </c>
    </row>
    <row r="194" spans="1:12" x14ac:dyDescent="0.25">
      <c r="A194" t="s">
        <v>228</v>
      </c>
      <c r="B194">
        <v>87.8</v>
      </c>
      <c r="C194">
        <v>9</v>
      </c>
      <c r="D194">
        <v>39.51</v>
      </c>
      <c r="E194">
        <v>829.71</v>
      </c>
      <c r="F194" s="1">
        <v>43540</v>
      </c>
      <c r="G194" s="2">
        <v>0.79722222222222217</v>
      </c>
      <c r="H194" t="s">
        <v>29</v>
      </c>
      <c r="I194">
        <v>790.2</v>
      </c>
      <c r="J194">
        <v>4.7619047620000003</v>
      </c>
      <c r="K194">
        <v>39.51</v>
      </c>
      <c r="L194">
        <v>9.1999999999999993</v>
      </c>
    </row>
    <row r="195" spans="1:12" x14ac:dyDescent="0.25">
      <c r="A195" t="s">
        <v>229</v>
      </c>
      <c r="B195">
        <v>25.55</v>
      </c>
      <c r="C195">
        <v>4</v>
      </c>
      <c r="D195">
        <v>5.1100000000000003</v>
      </c>
      <c r="E195">
        <v>107.31</v>
      </c>
      <c r="F195" s="1">
        <v>43491</v>
      </c>
      <c r="G195" s="2">
        <v>0.84930555555555554</v>
      </c>
      <c r="H195" t="s">
        <v>23</v>
      </c>
      <c r="I195">
        <v>102.2</v>
      </c>
      <c r="J195">
        <v>4.7619047620000003</v>
      </c>
      <c r="K195">
        <v>5.1100000000000003</v>
      </c>
      <c r="L195">
        <v>5.7</v>
      </c>
    </row>
    <row r="196" spans="1:12" x14ac:dyDescent="0.25">
      <c r="A196" t="s">
        <v>230</v>
      </c>
      <c r="B196">
        <v>32.71</v>
      </c>
      <c r="C196">
        <v>5</v>
      </c>
      <c r="D196">
        <v>8.1775000000000002</v>
      </c>
      <c r="E196">
        <v>171.72749999999999</v>
      </c>
      <c r="F196" s="1">
        <v>43543</v>
      </c>
      <c r="G196" s="2">
        <v>0.47916666666666669</v>
      </c>
      <c r="H196" t="s">
        <v>33</v>
      </c>
      <c r="I196">
        <v>163.55000000000001</v>
      </c>
      <c r="J196">
        <v>4.7619047620000003</v>
      </c>
      <c r="K196">
        <v>8.1775000000000002</v>
      </c>
      <c r="L196">
        <v>9.9</v>
      </c>
    </row>
    <row r="197" spans="1:12" x14ac:dyDescent="0.25">
      <c r="A197" t="s">
        <v>231</v>
      </c>
      <c r="B197">
        <v>74.290000000000006</v>
      </c>
      <c r="C197">
        <v>1</v>
      </c>
      <c r="D197">
        <v>3.7145000000000001</v>
      </c>
      <c r="E197">
        <v>78.004499999999993</v>
      </c>
      <c r="F197" s="1">
        <v>43478</v>
      </c>
      <c r="G197" s="2">
        <v>0.8125</v>
      </c>
      <c r="H197" t="s">
        <v>29</v>
      </c>
      <c r="I197">
        <v>74.290000000000006</v>
      </c>
      <c r="J197">
        <v>4.7619047620000003</v>
      </c>
      <c r="K197">
        <v>3.7145000000000001</v>
      </c>
      <c r="L197">
        <v>5</v>
      </c>
    </row>
    <row r="198" spans="1:12" x14ac:dyDescent="0.25">
      <c r="A198" t="s">
        <v>232</v>
      </c>
      <c r="B198">
        <v>43.7</v>
      </c>
      <c r="C198">
        <v>2</v>
      </c>
      <c r="D198">
        <v>4.37</v>
      </c>
      <c r="E198">
        <v>91.77</v>
      </c>
      <c r="F198" s="1">
        <v>43550</v>
      </c>
      <c r="G198" s="2">
        <v>0.75208333333333333</v>
      </c>
      <c r="H198" t="s">
        <v>29</v>
      </c>
      <c r="I198">
        <v>87.4</v>
      </c>
      <c r="J198">
        <v>4.7619047620000003</v>
      </c>
      <c r="K198">
        <v>4.37</v>
      </c>
      <c r="L198">
        <v>4.9000000000000004</v>
      </c>
    </row>
    <row r="199" spans="1:12" x14ac:dyDescent="0.25">
      <c r="A199" t="s">
        <v>233</v>
      </c>
      <c r="B199">
        <v>25.29</v>
      </c>
      <c r="C199">
        <v>1</v>
      </c>
      <c r="D199">
        <v>1.2645</v>
      </c>
      <c r="E199">
        <v>26.554500000000001</v>
      </c>
      <c r="F199" s="1">
        <v>43547</v>
      </c>
      <c r="G199" s="2">
        <v>0.42569444444444443</v>
      </c>
      <c r="H199" t="s">
        <v>23</v>
      </c>
      <c r="I199">
        <v>25.29</v>
      </c>
      <c r="J199">
        <v>4.7619047620000003</v>
      </c>
      <c r="K199">
        <v>1.2645</v>
      </c>
      <c r="L199">
        <v>6.1</v>
      </c>
    </row>
    <row r="200" spans="1:12" x14ac:dyDescent="0.25">
      <c r="A200" t="s">
        <v>234</v>
      </c>
      <c r="B200">
        <v>41.5</v>
      </c>
      <c r="C200">
        <v>4</v>
      </c>
      <c r="D200">
        <v>8.3000000000000007</v>
      </c>
      <c r="E200">
        <v>174.3</v>
      </c>
      <c r="F200" s="1">
        <v>43536</v>
      </c>
      <c r="G200" s="2">
        <v>0.83194444444444438</v>
      </c>
      <c r="H200" t="s">
        <v>33</v>
      </c>
      <c r="I200">
        <v>166</v>
      </c>
      <c r="J200">
        <v>4.7619047620000003</v>
      </c>
      <c r="K200">
        <v>8.3000000000000007</v>
      </c>
      <c r="L200">
        <v>8.1999999999999993</v>
      </c>
    </row>
    <row r="201" spans="1:12" x14ac:dyDescent="0.25">
      <c r="A201" t="s">
        <v>235</v>
      </c>
      <c r="B201">
        <v>71.39</v>
      </c>
      <c r="C201">
        <v>5</v>
      </c>
      <c r="D201">
        <v>17.8475</v>
      </c>
      <c r="E201">
        <v>374.79750000000001</v>
      </c>
      <c r="F201" s="1">
        <v>43513</v>
      </c>
      <c r="G201" s="2">
        <v>0.83124999999999993</v>
      </c>
      <c r="H201" t="s">
        <v>33</v>
      </c>
      <c r="I201">
        <v>356.95</v>
      </c>
      <c r="J201">
        <v>4.7619047620000003</v>
      </c>
      <c r="K201">
        <v>17.8475</v>
      </c>
      <c r="L201">
        <v>5.5</v>
      </c>
    </row>
    <row r="202" spans="1:12" x14ac:dyDescent="0.25">
      <c r="A202" t="s">
        <v>236</v>
      </c>
      <c r="B202">
        <v>19.149999999999999</v>
      </c>
      <c r="C202">
        <v>6</v>
      </c>
      <c r="D202">
        <v>5.7450000000000001</v>
      </c>
      <c r="E202">
        <v>120.645</v>
      </c>
      <c r="F202" s="1">
        <v>43494</v>
      </c>
      <c r="G202" s="2">
        <v>0.41736111111111113</v>
      </c>
      <c r="H202" t="s">
        <v>33</v>
      </c>
      <c r="I202">
        <v>114.9</v>
      </c>
      <c r="J202">
        <v>4.7619047620000003</v>
      </c>
      <c r="K202">
        <v>5.7450000000000001</v>
      </c>
      <c r="L202">
        <v>6.8</v>
      </c>
    </row>
    <row r="203" spans="1:12" x14ac:dyDescent="0.25">
      <c r="A203" t="s">
        <v>237</v>
      </c>
      <c r="B203">
        <v>57.49</v>
      </c>
      <c r="C203">
        <v>4</v>
      </c>
      <c r="D203">
        <v>11.497999999999999</v>
      </c>
      <c r="E203">
        <v>241.458</v>
      </c>
      <c r="F203" s="1">
        <v>43539</v>
      </c>
      <c r="G203" s="2">
        <v>0.49791666666666662</v>
      </c>
      <c r="H203" t="s">
        <v>29</v>
      </c>
      <c r="I203">
        <v>229.96</v>
      </c>
      <c r="J203">
        <v>4.7619047620000003</v>
      </c>
      <c r="K203">
        <v>11.497999999999999</v>
      </c>
      <c r="L203">
        <v>6.6</v>
      </c>
    </row>
    <row r="204" spans="1:12" x14ac:dyDescent="0.25">
      <c r="A204" t="s">
        <v>238</v>
      </c>
      <c r="B204">
        <v>61.41</v>
      </c>
      <c r="C204">
        <v>7</v>
      </c>
      <c r="D204">
        <v>21.493500000000001</v>
      </c>
      <c r="E204">
        <v>451.36349999999999</v>
      </c>
      <c r="F204" s="1">
        <v>43479</v>
      </c>
      <c r="G204" s="2">
        <v>0.41805555555555557</v>
      </c>
      <c r="H204" t="s">
        <v>29</v>
      </c>
      <c r="I204">
        <v>429.87</v>
      </c>
      <c r="J204">
        <v>4.7619047620000003</v>
      </c>
      <c r="K204">
        <v>21.493500000000001</v>
      </c>
      <c r="L204">
        <v>9.8000000000000007</v>
      </c>
    </row>
    <row r="205" spans="1:12" x14ac:dyDescent="0.25">
      <c r="A205" t="s">
        <v>239</v>
      </c>
      <c r="B205">
        <v>25.9</v>
      </c>
      <c r="C205">
        <v>10</v>
      </c>
      <c r="D205">
        <v>12.95</v>
      </c>
      <c r="E205">
        <v>271.95</v>
      </c>
      <c r="F205" s="1">
        <v>43502</v>
      </c>
      <c r="G205" s="2">
        <v>0.61875000000000002</v>
      </c>
      <c r="H205" t="s">
        <v>23</v>
      </c>
      <c r="I205">
        <v>259</v>
      </c>
      <c r="J205">
        <v>4.7619047620000003</v>
      </c>
      <c r="K205">
        <v>12.95</v>
      </c>
      <c r="L205">
        <v>8.6999999999999993</v>
      </c>
    </row>
    <row r="206" spans="1:12" x14ac:dyDescent="0.25">
      <c r="A206" t="s">
        <v>240</v>
      </c>
      <c r="B206">
        <v>17.77</v>
      </c>
      <c r="C206">
        <v>5</v>
      </c>
      <c r="D206">
        <v>4.4424999999999999</v>
      </c>
      <c r="E206">
        <v>93.292500000000004</v>
      </c>
      <c r="F206" s="1">
        <v>43511</v>
      </c>
      <c r="G206" s="2">
        <v>0.52916666666666667</v>
      </c>
      <c r="H206" t="s">
        <v>33</v>
      </c>
      <c r="I206">
        <v>88.85</v>
      </c>
      <c r="J206">
        <v>4.7619047620000003</v>
      </c>
      <c r="K206">
        <v>4.4424999999999999</v>
      </c>
      <c r="L206">
        <v>5.4</v>
      </c>
    </row>
    <row r="207" spans="1:12" x14ac:dyDescent="0.25">
      <c r="A207" t="s">
        <v>241</v>
      </c>
      <c r="B207">
        <v>23.03</v>
      </c>
      <c r="C207">
        <v>9</v>
      </c>
      <c r="D207">
        <v>10.3635</v>
      </c>
      <c r="E207">
        <v>217.6335</v>
      </c>
      <c r="F207" s="1">
        <v>43468</v>
      </c>
      <c r="G207" s="2">
        <v>0.50138888888888888</v>
      </c>
      <c r="H207" t="s">
        <v>23</v>
      </c>
      <c r="I207">
        <v>207.27</v>
      </c>
      <c r="J207">
        <v>4.7619047620000003</v>
      </c>
      <c r="K207">
        <v>10.3635</v>
      </c>
      <c r="L207">
        <v>7.9</v>
      </c>
    </row>
    <row r="208" spans="1:12" x14ac:dyDescent="0.25">
      <c r="A208" t="s">
        <v>242</v>
      </c>
      <c r="B208">
        <v>66.650000000000006</v>
      </c>
      <c r="C208">
        <v>9</v>
      </c>
      <c r="D208">
        <v>29.9925</v>
      </c>
      <c r="E208">
        <v>629.84249999999997</v>
      </c>
      <c r="F208" s="1">
        <v>43469</v>
      </c>
      <c r="G208" s="2">
        <v>0.7631944444444444</v>
      </c>
      <c r="H208" t="s">
        <v>33</v>
      </c>
      <c r="I208">
        <v>599.85</v>
      </c>
      <c r="J208">
        <v>4.7619047620000003</v>
      </c>
      <c r="K208">
        <v>29.9925</v>
      </c>
      <c r="L208">
        <v>9.6999999999999993</v>
      </c>
    </row>
    <row r="209" spans="1:12" x14ac:dyDescent="0.25">
      <c r="A209" t="s">
        <v>243</v>
      </c>
      <c r="B209">
        <v>28.53</v>
      </c>
      <c r="C209">
        <v>10</v>
      </c>
      <c r="D209">
        <v>14.265000000000001</v>
      </c>
      <c r="E209">
        <v>299.565</v>
      </c>
      <c r="F209" s="1">
        <v>43542</v>
      </c>
      <c r="G209" s="2">
        <v>0.73472222222222217</v>
      </c>
      <c r="H209" t="s">
        <v>23</v>
      </c>
      <c r="I209">
        <v>285.3</v>
      </c>
      <c r="J209">
        <v>4.7619047620000003</v>
      </c>
      <c r="K209">
        <v>14.265000000000001</v>
      </c>
      <c r="L209">
        <v>7.8</v>
      </c>
    </row>
    <row r="210" spans="1:12" x14ac:dyDescent="0.25">
      <c r="A210" t="s">
        <v>244</v>
      </c>
      <c r="B210">
        <v>30.37</v>
      </c>
      <c r="C210">
        <v>3</v>
      </c>
      <c r="D210">
        <v>4.5555000000000003</v>
      </c>
      <c r="E210">
        <v>95.665499999999994</v>
      </c>
      <c r="F210" s="1">
        <v>43552</v>
      </c>
      <c r="G210" s="2">
        <v>0.57013888888888886</v>
      </c>
      <c r="H210" t="s">
        <v>23</v>
      </c>
      <c r="I210">
        <v>91.11</v>
      </c>
      <c r="J210">
        <v>4.7619047620000003</v>
      </c>
      <c r="K210">
        <v>4.5555000000000003</v>
      </c>
      <c r="L210">
        <v>5.0999999999999996</v>
      </c>
    </row>
    <row r="211" spans="1:12" x14ac:dyDescent="0.25">
      <c r="A211" t="s">
        <v>245</v>
      </c>
      <c r="B211">
        <v>99.73</v>
      </c>
      <c r="C211">
        <v>9</v>
      </c>
      <c r="D211">
        <v>44.878500000000003</v>
      </c>
      <c r="E211">
        <v>942.44849999999997</v>
      </c>
      <c r="F211" s="1">
        <v>43526</v>
      </c>
      <c r="G211" s="2">
        <v>0.8208333333333333</v>
      </c>
      <c r="H211" t="s">
        <v>33</v>
      </c>
      <c r="I211">
        <v>897.57</v>
      </c>
      <c r="J211">
        <v>4.7619047620000003</v>
      </c>
      <c r="K211">
        <v>44.878500000000003</v>
      </c>
      <c r="L211">
        <v>6.5</v>
      </c>
    </row>
    <row r="212" spans="1:12" x14ac:dyDescent="0.25">
      <c r="A212" t="s">
        <v>246</v>
      </c>
      <c r="B212">
        <v>26.23</v>
      </c>
      <c r="C212">
        <v>9</v>
      </c>
      <c r="D212">
        <v>11.8035</v>
      </c>
      <c r="E212">
        <v>247.87350000000001</v>
      </c>
      <c r="F212" s="1">
        <v>43490</v>
      </c>
      <c r="G212" s="2">
        <v>0.85</v>
      </c>
      <c r="H212" t="s">
        <v>23</v>
      </c>
      <c r="I212">
        <v>236.07</v>
      </c>
      <c r="J212">
        <v>4.7619047620000003</v>
      </c>
      <c r="K212">
        <v>11.8035</v>
      </c>
      <c r="L212">
        <v>5.9</v>
      </c>
    </row>
    <row r="213" spans="1:12" x14ac:dyDescent="0.25">
      <c r="A213" t="s">
        <v>247</v>
      </c>
      <c r="B213">
        <v>93.26</v>
      </c>
      <c r="C213">
        <v>9</v>
      </c>
      <c r="D213">
        <v>41.966999999999999</v>
      </c>
      <c r="E213">
        <v>881.30700000000002</v>
      </c>
      <c r="F213" s="1">
        <v>43481</v>
      </c>
      <c r="G213" s="2">
        <v>0.75555555555555554</v>
      </c>
      <c r="H213" t="s">
        <v>29</v>
      </c>
      <c r="I213">
        <v>839.34</v>
      </c>
      <c r="J213">
        <v>4.7619047620000003</v>
      </c>
      <c r="K213">
        <v>41.966999999999999</v>
      </c>
      <c r="L213">
        <v>8.8000000000000007</v>
      </c>
    </row>
    <row r="214" spans="1:12" x14ac:dyDescent="0.25">
      <c r="A214" t="s">
        <v>248</v>
      </c>
      <c r="B214">
        <v>92.36</v>
      </c>
      <c r="C214">
        <v>5</v>
      </c>
      <c r="D214">
        <v>23.09</v>
      </c>
      <c r="E214">
        <v>484.89</v>
      </c>
      <c r="F214" s="1">
        <v>43544</v>
      </c>
      <c r="G214" s="2">
        <v>0.80347222222222225</v>
      </c>
      <c r="H214" t="s">
        <v>23</v>
      </c>
      <c r="I214">
        <v>461.8</v>
      </c>
      <c r="J214">
        <v>4.7619047620000003</v>
      </c>
      <c r="K214">
        <v>23.09</v>
      </c>
      <c r="L214">
        <v>4.9000000000000004</v>
      </c>
    </row>
    <row r="215" spans="1:12" x14ac:dyDescent="0.25">
      <c r="A215" t="s">
        <v>249</v>
      </c>
      <c r="B215">
        <v>46.42</v>
      </c>
      <c r="C215">
        <v>3</v>
      </c>
      <c r="D215">
        <v>6.9630000000000001</v>
      </c>
      <c r="E215">
        <v>146.22300000000001</v>
      </c>
      <c r="F215" s="1">
        <v>43469</v>
      </c>
      <c r="G215" s="2">
        <v>0.55833333333333335</v>
      </c>
      <c r="H215" t="s">
        <v>33</v>
      </c>
      <c r="I215">
        <v>139.26</v>
      </c>
      <c r="J215">
        <v>4.7619047620000003</v>
      </c>
      <c r="K215">
        <v>6.9630000000000001</v>
      </c>
      <c r="L215">
        <v>4.4000000000000004</v>
      </c>
    </row>
    <row r="216" spans="1:12" x14ac:dyDescent="0.25">
      <c r="A216" t="s">
        <v>250</v>
      </c>
      <c r="B216">
        <v>29.61</v>
      </c>
      <c r="C216">
        <v>7</v>
      </c>
      <c r="D216">
        <v>10.3635</v>
      </c>
      <c r="E216">
        <v>217.6335</v>
      </c>
      <c r="F216" s="1">
        <v>43535</v>
      </c>
      <c r="G216" s="2">
        <v>0.66180555555555554</v>
      </c>
      <c r="H216" t="s">
        <v>29</v>
      </c>
      <c r="I216">
        <v>207.27</v>
      </c>
      <c r="J216">
        <v>4.7619047620000003</v>
      </c>
      <c r="K216">
        <v>10.3635</v>
      </c>
      <c r="L216">
        <v>6.5</v>
      </c>
    </row>
    <row r="217" spans="1:12" x14ac:dyDescent="0.25">
      <c r="A217" t="s">
        <v>251</v>
      </c>
      <c r="B217">
        <v>18.28</v>
      </c>
      <c r="C217">
        <v>1</v>
      </c>
      <c r="D217">
        <v>0.91400000000000003</v>
      </c>
      <c r="E217">
        <v>19.193999999999999</v>
      </c>
      <c r="F217" s="1">
        <v>43546</v>
      </c>
      <c r="G217" s="2">
        <v>0.62847222222222221</v>
      </c>
      <c r="H217" t="s">
        <v>33</v>
      </c>
      <c r="I217">
        <v>18.28</v>
      </c>
      <c r="J217">
        <v>4.7619047620000003</v>
      </c>
      <c r="K217">
        <v>0.91400000000000003</v>
      </c>
      <c r="L217">
        <v>8.3000000000000007</v>
      </c>
    </row>
    <row r="218" spans="1:12" x14ac:dyDescent="0.25">
      <c r="A218" t="s">
        <v>252</v>
      </c>
      <c r="B218">
        <v>24.77</v>
      </c>
      <c r="C218">
        <v>5</v>
      </c>
      <c r="D218">
        <v>6.1924999999999999</v>
      </c>
      <c r="E218">
        <v>130.04249999999999</v>
      </c>
      <c r="F218" s="1">
        <v>43548</v>
      </c>
      <c r="G218" s="2">
        <v>0.76874999999999993</v>
      </c>
      <c r="H218" t="s">
        <v>29</v>
      </c>
      <c r="I218">
        <v>123.85</v>
      </c>
      <c r="J218">
        <v>4.7619047620000003</v>
      </c>
      <c r="K218">
        <v>6.1924999999999999</v>
      </c>
      <c r="L218">
        <v>8.5</v>
      </c>
    </row>
    <row r="219" spans="1:12" x14ac:dyDescent="0.25">
      <c r="A219" t="s">
        <v>253</v>
      </c>
      <c r="B219">
        <v>94.64</v>
      </c>
      <c r="C219">
        <v>3</v>
      </c>
      <c r="D219">
        <v>14.196</v>
      </c>
      <c r="E219">
        <v>298.11599999999999</v>
      </c>
      <c r="F219" s="1">
        <v>43517</v>
      </c>
      <c r="G219" s="2">
        <v>0.70486111111111116</v>
      </c>
      <c r="H219" t="s">
        <v>29</v>
      </c>
      <c r="I219">
        <v>283.92</v>
      </c>
      <c r="J219">
        <v>4.7619047620000003</v>
      </c>
      <c r="K219">
        <v>14.196</v>
      </c>
      <c r="L219">
        <v>5.5</v>
      </c>
    </row>
    <row r="220" spans="1:12" x14ac:dyDescent="0.25">
      <c r="A220" t="s">
        <v>254</v>
      </c>
      <c r="B220">
        <v>94.87</v>
      </c>
      <c r="C220">
        <v>8</v>
      </c>
      <c r="D220">
        <v>37.948</v>
      </c>
      <c r="E220">
        <v>796.90800000000002</v>
      </c>
      <c r="F220" s="1">
        <v>43508</v>
      </c>
      <c r="G220" s="2">
        <v>0.54027777777777775</v>
      </c>
      <c r="H220" t="s">
        <v>23</v>
      </c>
      <c r="I220">
        <v>758.96</v>
      </c>
      <c r="J220">
        <v>4.7619047620000003</v>
      </c>
      <c r="K220">
        <v>37.948</v>
      </c>
      <c r="L220">
        <v>8.6999999999999993</v>
      </c>
    </row>
    <row r="221" spans="1:12" x14ac:dyDescent="0.25">
      <c r="A221" t="s">
        <v>255</v>
      </c>
      <c r="B221">
        <v>57.34</v>
      </c>
      <c r="C221">
        <v>3</v>
      </c>
      <c r="D221">
        <v>8.6010000000000009</v>
      </c>
      <c r="E221">
        <v>180.62100000000001</v>
      </c>
      <c r="F221" s="1">
        <v>43534</v>
      </c>
      <c r="G221" s="2">
        <v>0.7909722222222223</v>
      </c>
      <c r="H221" t="s">
        <v>33</v>
      </c>
      <c r="I221">
        <v>172.02</v>
      </c>
      <c r="J221">
        <v>4.7619047620000003</v>
      </c>
      <c r="K221">
        <v>8.6010000000000009</v>
      </c>
      <c r="L221">
        <v>7.9</v>
      </c>
    </row>
    <row r="222" spans="1:12" x14ac:dyDescent="0.25">
      <c r="A222" t="s">
        <v>256</v>
      </c>
      <c r="B222">
        <v>45.35</v>
      </c>
      <c r="C222">
        <v>6</v>
      </c>
      <c r="D222">
        <v>13.605</v>
      </c>
      <c r="E222">
        <v>285.70499999999998</v>
      </c>
      <c r="F222" s="1">
        <v>43496</v>
      </c>
      <c r="G222" s="2">
        <v>0.57222222222222219</v>
      </c>
      <c r="H222" t="s">
        <v>23</v>
      </c>
      <c r="I222">
        <v>272.10000000000002</v>
      </c>
      <c r="J222">
        <v>4.7619047620000003</v>
      </c>
      <c r="K222">
        <v>13.605</v>
      </c>
      <c r="L222">
        <v>6.1</v>
      </c>
    </row>
    <row r="223" spans="1:12" x14ac:dyDescent="0.25">
      <c r="A223" t="s">
        <v>257</v>
      </c>
      <c r="B223">
        <v>62.08</v>
      </c>
      <c r="C223">
        <v>7</v>
      </c>
      <c r="D223">
        <v>21.728000000000002</v>
      </c>
      <c r="E223">
        <v>456.28800000000001</v>
      </c>
      <c r="F223" s="1">
        <v>43530</v>
      </c>
      <c r="G223" s="2">
        <v>0.57361111111111118</v>
      </c>
      <c r="H223" t="s">
        <v>23</v>
      </c>
      <c r="I223">
        <v>434.56</v>
      </c>
      <c r="J223">
        <v>4.7619047620000003</v>
      </c>
      <c r="K223">
        <v>21.728000000000002</v>
      </c>
      <c r="L223">
        <v>5.4</v>
      </c>
    </row>
    <row r="224" spans="1:12" x14ac:dyDescent="0.25">
      <c r="A224" t="s">
        <v>258</v>
      </c>
      <c r="B224">
        <v>11.81</v>
      </c>
      <c r="C224">
        <v>5</v>
      </c>
      <c r="D224">
        <v>2.9525000000000001</v>
      </c>
      <c r="E224">
        <v>62.002499999999998</v>
      </c>
      <c r="F224" s="1">
        <v>43513</v>
      </c>
      <c r="G224" s="2">
        <v>0.75416666666666676</v>
      </c>
      <c r="H224" t="s">
        <v>29</v>
      </c>
      <c r="I224">
        <v>59.05</v>
      </c>
      <c r="J224">
        <v>4.7619047620000003</v>
      </c>
      <c r="K224">
        <v>2.9525000000000001</v>
      </c>
      <c r="L224">
        <v>9.4</v>
      </c>
    </row>
    <row r="225" spans="1:12" x14ac:dyDescent="0.25">
      <c r="A225" t="s">
        <v>259</v>
      </c>
      <c r="B225">
        <v>12.54</v>
      </c>
      <c r="C225">
        <v>1</v>
      </c>
      <c r="D225">
        <v>0.627</v>
      </c>
      <c r="E225">
        <v>13.167</v>
      </c>
      <c r="F225" s="1">
        <v>43517</v>
      </c>
      <c r="G225" s="2">
        <v>0.52638888888888891</v>
      </c>
      <c r="H225" t="s">
        <v>29</v>
      </c>
      <c r="I225">
        <v>12.54</v>
      </c>
      <c r="J225">
        <v>4.7619047620000003</v>
      </c>
      <c r="K225">
        <v>0.627</v>
      </c>
      <c r="L225">
        <v>8.1999999999999993</v>
      </c>
    </row>
    <row r="226" spans="1:12" x14ac:dyDescent="0.25">
      <c r="A226" t="s">
        <v>260</v>
      </c>
      <c r="B226">
        <v>43.25</v>
      </c>
      <c r="C226">
        <v>2</v>
      </c>
      <c r="D226">
        <v>4.3250000000000002</v>
      </c>
      <c r="E226">
        <v>90.825000000000003</v>
      </c>
      <c r="F226" s="1">
        <v>43544</v>
      </c>
      <c r="G226" s="2">
        <v>0.66388888888888886</v>
      </c>
      <c r="H226" t="s">
        <v>29</v>
      </c>
      <c r="I226">
        <v>86.5</v>
      </c>
      <c r="J226">
        <v>4.7619047620000003</v>
      </c>
      <c r="K226">
        <v>4.3250000000000002</v>
      </c>
      <c r="L226">
        <v>6.2</v>
      </c>
    </row>
    <row r="227" spans="1:12" x14ac:dyDescent="0.25">
      <c r="A227" t="s">
        <v>261</v>
      </c>
      <c r="B227">
        <v>87.16</v>
      </c>
      <c r="C227">
        <v>2</v>
      </c>
      <c r="D227">
        <v>8.7159999999999993</v>
      </c>
      <c r="E227">
        <v>183.036</v>
      </c>
      <c r="F227" s="1">
        <v>43476</v>
      </c>
      <c r="G227" s="2">
        <v>0.60347222222222219</v>
      </c>
      <c r="H227" t="s">
        <v>33</v>
      </c>
      <c r="I227">
        <v>174.32</v>
      </c>
      <c r="J227">
        <v>4.7619047620000003</v>
      </c>
      <c r="K227">
        <v>8.7159999999999993</v>
      </c>
      <c r="L227">
        <v>9.6999999999999993</v>
      </c>
    </row>
    <row r="228" spans="1:12" x14ac:dyDescent="0.25">
      <c r="A228" t="s">
        <v>262</v>
      </c>
      <c r="B228">
        <v>69.37</v>
      </c>
      <c r="C228">
        <v>9</v>
      </c>
      <c r="D228">
        <v>31.2165</v>
      </c>
      <c r="E228">
        <v>655.54650000000004</v>
      </c>
      <c r="F228" s="1">
        <v>43491</v>
      </c>
      <c r="G228" s="2">
        <v>0.80138888888888893</v>
      </c>
      <c r="H228" t="s">
        <v>23</v>
      </c>
      <c r="I228">
        <v>624.33000000000004</v>
      </c>
      <c r="J228">
        <v>4.7619047620000003</v>
      </c>
      <c r="K228">
        <v>31.2165</v>
      </c>
      <c r="L228">
        <v>4</v>
      </c>
    </row>
    <row r="229" spans="1:12" x14ac:dyDescent="0.25">
      <c r="A229" t="s">
        <v>263</v>
      </c>
      <c r="B229">
        <v>37.06</v>
      </c>
      <c r="C229">
        <v>4</v>
      </c>
      <c r="D229">
        <v>7.4119999999999999</v>
      </c>
      <c r="E229">
        <v>155.65199999999999</v>
      </c>
      <c r="F229" s="1">
        <v>43496</v>
      </c>
      <c r="G229" s="2">
        <v>0.68333333333333324</v>
      </c>
      <c r="H229" t="s">
        <v>23</v>
      </c>
      <c r="I229">
        <v>148.24</v>
      </c>
      <c r="J229">
        <v>4.7619047620000003</v>
      </c>
      <c r="K229">
        <v>7.4119999999999999</v>
      </c>
      <c r="L229">
        <v>9.6999999999999993</v>
      </c>
    </row>
    <row r="230" spans="1:12" x14ac:dyDescent="0.25">
      <c r="A230" t="s">
        <v>264</v>
      </c>
      <c r="B230">
        <v>90.7</v>
      </c>
      <c r="C230">
        <v>6</v>
      </c>
      <c r="D230">
        <v>27.21</v>
      </c>
      <c r="E230">
        <v>571.41</v>
      </c>
      <c r="F230" s="1">
        <v>43522</v>
      </c>
      <c r="G230" s="2">
        <v>0.45277777777777778</v>
      </c>
      <c r="H230" t="s">
        <v>29</v>
      </c>
      <c r="I230">
        <v>544.20000000000005</v>
      </c>
      <c r="J230">
        <v>4.7619047620000003</v>
      </c>
      <c r="K230">
        <v>27.21</v>
      </c>
      <c r="L230">
        <v>5.3</v>
      </c>
    </row>
    <row r="231" spans="1:12" x14ac:dyDescent="0.25">
      <c r="A231" t="s">
        <v>265</v>
      </c>
      <c r="B231">
        <v>63.42</v>
      </c>
      <c r="C231">
        <v>8</v>
      </c>
      <c r="D231">
        <v>25.367999999999999</v>
      </c>
      <c r="E231">
        <v>532.72799999999995</v>
      </c>
      <c r="F231" s="1">
        <v>43535</v>
      </c>
      <c r="G231" s="2">
        <v>0.53819444444444442</v>
      </c>
      <c r="H231" t="s">
        <v>23</v>
      </c>
      <c r="I231">
        <v>507.36</v>
      </c>
      <c r="J231">
        <v>4.7619047620000003</v>
      </c>
      <c r="K231">
        <v>25.367999999999999</v>
      </c>
      <c r="L231">
        <v>7.4</v>
      </c>
    </row>
    <row r="232" spans="1:12" x14ac:dyDescent="0.25">
      <c r="A232" t="s">
        <v>266</v>
      </c>
      <c r="B232">
        <v>81.37</v>
      </c>
      <c r="C232">
        <v>2</v>
      </c>
      <c r="D232">
        <v>8.1370000000000005</v>
      </c>
      <c r="E232">
        <v>170.87700000000001</v>
      </c>
      <c r="F232" s="1">
        <v>43491</v>
      </c>
      <c r="G232" s="2">
        <v>0.81111111111111101</v>
      </c>
      <c r="H232" t="s">
        <v>29</v>
      </c>
      <c r="I232">
        <v>162.74</v>
      </c>
      <c r="J232">
        <v>4.7619047620000003</v>
      </c>
      <c r="K232">
        <v>8.1370000000000005</v>
      </c>
      <c r="L232">
        <v>6.5</v>
      </c>
    </row>
    <row r="233" spans="1:12" x14ac:dyDescent="0.25">
      <c r="A233" t="s">
        <v>267</v>
      </c>
      <c r="B233">
        <v>10.59</v>
      </c>
      <c r="C233">
        <v>3</v>
      </c>
      <c r="D233">
        <v>1.5885</v>
      </c>
      <c r="E233">
        <v>33.358499999999999</v>
      </c>
      <c r="F233" s="1">
        <v>43536</v>
      </c>
      <c r="G233" s="2">
        <v>0.57777777777777783</v>
      </c>
      <c r="H233" t="s">
        <v>33</v>
      </c>
      <c r="I233">
        <v>31.77</v>
      </c>
      <c r="J233">
        <v>4.7619047620000003</v>
      </c>
      <c r="K233">
        <v>1.5885</v>
      </c>
      <c r="L233">
        <v>8.6999999999999993</v>
      </c>
    </row>
    <row r="234" spans="1:12" x14ac:dyDescent="0.25">
      <c r="A234" t="s">
        <v>268</v>
      </c>
      <c r="B234">
        <v>84.09</v>
      </c>
      <c r="C234">
        <v>9</v>
      </c>
      <c r="D234">
        <v>37.840499999999999</v>
      </c>
      <c r="E234">
        <v>794.65049999999997</v>
      </c>
      <c r="F234" s="1">
        <v>43507</v>
      </c>
      <c r="G234" s="2">
        <v>0.45416666666666666</v>
      </c>
      <c r="H234" t="s">
        <v>29</v>
      </c>
      <c r="I234">
        <v>756.81</v>
      </c>
      <c r="J234">
        <v>4.7619047620000003</v>
      </c>
      <c r="K234">
        <v>37.840499999999999</v>
      </c>
      <c r="L234">
        <v>8</v>
      </c>
    </row>
    <row r="235" spans="1:12" x14ac:dyDescent="0.25">
      <c r="A235" t="s">
        <v>269</v>
      </c>
      <c r="B235">
        <v>73.819999999999993</v>
      </c>
      <c r="C235">
        <v>4</v>
      </c>
      <c r="D235">
        <v>14.763999999999999</v>
      </c>
      <c r="E235">
        <v>310.04399999999998</v>
      </c>
      <c r="F235" s="1">
        <v>43517</v>
      </c>
      <c r="G235" s="2">
        <v>0.7715277777777777</v>
      </c>
      <c r="H235" t="s">
        <v>29</v>
      </c>
      <c r="I235">
        <v>295.27999999999997</v>
      </c>
      <c r="J235">
        <v>4.7619047620000003</v>
      </c>
      <c r="K235">
        <v>14.763999999999999</v>
      </c>
      <c r="L235">
        <v>6.7</v>
      </c>
    </row>
    <row r="236" spans="1:12" x14ac:dyDescent="0.25">
      <c r="A236" t="s">
        <v>270</v>
      </c>
      <c r="B236">
        <v>51.94</v>
      </c>
      <c r="C236">
        <v>10</v>
      </c>
      <c r="D236">
        <v>25.97</v>
      </c>
      <c r="E236">
        <v>545.37</v>
      </c>
      <c r="F236" s="1">
        <v>43533</v>
      </c>
      <c r="G236" s="2">
        <v>0.76666666666666661</v>
      </c>
      <c r="H236" t="s">
        <v>23</v>
      </c>
      <c r="I236">
        <v>519.4</v>
      </c>
      <c r="J236">
        <v>4.7619047620000003</v>
      </c>
      <c r="K236">
        <v>25.97</v>
      </c>
      <c r="L236">
        <v>6.5</v>
      </c>
    </row>
    <row r="237" spans="1:12" x14ac:dyDescent="0.25">
      <c r="A237" t="s">
        <v>271</v>
      </c>
      <c r="B237">
        <v>93.14</v>
      </c>
      <c r="C237">
        <v>2</v>
      </c>
      <c r="D237">
        <v>9.3140000000000001</v>
      </c>
      <c r="E237">
        <v>195.59399999999999</v>
      </c>
      <c r="F237" s="1">
        <v>43485</v>
      </c>
      <c r="G237" s="2">
        <v>0.75624999999999998</v>
      </c>
      <c r="H237" t="s">
        <v>23</v>
      </c>
      <c r="I237">
        <v>186.28</v>
      </c>
      <c r="J237">
        <v>4.7619047620000003</v>
      </c>
      <c r="K237">
        <v>9.3140000000000001</v>
      </c>
      <c r="L237">
        <v>4.0999999999999996</v>
      </c>
    </row>
    <row r="238" spans="1:12" x14ac:dyDescent="0.25">
      <c r="A238" t="s">
        <v>272</v>
      </c>
      <c r="B238">
        <v>17.41</v>
      </c>
      <c r="C238">
        <v>5</v>
      </c>
      <c r="D238">
        <v>4.3525</v>
      </c>
      <c r="E238">
        <v>91.402500000000003</v>
      </c>
      <c r="F238" s="1">
        <v>43493</v>
      </c>
      <c r="G238" s="2">
        <v>0.63611111111111118</v>
      </c>
      <c r="H238" t="s">
        <v>33</v>
      </c>
      <c r="I238">
        <v>87.05</v>
      </c>
      <c r="J238">
        <v>4.7619047620000003</v>
      </c>
      <c r="K238">
        <v>4.3525</v>
      </c>
      <c r="L238">
        <v>4.9000000000000004</v>
      </c>
    </row>
    <row r="239" spans="1:12" x14ac:dyDescent="0.25">
      <c r="A239" t="s">
        <v>273</v>
      </c>
      <c r="B239">
        <v>44.22</v>
      </c>
      <c r="C239">
        <v>5</v>
      </c>
      <c r="D239">
        <v>11.055</v>
      </c>
      <c r="E239">
        <v>232.155</v>
      </c>
      <c r="F239" s="1">
        <v>43529</v>
      </c>
      <c r="G239" s="2">
        <v>0.71319444444444446</v>
      </c>
      <c r="H239" t="s">
        <v>33</v>
      </c>
      <c r="I239">
        <v>221.1</v>
      </c>
      <c r="J239">
        <v>4.7619047620000003</v>
      </c>
      <c r="K239">
        <v>11.055</v>
      </c>
      <c r="L239">
        <v>8.6</v>
      </c>
    </row>
    <row r="240" spans="1:12" x14ac:dyDescent="0.25">
      <c r="A240" t="s">
        <v>274</v>
      </c>
      <c r="B240">
        <v>13.22</v>
      </c>
      <c r="C240">
        <v>5</v>
      </c>
      <c r="D240">
        <v>3.3050000000000002</v>
      </c>
      <c r="E240">
        <v>69.405000000000001</v>
      </c>
      <c r="F240" s="1">
        <v>43526</v>
      </c>
      <c r="G240" s="2">
        <v>0.80972222222222223</v>
      </c>
      <c r="H240" t="s">
        <v>29</v>
      </c>
      <c r="I240">
        <v>66.099999999999994</v>
      </c>
      <c r="J240">
        <v>4.7619047620000003</v>
      </c>
      <c r="K240">
        <v>3.3050000000000002</v>
      </c>
      <c r="L240">
        <v>4.3</v>
      </c>
    </row>
    <row r="241" spans="1:12" x14ac:dyDescent="0.25">
      <c r="A241" t="s">
        <v>275</v>
      </c>
      <c r="B241">
        <v>89.69</v>
      </c>
      <c r="C241">
        <v>1</v>
      </c>
      <c r="D241">
        <v>4.4844999999999997</v>
      </c>
      <c r="E241">
        <v>94.174499999999995</v>
      </c>
      <c r="F241" s="1">
        <v>43476</v>
      </c>
      <c r="G241" s="2">
        <v>0.47222222222222227</v>
      </c>
      <c r="H241" t="s">
        <v>23</v>
      </c>
      <c r="I241">
        <v>89.69</v>
      </c>
      <c r="J241">
        <v>4.7619047620000003</v>
      </c>
      <c r="K241">
        <v>4.4844999999999997</v>
      </c>
      <c r="L241">
        <v>4.9000000000000004</v>
      </c>
    </row>
    <row r="242" spans="1:12" x14ac:dyDescent="0.25">
      <c r="A242" t="s">
        <v>276</v>
      </c>
      <c r="B242">
        <v>24.94</v>
      </c>
      <c r="C242">
        <v>9</v>
      </c>
      <c r="D242">
        <v>11.223000000000001</v>
      </c>
      <c r="E242">
        <v>235.68299999999999</v>
      </c>
      <c r="F242" s="1">
        <v>43476</v>
      </c>
      <c r="G242" s="2">
        <v>0.7006944444444444</v>
      </c>
      <c r="H242" t="s">
        <v>33</v>
      </c>
      <c r="I242">
        <v>224.46</v>
      </c>
      <c r="J242">
        <v>4.7619047620000003</v>
      </c>
      <c r="K242">
        <v>11.223000000000001</v>
      </c>
      <c r="L242">
        <v>5.6</v>
      </c>
    </row>
    <row r="243" spans="1:12" x14ac:dyDescent="0.25">
      <c r="A243" t="s">
        <v>277</v>
      </c>
      <c r="B243">
        <v>59.77</v>
      </c>
      <c r="C243">
        <v>2</v>
      </c>
      <c r="D243">
        <v>5.9770000000000003</v>
      </c>
      <c r="E243">
        <v>125.517</v>
      </c>
      <c r="F243" s="1">
        <v>43535</v>
      </c>
      <c r="G243" s="2">
        <v>0.50069444444444444</v>
      </c>
      <c r="H243" t="s">
        <v>33</v>
      </c>
      <c r="I243">
        <v>119.54</v>
      </c>
      <c r="J243">
        <v>4.7619047620000003</v>
      </c>
      <c r="K243">
        <v>5.9770000000000003</v>
      </c>
      <c r="L243">
        <v>5.8</v>
      </c>
    </row>
    <row r="244" spans="1:12" x14ac:dyDescent="0.25">
      <c r="A244" t="s">
        <v>278</v>
      </c>
      <c r="B244">
        <v>93.2</v>
      </c>
      <c r="C244">
        <v>2</v>
      </c>
      <c r="D244">
        <v>9.32</v>
      </c>
      <c r="E244">
        <v>195.72</v>
      </c>
      <c r="F244" s="1">
        <v>43524</v>
      </c>
      <c r="G244" s="2">
        <v>0.77569444444444446</v>
      </c>
      <c r="H244" t="s">
        <v>33</v>
      </c>
      <c r="I244">
        <v>186.4</v>
      </c>
      <c r="J244">
        <v>4.7619047620000003</v>
      </c>
      <c r="K244">
        <v>9.32</v>
      </c>
      <c r="L244">
        <v>6</v>
      </c>
    </row>
    <row r="245" spans="1:12" x14ac:dyDescent="0.25">
      <c r="A245" t="s">
        <v>279</v>
      </c>
      <c r="B245">
        <v>62.65</v>
      </c>
      <c r="C245">
        <v>4</v>
      </c>
      <c r="D245">
        <v>12.53</v>
      </c>
      <c r="E245">
        <v>263.13</v>
      </c>
      <c r="F245" s="1">
        <v>43470</v>
      </c>
      <c r="G245" s="2">
        <v>0.47569444444444442</v>
      </c>
      <c r="H245" t="s">
        <v>29</v>
      </c>
      <c r="I245">
        <v>250.6</v>
      </c>
      <c r="J245">
        <v>4.7619047620000003</v>
      </c>
      <c r="K245">
        <v>12.53</v>
      </c>
      <c r="L245">
        <v>4.2</v>
      </c>
    </row>
    <row r="246" spans="1:12" x14ac:dyDescent="0.25">
      <c r="A246" t="s">
        <v>280</v>
      </c>
      <c r="B246">
        <v>93.87</v>
      </c>
      <c r="C246">
        <v>8</v>
      </c>
      <c r="D246">
        <v>37.548000000000002</v>
      </c>
      <c r="E246">
        <v>788.50800000000004</v>
      </c>
      <c r="F246" s="1">
        <v>43498</v>
      </c>
      <c r="G246" s="2">
        <v>0.77916666666666667</v>
      </c>
      <c r="H246" t="s">
        <v>33</v>
      </c>
      <c r="I246">
        <v>750.96</v>
      </c>
      <c r="J246">
        <v>4.7619047620000003</v>
      </c>
      <c r="K246">
        <v>37.548000000000002</v>
      </c>
      <c r="L246">
        <v>8.3000000000000007</v>
      </c>
    </row>
    <row r="247" spans="1:12" x14ac:dyDescent="0.25">
      <c r="A247" t="s">
        <v>281</v>
      </c>
      <c r="B247">
        <v>47.59</v>
      </c>
      <c r="C247">
        <v>8</v>
      </c>
      <c r="D247">
        <v>19.036000000000001</v>
      </c>
      <c r="E247">
        <v>399.75599999999997</v>
      </c>
      <c r="F247" s="1">
        <v>43466</v>
      </c>
      <c r="G247" s="2">
        <v>0.61597222222222225</v>
      </c>
      <c r="H247" t="s">
        <v>29</v>
      </c>
      <c r="I247">
        <v>380.72</v>
      </c>
      <c r="J247">
        <v>4.7619047620000003</v>
      </c>
      <c r="K247">
        <v>19.036000000000001</v>
      </c>
      <c r="L247">
        <v>5.7</v>
      </c>
    </row>
    <row r="248" spans="1:12" x14ac:dyDescent="0.25">
      <c r="A248" t="s">
        <v>282</v>
      </c>
      <c r="B248">
        <v>81.400000000000006</v>
      </c>
      <c r="C248">
        <v>3</v>
      </c>
      <c r="D248">
        <v>12.21</v>
      </c>
      <c r="E248">
        <v>256.41000000000003</v>
      </c>
      <c r="F248" s="1">
        <v>43505</v>
      </c>
      <c r="G248" s="2">
        <v>0.82152777777777775</v>
      </c>
      <c r="H248" t="s">
        <v>29</v>
      </c>
      <c r="I248">
        <v>244.2</v>
      </c>
      <c r="J248">
        <v>4.7619047620000003</v>
      </c>
      <c r="K248">
        <v>12.21</v>
      </c>
      <c r="L248">
        <v>4.8</v>
      </c>
    </row>
    <row r="249" spans="1:12" x14ac:dyDescent="0.25">
      <c r="A249" t="s">
        <v>283</v>
      </c>
      <c r="B249">
        <v>17.940000000000001</v>
      </c>
      <c r="C249">
        <v>5</v>
      </c>
      <c r="D249">
        <v>4.4850000000000003</v>
      </c>
      <c r="E249">
        <v>94.185000000000002</v>
      </c>
      <c r="F249" s="1">
        <v>43488</v>
      </c>
      <c r="G249" s="2">
        <v>0.58611111111111114</v>
      </c>
      <c r="H249" t="s">
        <v>23</v>
      </c>
      <c r="I249">
        <v>89.7</v>
      </c>
      <c r="J249">
        <v>4.7619047620000003</v>
      </c>
      <c r="K249">
        <v>4.4850000000000003</v>
      </c>
      <c r="L249">
        <v>6.8</v>
      </c>
    </row>
    <row r="250" spans="1:12" x14ac:dyDescent="0.25">
      <c r="A250" t="s">
        <v>284</v>
      </c>
      <c r="B250">
        <v>77.72</v>
      </c>
      <c r="C250">
        <v>4</v>
      </c>
      <c r="D250">
        <v>15.544</v>
      </c>
      <c r="E250">
        <v>326.42399999999998</v>
      </c>
      <c r="F250" s="1">
        <v>43472</v>
      </c>
      <c r="G250" s="2">
        <v>0.6743055555555556</v>
      </c>
      <c r="H250" t="s">
        <v>33</v>
      </c>
      <c r="I250">
        <v>310.88</v>
      </c>
      <c r="J250">
        <v>4.7619047620000003</v>
      </c>
      <c r="K250">
        <v>15.544</v>
      </c>
      <c r="L250">
        <v>8.8000000000000007</v>
      </c>
    </row>
    <row r="251" spans="1:12" x14ac:dyDescent="0.25">
      <c r="A251" t="s">
        <v>285</v>
      </c>
      <c r="B251">
        <v>73.06</v>
      </c>
      <c r="C251">
        <v>7</v>
      </c>
      <c r="D251">
        <v>25.571000000000002</v>
      </c>
      <c r="E251">
        <v>536.99099999999999</v>
      </c>
      <c r="F251" s="1">
        <v>43479</v>
      </c>
      <c r="G251" s="2">
        <v>0.79583333333333339</v>
      </c>
      <c r="H251" t="s">
        <v>33</v>
      </c>
      <c r="I251">
        <v>511.42</v>
      </c>
      <c r="J251">
        <v>4.7619047620000003</v>
      </c>
      <c r="K251">
        <v>25.571000000000002</v>
      </c>
      <c r="L251">
        <v>4.2</v>
      </c>
    </row>
    <row r="252" spans="1:12" x14ac:dyDescent="0.25">
      <c r="A252" t="s">
        <v>286</v>
      </c>
      <c r="B252">
        <v>46.55</v>
      </c>
      <c r="C252">
        <v>9</v>
      </c>
      <c r="D252">
        <v>20.947500000000002</v>
      </c>
      <c r="E252">
        <v>439.89749999999998</v>
      </c>
      <c r="F252" s="1">
        <v>43498</v>
      </c>
      <c r="G252" s="2">
        <v>0.64861111111111114</v>
      </c>
      <c r="H252" t="s">
        <v>23</v>
      </c>
      <c r="I252">
        <v>418.95</v>
      </c>
      <c r="J252">
        <v>4.7619047620000003</v>
      </c>
      <c r="K252">
        <v>20.947500000000002</v>
      </c>
      <c r="L252">
        <v>6.4</v>
      </c>
    </row>
    <row r="253" spans="1:12" x14ac:dyDescent="0.25">
      <c r="A253" t="s">
        <v>287</v>
      </c>
      <c r="B253">
        <v>35.19</v>
      </c>
      <c r="C253">
        <v>10</v>
      </c>
      <c r="D253">
        <v>17.594999999999999</v>
      </c>
      <c r="E253">
        <v>369.495</v>
      </c>
      <c r="F253" s="1">
        <v>43541</v>
      </c>
      <c r="G253" s="2">
        <v>0.79583333333333339</v>
      </c>
      <c r="H253" t="s">
        <v>33</v>
      </c>
      <c r="I253">
        <v>351.9</v>
      </c>
      <c r="J253">
        <v>4.7619047620000003</v>
      </c>
      <c r="K253">
        <v>17.594999999999999</v>
      </c>
      <c r="L253">
        <v>8.4</v>
      </c>
    </row>
    <row r="254" spans="1:12" x14ac:dyDescent="0.25">
      <c r="A254" t="s">
        <v>288</v>
      </c>
      <c r="B254">
        <v>14.39</v>
      </c>
      <c r="C254">
        <v>2</v>
      </c>
      <c r="D254">
        <v>1.4390000000000001</v>
      </c>
      <c r="E254">
        <v>30.219000000000001</v>
      </c>
      <c r="F254" s="1">
        <v>43526</v>
      </c>
      <c r="G254" s="2">
        <v>0.8222222222222223</v>
      </c>
      <c r="H254" t="s">
        <v>33</v>
      </c>
      <c r="I254">
        <v>28.78</v>
      </c>
      <c r="J254">
        <v>4.7619047620000003</v>
      </c>
      <c r="K254">
        <v>1.4390000000000001</v>
      </c>
      <c r="L254">
        <v>7.2</v>
      </c>
    </row>
    <row r="255" spans="1:12" x14ac:dyDescent="0.25">
      <c r="A255" t="s">
        <v>289</v>
      </c>
      <c r="B255">
        <v>23.75</v>
      </c>
      <c r="C255">
        <v>4</v>
      </c>
      <c r="D255">
        <v>4.75</v>
      </c>
      <c r="E255">
        <v>99.75</v>
      </c>
      <c r="F255" s="1">
        <v>43540</v>
      </c>
      <c r="G255" s="2">
        <v>0.47361111111111115</v>
      </c>
      <c r="H255" t="s">
        <v>29</v>
      </c>
      <c r="I255">
        <v>95</v>
      </c>
      <c r="J255">
        <v>4.7619047620000003</v>
      </c>
      <c r="K255">
        <v>4.75</v>
      </c>
      <c r="L255">
        <v>5.2</v>
      </c>
    </row>
    <row r="256" spans="1:12" x14ac:dyDescent="0.25">
      <c r="A256" t="s">
        <v>290</v>
      </c>
      <c r="B256">
        <v>58.9</v>
      </c>
      <c r="C256">
        <v>8</v>
      </c>
      <c r="D256">
        <v>23.56</v>
      </c>
      <c r="E256">
        <v>494.76</v>
      </c>
      <c r="F256" s="1">
        <v>43471</v>
      </c>
      <c r="G256" s="2">
        <v>0.47430555555555554</v>
      </c>
      <c r="H256" t="s">
        <v>29</v>
      </c>
      <c r="I256">
        <v>471.2</v>
      </c>
      <c r="J256">
        <v>4.7619047620000003</v>
      </c>
      <c r="K256">
        <v>23.56</v>
      </c>
      <c r="L256">
        <v>8.9</v>
      </c>
    </row>
    <row r="257" spans="1:12" x14ac:dyDescent="0.25">
      <c r="A257" t="s">
        <v>291</v>
      </c>
      <c r="B257">
        <v>32.619999999999997</v>
      </c>
      <c r="C257">
        <v>4</v>
      </c>
      <c r="D257">
        <v>6.524</v>
      </c>
      <c r="E257">
        <v>137.00399999999999</v>
      </c>
      <c r="F257" s="1">
        <v>43494</v>
      </c>
      <c r="G257" s="2">
        <v>0.59166666666666667</v>
      </c>
      <c r="H257" t="s">
        <v>29</v>
      </c>
      <c r="I257">
        <v>130.47999999999999</v>
      </c>
      <c r="J257">
        <v>4.7619047620000003</v>
      </c>
      <c r="K257">
        <v>6.524</v>
      </c>
      <c r="L257">
        <v>9</v>
      </c>
    </row>
    <row r="258" spans="1:12" x14ac:dyDescent="0.25">
      <c r="A258" t="s">
        <v>292</v>
      </c>
      <c r="B258">
        <v>66.349999999999994</v>
      </c>
      <c r="C258">
        <v>1</v>
      </c>
      <c r="D258">
        <v>3.3174999999999999</v>
      </c>
      <c r="E258">
        <v>69.667500000000004</v>
      </c>
      <c r="F258" s="1">
        <v>43496</v>
      </c>
      <c r="G258" s="2">
        <v>0.44861111111111113</v>
      </c>
      <c r="H258" t="s">
        <v>33</v>
      </c>
      <c r="I258">
        <v>66.349999999999994</v>
      </c>
      <c r="J258">
        <v>4.7619047620000003</v>
      </c>
      <c r="K258">
        <v>3.3174999999999999</v>
      </c>
      <c r="L258">
        <v>9.6999999999999993</v>
      </c>
    </row>
    <row r="259" spans="1:12" x14ac:dyDescent="0.25">
      <c r="A259" t="s">
        <v>293</v>
      </c>
      <c r="B259">
        <v>25.91</v>
      </c>
      <c r="C259">
        <v>6</v>
      </c>
      <c r="D259">
        <v>7.7729999999999997</v>
      </c>
      <c r="E259">
        <v>163.233</v>
      </c>
      <c r="F259" s="1">
        <v>43501</v>
      </c>
      <c r="G259" s="2">
        <v>0.42777777777777781</v>
      </c>
      <c r="H259" t="s">
        <v>23</v>
      </c>
      <c r="I259">
        <v>155.46</v>
      </c>
      <c r="J259">
        <v>4.7619047620000003</v>
      </c>
      <c r="K259">
        <v>7.7729999999999997</v>
      </c>
      <c r="L259">
        <v>8.6999999999999993</v>
      </c>
    </row>
    <row r="260" spans="1:12" x14ac:dyDescent="0.25">
      <c r="A260" t="s">
        <v>294</v>
      </c>
      <c r="B260">
        <v>32.25</v>
      </c>
      <c r="C260">
        <v>4</v>
      </c>
      <c r="D260">
        <v>6.45</v>
      </c>
      <c r="E260">
        <v>135.44999999999999</v>
      </c>
      <c r="F260" s="1">
        <v>43509</v>
      </c>
      <c r="G260" s="2">
        <v>0.52638888888888891</v>
      </c>
      <c r="H260" t="s">
        <v>23</v>
      </c>
      <c r="I260">
        <v>129</v>
      </c>
      <c r="J260">
        <v>4.7619047620000003</v>
      </c>
      <c r="K260">
        <v>6.45</v>
      </c>
      <c r="L260">
        <v>6.5</v>
      </c>
    </row>
    <row r="261" spans="1:12" x14ac:dyDescent="0.25">
      <c r="A261" t="s">
        <v>295</v>
      </c>
      <c r="B261">
        <v>65.94</v>
      </c>
      <c r="C261">
        <v>4</v>
      </c>
      <c r="D261">
        <v>13.188000000000001</v>
      </c>
      <c r="E261">
        <v>276.94799999999998</v>
      </c>
      <c r="F261" s="1">
        <v>43503</v>
      </c>
      <c r="G261" s="2">
        <v>0.54513888888888895</v>
      </c>
      <c r="H261" t="s">
        <v>33</v>
      </c>
      <c r="I261">
        <v>263.76</v>
      </c>
      <c r="J261">
        <v>4.7619047620000003</v>
      </c>
      <c r="K261">
        <v>13.188000000000001</v>
      </c>
      <c r="L261">
        <v>6.9</v>
      </c>
    </row>
    <row r="262" spans="1:12" x14ac:dyDescent="0.25">
      <c r="A262" t="s">
        <v>296</v>
      </c>
      <c r="B262">
        <v>75.06</v>
      </c>
      <c r="C262">
        <v>9</v>
      </c>
      <c r="D262">
        <v>33.777000000000001</v>
      </c>
      <c r="E262">
        <v>709.31700000000001</v>
      </c>
      <c r="F262" s="1">
        <v>43543</v>
      </c>
      <c r="G262" s="2">
        <v>0.55902777777777779</v>
      </c>
      <c r="H262" t="s">
        <v>23</v>
      </c>
      <c r="I262">
        <v>675.54</v>
      </c>
      <c r="J262">
        <v>4.7619047620000003</v>
      </c>
      <c r="K262">
        <v>33.777000000000001</v>
      </c>
      <c r="L262">
        <v>6.2</v>
      </c>
    </row>
    <row r="263" spans="1:12" x14ac:dyDescent="0.25">
      <c r="A263" t="s">
        <v>297</v>
      </c>
      <c r="B263">
        <v>16.45</v>
      </c>
      <c r="C263">
        <v>4</v>
      </c>
      <c r="D263">
        <v>3.29</v>
      </c>
      <c r="E263">
        <v>69.09</v>
      </c>
      <c r="F263" s="1">
        <v>43531</v>
      </c>
      <c r="G263" s="2">
        <v>0.62013888888888891</v>
      </c>
      <c r="H263" t="s">
        <v>23</v>
      </c>
      <c r="I263">
        <v>65.8</v>
      </c>
      <c r="J263">
        <v>4.7619047620000003</v>
      </c>
      <c r="K263">
        <v>3.29</v>
      </c>
      <c r="L263">
        <v>5.6</v>
      </c>
    </row>
    <row r="264" spans="1:12" x14ac:dyDescent="0.25">
      <c r="A264" t="s">
        <v>298</v>
      </c>
      <c r="B264">
        <v>38.299999999999997</v>
      </c>
      <c r="C264">
        <v>4</v>
      </c>
      <c r="D264">
        <v>7.66</v>
      </c>
      <c r="E264">
        <v>160.86000000000001</v>
      </c>
      <c r="F264" s="1">
        <v>43537</v>
      </c>
      <c r="G264" s="2">
        <v>0.80694444444444446</v>
      </c>
      <c r="H264" t="s">
        <v>29</v>
      </c>
      <c r="I264">
        <v>153.19999999999999</v>
      </c>
      <c r="J264">
        <v>4.7619047620000003</v>
      </c>
      <c r="K264">
        <v>7.66</v>
      </c>
      <c r="L264">
        <v>5.7</v>
      </c>
    </row>
    <row r="265" spans="1:12" x14ac:dyDescent="0.25">
      <c r="A265" t="s">
        <v>299</v>
      </c>
      <c r="B265">
        <v>22.24</v>
      </c>
      <c r="C265">
        <v>10</v>
      </c>
      <c r="D265">
        <v>11.12</v>
      </c>
      <c r="E265">
        <v>233.52</v>
      </c>
      <c r="F265" s="1">
        <v>43505</v>
      </c>
      <c r="G265" s="2">
        <v>0.45833333333333331</v>
      </c>
      <c r="H265" t="s">
        <v>29</v>
      </c>
      <c r="I265">
        <v>222.4</v>
      </c>
      <c r="J265">
        <v>4.7619047620000003</v>
      </c>
      <c r="K265">
        <v>11.12</v>
      </c>
      <c r="L265">
        <v>4.2</v>
      </c>
    </row>
    <row r="266" spans="1:12" x14ac:dyDescent="0.25">
      <c r="A266" t="s">
        <v>300</v>
      </c>
      <c r="B266">
        <v>54.45</v>
      </c>
      <c r="C266">
        <v>1</v>
      </c>
      <c r="D266">
        <v>2.7225000000000001</v>
      </c>
      <c r="E266">
        <v>57.172499999999999</v>
      </c>
      <c r="F266" s="1">
        <v>43522</v>
      </c>
      <c r="G266" s="2">
        <v>0.80833333333333324</v>
      </c>
      <c r="H266" t="s">
        <v>23</v>
      </c>
      <c r="I266">
        <v>54.45</v>
      </c>
      <c r="J266">
        <v>4.7619047620000003</v>
      </c>
      <c r="K266">
        <v>2.7225000000000001</v>
      </c>
      <c r="L266">
        <v>7.9</v>
      </c>
    </row>
    <row r="267" spans="1:12" x14ac:dyDescent="0.25">
      <c r="A267" t="s">
        <v>301</v>
      </c>
      <c r="B267">
        <v>98.4</v>
      </c>
      <c r="C267">
        <v>7</v>
      </c>
      <c r="D267">
        <v>34.44</v>
      </c>
      <c r="E267">
        <v>723.24</v>
      </c>
      <c r="F267" s="1">
        <v>43536</v>
      </c>
      <c r="G267" s="2">
        <v>0.52986111111111112</v>
      </c>
      <c r="H267" t="s">
        <v>33</v>
      </c>
      <c r="I267">
        <v>688.8</v>
      </c>
      <c r="J267">
        <v>4.7619047620000003</v>
      </c>
      <c r="K267">
        <v>34.44</v>
      </c>
      <c r="L267">
        <v>8.6999999999999993</v>
      </c>
    </row>
    <row r="268" spans="1:12" x14ac:dyDescent="0.25">
      <c r="A268" t="s">
        <v>302</v>
      </c>
      <c r="B268">
        <v>35.47</v>
      </c>
      <c r="C268">
        <v>4</v>
      </c>
      <c r="D268">
        <v>7.0940000000000003</v>
      </c>
      <c r="E268">
        <v>148.97399999999999</v>
      </c>
      <c r="F268" s="1">
        <v>43538</v>
      </c>
      <c r="G268" s="2">
        <v>0.72361111111111109</v>
      </c>
      <c r="H268" t="s">
        <v>33</v>
      </c>
      <c r="I268">
        <v>141.88</v>
      </c>
      <c r="J268">
        <v>4.7619047620000003</v>
      </c>
      <c r="K268">
        <v>7.0940000000000003</v>
      </c>
      <c r="L268">
        <v>6.9</v>
      </c>
    </row>
    <row r="269" spans="1:12" x14ac:dyDescent="0.25">
      <c r="A269" t="s">
        <v>303</v>
      </c>
      <c r="B269">
        <v>74.599999999999994</v>
      </c>
      <c r="C269">
        <v>10</v>
      </c>
      <c r="D269">
        <v>37.299999999999997</v>
      </c>
      <c r="E269">
        <v>783.3</v>
      </c>
      <c r="F269" s="1">
        <v>43473</v>
      </c>
      <c r="G269" s="2">
        <v>0.87152777777777779</v>
      </c>
      <c r="H269" t="s">
        <v>29</v>
      </c>
      <c r="I269">
        <v>746</v>
      </c>
      <c r="J269">
        <v>4.7619047620000003</v>
      </c>
      <c r="K269">
        <v>37.299999999999997</v>
      </c>
      <c r="L269">
        <v>9.5</v>
      </c>
    </row>
    <row r="270" spans="1:12" x14ac:dyDescent="0.25">
      <c r="A270" t="s">
        <v>304</v>
      </c>
      <c r="B270">
        <v>70.739999999999995</v>
      </c>
      <c r="C270">
        <v>4</v>
      </c>
      <c r="D270">
        <v>14.148</v>
      </c>
      <c r="E270">
        <v>297.108</v>
      </c>
      <c r="F270" s="1">
        <v>43470</v>
      </c>
      <c r="G270" s="2">
        <v>0.67013888888888884</v>
      </c>
      <c r="H270" t="s">
        <v>33</v>
      </c>
      <c r="I270">
        <v>282.95999999999998</v>
      </c>
      <c r="J270">
        <v>4.7619047620000003</v>
      </c>
      <c r="K270">
        <v>14.148</v>
      </c>
      <c r="L270">
        <v>4.4000000000000004</v>
      </c>
    </row>
    <row r="271" spans="1:12" x14ac:dyDescent="0.25">
      <c r="A271" t="s">
        <v>305</v>
      </c>
      <c r="B271">
        <v>35.54</v>
      </c>
      <c r="C271">
        <v>10</v>
      </c>
      <c r="D271">
        <v>17.77</v>
      </c>
      <c r="E271">
        <v>373.17</v>
      </c>
      <c r="F271" s="1">
        <v>43469</v>
      </c>
      <c r="G271" s="2">
        <v>0.56527777777777777</v>
      </c>
      <c r="H271" t="s">
        <v>23</v>
      </c>
      <c r="I271">
        <v>355.4</v>
      </c>
      <c r="J271">
        <v>4.7619047620000003</v>
      </c>
      <c r="K271">
        <v>17.77</v>
      </c>
      <c r="L271">
        <v>7</v>
      </c>
    </row>
    <row r="272" spans="1:12" x14ac:dyDescent="0.25">
      <c r="A272" t="s">
        <v>306</v>
      </c>
      <c r="B272">
        <v>67.430000000000007</v>
      </c>
      <c r="C272">
        <v>5</v>
      </c>
      <c r="D272">
        <v>16.857500000000002</v>
      </c>
      <c r="E272">
        <v>354.00749999999999</v>
      </c>
      <c r="F272" s="1">
        <v>43530</v>
      </c>
      <c r="G272" s="2">
        <v>0.75902777777777775</v>
      </c>
      <c r="H272" t="s">
        <v>23</v>
      </c>
      <c r="I272">
        <v>337.15</v>
      </c>
      <c r="J272">
        <v>4.7619047620000003</v>
      </c>
      <c r="K272">
        <v>16.857500000000002</v>
      </c>
      <c r="L272">
        <v>6.3</v>
      </c>
    </row>
    <row r="273" spans="1:12" x14ac:dyDescent="0.25">
      <c r="A273" t="s">
        <v>307</v>
      </c>
      <c r="B273">
        <v>21.12</v>
      </c>
      <c r="C273">
        <v>2</v>
      </c>
      <c r="D273">
        <v>2.1120000000000001</v>
      </c>
      <c r="E273">
        <v>44.351999999999997</v>
      </c>
      <c r="F273" s="1">
        <v>43468</v>
      </c>
      <c r="G273" s="2">
        <v>0.80347222222222225</v>
      </c>
      <c r="H273" t="s">
        <v>29</v>
      </c>
      <c r="I273">
        <v>42.24</v>
      </c>
      <c r="J273">
        <v>4.7619047620000003</v>
      </c>
      <c r="K273">
        <v>2.1120000000000001</v>
      </c>
      <c r="L273">
        <v>9.6999999999999993</v>
      </c>
    </row>
    <row r="274" spans="1:12" x14ac:dyDescent="0.25">
      <c r="A274" t="s">
        <v>308</v>
      </c>
      <c r="B274">
        <v>21.54</v>
      </c>
      <c r="C274">
        <v>9</v>
      </c>
      <c r="D274">
        <v>9.6929999999999996</v>
      </c>
      <c r="E274">
        <v>203.553</v>
      </c>
      <c r="F274" s="1">
        <v>43472</v>
      </c>
      <c r="G274" s="2">
        <v>0.48888888888888887</v>
      </c>
      <c r="H274" t="s">
        <v>33</v>
      </c>
      <c r="I274">
        <v>193.86</v>
      </c>
      <c r="J274">
        <v>4.7619047620000003</v>
      </c>
      <c r="K274">
        <v>9.6929999999999996</v>
      </c>
      <c r="L274">
        <v>8.8000000000000007</v>
      </c>
    </row>
    <row r="275" spans="1:12" x14ac:dyDescent="0.25">
      <c r="A275" t="s">
        <v>309</v>
      </c>
      <c r="B275">
        <v>12.03</v>
      </c>
      <c r="C275">
        <v>2</v>
      </c>
      <c r="D275">
        <v>1.2030000000000001</v>
      </c>
      <c r="E275">
        <v>25.263000000000002</v>
      </c>
      <c r="F275" s="1">
        <v>43492</v>
      </c>
      <c r="G275" s="2">
        <v>0.66041666666666665</v>
      </c>
      <c r="H275" t="s">
        <v>29</v>
      </c>
      <c r="I275">
        <v>24.06</v>
      </c>
      <c r="J275">
        <v>4.7619047620000003</v>
      </c>
      <c r="K275">
        <v>1.2030000000000001</v>
      </c>
      <c r="L275">
        <v>5.0999999999999996</v>
      </c>
    </row>
    <row r="276" spans="1:12" x14ac:dyDescent="0.25">
      <c r="A276" t="s">
        <v>310</v>
      </c>
      <c r="B276">
        <v>99.71</v>
      </c>
      <c r="C276">
        <v>6</v>
      </c>
      <c r="D276">
        <v>29.913</v>
      </c>
      <c r="E276">
        <v>628.173</v>
      </c>
      <c r="F276" s="1">
        <v>43522</v>
      </c>
      <c r="G276" s="2">
        <v>0.70277777777777783</v>
      </c>
      <c r="H276" t="s">
        <v>23</v>
      </c>
      <c r="I276">
        <v>598.26</v>
      </c>
      <c r="J276">
        <v>4.7619047620000003</v>
      </c>
      <c r="K276">
        <v>29.913</v>
      </c>
      <c r="L276">
        <v>7.9</v>
      </c>
    </row>
    <row r="277" spans="1:12" x14ac:dyDescent="0.25">
      <c r="A277" t="s">
        <v>311</v>
      </c>
      <c r="B277">
        <v>47.97</v>
      </c>
      <c r="C277">
        <v>7</v>
      </c>
      <c r="D277">
        <v>16.7895</v>
      </c>
      <c r="E277">
        <v>352.5795</v>
      </c>
      <c r="F277" s="1">
        <v>43472</v>
      </c>
      <c r="G277" s="2">
        <v>0.86944444444444446</v>
      </c>
      <c r="H277" t="s">
        <v>29</v>
      </c>
      <c r="I277">
        <v>335.79</v>
      </c>
      <c r="J277">
        <v>4.7619047620000003</v>
      </c>
      <c r="K277">
        <v>16.7895</v>
      </c>
      <c r="L277">
        <v>6.2</v>
      </c>
    </row>
    <row r="278" spans="1:12" x14ac:dyDescent="0.25">
      <c r="A278" t="s">
        <v>312</v>
      </c>
      <c r="B278">
        <v>21.82</v>
      </c>
      <c r="C278">
        <v>10</v>
      </c>
      <c r="D278">
        <v>10.91</v>
      </c>
      <c r="E278">
        <v>229.11</v>
      </c>
      <c r="F278" s="1">
        <v>43472</v>
      </c>
      <c r="G278" s="2">
        <v>0.73333333333333339</v>
      </c>
      <c r="H278" t="s">
        <v>29</v>
      </c>
      <c r="I278">
        <v>218.2</v>
      </c>
      <c r="J278">
        <v>4.7619047620000003</v>
      </c>
      <c r="K278">
        <v>10.91</v>
      </c>
      <c r="L278">
        <v>7.1</v>
      </c>
    </row>
    <row r="279" spans="1:12" x14ac:dyDescent="0.25">
      <c r="A279" t="s">
        <v>313</v>
      </c>
      <c r="B279">
        <v>95.42</v>
      </c>
      <c r="C279">
        <v>4</v>
      </c>
      <c r="D279">
        <v>19.084</v>
      </c>
      <c r="E279">
        <v>400.76400000000001</v>
      </c>
      <c r="F279" s="1">
        <v>43498</v>
      </c>
      <c r="G279" s="2">
        <v>0.55763888888888891</v>
      </c>
      <c r="H279" t="s">
        <v>23</v>
      </c>
      <c r="I279">
        <v>381.68</v>
      </c>
      <c r="J279">
        <v>4.7619047620000003</v>
      </c>
      <c r="K279">
        <v>19.084</v>
      </c>
      <c r="L279">
        <v>6.4</v>
      </c>
    </row>
    <row r="280" spans="1:12" x14ac:dyDescent="0.25">
      <c r="A280" t="s">
        <v>314</v>
      </c>
      <c r="B280">
        <v>70.989999999999995</v>
      </c>
      <c r="C280">
        <v>10</v>
      </c>
      <c r="D280">
        <v>35.494999999999997</v>
      </c>
      <c r="E280">
        <v>745.39499999999998</v>
      </c>
      <c r="F280" s="1">
        <v>43544</v>
      </c>
      <c r="G280" s="2">
        <v>0.68611111111111101</v>
      </c>
      <c r="H280" t="s">
        <v>29</v>
      </c>
      <c r="I280">
        <v>709.9</v>
      </c>
      <c r="J280">
        <v>4.7619047620000003</v>
      </c>
      <c r="K280">
        <v>35.494999999999997</v>
      </c>
      <c r="L280">
        <v>5.7</v>
      </c>
    </row>
    <row r="281" spans="1:12" x14ac:dyDescent="0.25">
      <c r="A281" t="s">
        <v>315</v>
      </c>
      <c r="B281">
        <v>44.02</v>
      </c>
      <c r="C281">
        <v>10</v>
      </c>
      <c r="D281">
        <v>22.01</v>
      </c>
      <c r="E281">
        <v>462.21</v>
      </c>
      <c r="F281" s="1">
        <v>43544</v>
      </c>
      <c r="G281" s="2">
        <v>0.83124999999999993</v>
      </c>
      <c r="H281" t="s">
        <v>33</v>
      </c>
      <c r="I281">
        <v>440.2</v>
      </c>
      <c r="J281">
        <v>4.7619047620000003</v>
      </c>
      <c r="K281">
        <v>22.01</v>
      </c>
      <c r="L281">
        <v>9.6</v>
      </c>
    </row>
    <row r="282" spans="1:12" x14ac:dyDescent="0.25">
      <c r="A282" t="s">
        <v>316</v>
      </c>
      <c r="B282">
        <v>69.959999999999994</v>
      </c>
      <c r="C282">
        <v>8</v>
      </c>
      <c r="D282">
        <v>27.984000000000002</v>
      </c>
      <c r="E282">
        <v>587.66399999999999</v>
      </c>
      <c r="F282" s="1">
        <v>43511</v>
      </c>
      <c r="G282" s="2">
        <v>0.7090277777777777</v>
      </c>
      <c r="H282" t="s">
        <v>33</v>
      </c>
      <c r="I282">
        <v>559.67999999999995</v>
      </c>
      <c r="J282">
        <v>4.7619047620000003</v>
      </c>
      <c r="K282">
        <v>27.984000000000002</v>
      </c>
      <c r="L282">
        <v>6.4</v>
      </c>
    </row>
    <row r="283" spans="1:12" x14ac:dyDescent="0.25">
      <c r="A283" t="s">
        <v>317</v>
      </c>
      <c r="B283">
        <v>37</v>
      </c>
      <c r="C283">
        <v>1</v>
      </c>
      <c r="D283">
        <v>1.85</v>
      </c>
      <c r="E283">
        <v>38.85</v>
      </c>
      <c r="F283" s="1">
        <v>43530</v>
      </c>
      <c r="G283" s="2">
        <v>0.56180555555555556</v>
      </c>
      <c r="H283" t="s">
        <v>33</v>
      </c>
      <c r="I283">
        <v>37</v>
      </c>
      <c r="J283">
        <v>4.7619047620000003</v>
      </c>
      <c r="K283">
        <v>1.85</v>
      </c>
      <c r="L283">
        <v>7.9</v>
      </c>
    </row>
    <row r="284" spans="1:12" x14ac:dyDescent="0.25">
      <c r="A284" t="s">
        <v>318</v>
      </c>
      <c r="B284">
        <v>15.34</v>
      </c>
      <c r="C284">
        <v>1</v>
      </c>
      <c r="D284">
        <v>0.76700000000000002</v>
      </c>
      <c r="E284">
        <v>16.106999999999999</v>
      </c>
      <c r="F284" s="1">
        <v>43471</v>
      </c>
      <c r="G284" s="2">
        <v>0.46458333333333335</v>
      </c>
      <c r="H284" t="s">
        <v>29</v>
      </c>
      <c r="I284">
        <v>15.34</v>
      </c>
      <c r="J284">
        <v>4.7619047620000003</v>
      </c>
      <c r="K284">
        <v>0.76700000000000002</v>
      </c>
      <c r="L284">
        <v>6.5</v>
      </c>
    </row>
    <row r="285" spans="1:12" x14ac:dyDescent="0.25">
      <c r="A285" t="s">
        <v>319</v>
      </c>
      <c r="B285">
        <v>99.83</v>
      </c>
      <c r="C285">
        <v>6</v>
      </c>
      <c r="D285">
        <v>29.949000000000002</v>
      </c>
      <c r="E285">
        <v>628.92899999999997</v>
      </c>
      <c r="F285" s="1">
        <v>43528</v>
      </c>
      <c r="G285" s="2">
        <v>0.62638888888888888</v>
      </c>
      <c r="H285" t="s">
        <v>23</v>
      </c>
      <c r="I285">
        <v>598.98</v>
      </c>
      <c r="J285">
        <v>4.7619047620000003</v>
      </c>
      <c r="K285">
        <v>29.949000000000002</v>
      </c>
      <c r="L285">
        <v>8.5</v>
      </c>
    </row>
    <row r="286" spans="1:12" x14ac:dyDescent="0.25">
      <c r="A286" t="s">
        <v>320</v>
      </c>
      <c r="B286">
        <v>47.67</v>
      </c>
      <c r="C286">
        <v>4</v>
      </c>
      <c r="D286">
        <v>9.5340000000000007</v>
      </c>
      <c r="E286">
        <v>200.214</v>
      </c>
      <c r="F286" s="1">
        <v>43536</v>
      </c>
      <c r="G286" s="2">
        <v>0.59791666666666665</v>
      </c>
      <c r="H286" t="s">
        <v>29</v>
      </c>
      <c r="I286">
        <v>190.68</v>
      </c>
      <c r="J286">
        <v>4.7619047620000003</v>
      </c>
      <c r="K286">
        <v>9.5340000000000007</v>
      </c>
      <c r="L286">
        <v>9.1</v>
      </c>
    </row>
    <row r="287" spans="1:12" x14ac:dyDescent="0.25">
      <c r="A287" t="s">
        <v>321</v>
      </c>
      <c r="B287">
        <v>66.680000000000007</v>
      </c>
      <c r="C287">
        <v>5</v>
      </c>
      <c r="D287">
        <v>16.670000000000002</v>
      </c>
      <c r="E287">
        <v>350.07</v>
      </c>
      <c r="F287" s="1">
        <v>43516</v>
      </c>
      <c r="G287" s="2">
        <v>0.75069444444444444</v>
      </c>
      <c r="H287" t="s">
        <v>29</v>
      </c>
      <c r="I287">
        <v>333.4</v>
      </c>
      <c r="J287">
        <v>4.7619047620000003</v>
      </c>
      <c r="K287">
        <v>16.670000000000002</v>
      </c>
      <c r="L287">
        <v>7.6</v>
      </c>
    </row>
    <row r="288" spans="1:12" x14ac:dyDescent="0.25">
      <c r="A288" t="s">
        <v>322</v>
      </c>
      <c r="B288">
        <v>74.86</v>
      </c>
      <c r="C288">
        <v>1</v>
      </c>
      <c r="D288">
        <v>3.7429999999999999</v>
      </c>
      <c r="E288">
        <v>78.602999999999994</v>
      </c>
      <c r="F288" s="1">
        <v>43548</v>
      </c>
      <c r="G288" s="2">
        <v>0.61736111111111114</v>
      </c>
      <c r="H288" t="s">
        <v>29</v>
      </c>
      <c r="I288">
        <v>74.86</v>
      </c>
      <c r="J288">
        <v>4.7619047620000003</v>
      </c>
      <c r="K288">
        <v>3.7429999999999999</v>
      </c>
      <c r="L288">
        <v>6.9</v>
      </c>
    </row>
    <row r="289" spans="1:12" x14ac:dyDescent="0.25">
      <c r="A289" t="s">
        <v>323</v>
      </c>
      <c r="B289">
        <v>23.75</v>
      </c>
      <c r="C289">
        <v>9</v>
      </c>
      <c r="D289">
        <v>10.6875</v>
      </c>
      <c r="E289">
        <v>224.4375</v>
      </c>
      <c r="F289" s="1">
        <v>43496</v>
      </c>
      <c r="G289" s="2">
        <v>0.50138888888888888</v>
      </c>
      <c r="H289" t="s">
        <v>29</v>
      </c>
      <c r="I289">
        <v>213.75</v>
      </c>
      <c r="J289">
        <v>4.7619047620000003</v>
      </c>
      <c r="K289">
        <v>10.6875</v>
      </c>
      <c r="L289">
        <v>9.5</v>
      </c>
    </row>
    <row r="290" spans="1:12" x14ac:dyDescent="0.25">
      <c r="A290" t="s">
        <v>324</v>
      </c>
      <c r="B290">
        <v>48.51</v>
      </c>
      <c r="C290">
        <v>7</v>
      </c>
      <c r="D290">
        <v>16.9785</v>
      </c>
      <c r="E290">
        <v>356.54849999999999</v>
      </c>
      <c r="F290" s="1">
        <v>43490</v>
      </c>
      <c r="G290" s="2">
        <v>0.5625</v>
      </c>
      <c r="H290" t="s">
        <v>33</v>
      </c>
      <c r="I290">
        <v>339.57</v>
      </c>
      <c r="J290">
        <v>4.7619047620000003</v>
      </c>
      <c r="K290">
        <v>16.9785</v>
      </c>
      <c r="L290">
        <v>5.2</v>
      </c>
    </row>
    <row r="291" spans="1:12" x14ac:dyDescent="0.25">
      <c r="A291" t="s">
        <v>325</v>
      </c>
      <c r="B291">
        <v>94.88</v>
      </c>
      <c r="C291">
        <v>7</v>
      </c>
      <c r="D291">
        <v>33.207999999999998</v>
      </c>
      <c r="E291">
        <v>697.36800000000005</v>
      </c>
      <c r="F291" s="1">
        <v>43499</v>
      </c>
      <c r="G291" s="2">
        <v>0.60972222222222217</v>
      </c>
      <c r="H291" t="s">
        <v>29</v>
      </c>
      <c r="I291">
        <v>664.16</v>
      </c>
      <c r="J291">
        <v>4.7619047620000003</v>
      </c>
      <c r="K291">
        <v>33.207999999999998</v>
      </c>
      <c r="L291">
        <v>4.2</v>
      </c>
    </row>
    <row r="292" spans="1:12" x14ac:dyDescent="0.25">
      <c r="A292" t="s">
        <v>326</v>
      </c>
      <c r="B292">
        <v>40.299999999999997</v>
      </c>
      <c r="C292">
        <v>10</v>
      </c>
      <c r="D292">
        <v>20.149999999999999</v>
      </c>
      <c r="E292">
        <v>423.15</v>
      </c>
      <c r="F292" s="1">
        <v>43489</v>
      </c>
      <c r="G292" s="2">
        <v>0.73402777777777783</v>
      </c>
      <c r="H292" t="s">
        <v>33</v>
      </c>
      <c r="I292">
        <v>403</v>
      </c>
      <c r="J292">
        <v>4.7619047620000003</v>
      </c>
      <c r="K292">
        <v>20.149999999999999</v>
      </c>
      <c r="L292">
        <v>7</v>
      </c>
    </row>
    <row r="293" spans="1:12" x14ac:dyDescent="0.25">
      <c r="A293" t="s">
        <v>327</v>
      </c>
      <c r="B293">
        <v>27.85</v>
      </c>
      <c r="C293">
        <v>7</v>
      </c>
      <c r="D293">
        <v>9.7475000000000005</v>
      </c>
      <c r="E293">
        <v>204.69749999999999</v>
      </c>
      <c r="F293" s="1">
        <v>43538</v>
      </c>
      <c r="G293" s="2">
        <v>0.72222222222222221</v>
      </c>
      <c r="H293" t="s">
        <v>23</v>
      </c>
      <c r="I293">
        <v>194.95</v>
      </c>
      <c r="J293">
        <v>4.7619047620000003</v>
      </c>
      <c r="K293">
        <v>9.7475000000000005</v>
      </c>
      <c r="L293">
        <v>6</v>
      </c>
    </row>
    <row r="294" spans="1:12" x14ac:dyDescent="0.25">
      <c r="A294" t="s">
        <v>328</v>
      </c>
      <c r="B294">
        <v>62.48</v>
      </c>
      <c r="C294">
        <v>1</v>
      </c>
      <c r="D294">
        <v>3.1240000000000001</v>
      </c>
      <c r="E294">
        <v>65.603999999999999</v>
      </c>
      <c r="F294" s="1">
        <v>43514</v>
      </c>
      <c r="G294" s="2">
        <v>0.8534722222222223</v>
      </c>
      <c r="H294" t="s">
        <v>29</v>
      </c>
      <c r="I294">
        <v>62.48</v>
      </c>
      <c r="J294">
        <v>4.7619047620000003</v>
      </c>
      <c r="K294">
        <v>3.1240000000000001</v>
      </c>
      <c r="L294">
        <v>4.7</v>
      </c>
    </row>
    <row r="295" spans="1:12" x14ac:dyDescent="0.25">
      <c r="A295" t="s">
        <v>329</v>
      </c>
      <c r="B295">
        <v>36.36</v>
      </c>
      <c r="C295">
        <v>2</v>
      </c>
      <c r="D295">
        <v>3.6360000000000001</v>
      </c>
      <c r="E295">
        <v>76.355999999999995</v>
      </c>
      <c r="F295" s="1">
        <v>43486</v>
      </c>
      <c r="G295" s="2">
        <v>0.41666666666666669</v>
      </c>
      <c r="H295" t="s">
        <v>29</v>
      </c>
      <c r="I295">
        <v>72.72</v>
      </c>
      <c r="J295">
        <v>4.7619047620000003</v>
      </c>
      <c r="K295">
        <v>3.6360000000000001</v>
      </c>
      <c r="L295">
        <v>7.1</v>
      </c>
    </row>
    <row r="296" spans="1:12" x14ac:dyDescent="0.25">
      <c r="A296" t="s">
        <v>330</v>
      </c>
      <c r="B296">
        <v>18.11</v>
      </c>
      <c r="C296">
        <v>10</v>
      </c>
      <c r="D296">
        <v>9.0549999999999997</v>
      </c>
      <c r="E296">
        <v>190.155</v>
      </c>
      <c r="F296" s="1">
        <v>43537</v>
      </c>
      <c r="G296" s="2">
        <v>0.49027777777777781</v>
      </c>
      <c r="H296" t="s">
        <v>23</v>
      </c>
      <c r="I296">
        <v>181.1</v>
      </c>
      <c r="J296">
        <v>4.7619047620000003</v>
      </c>
      <c r="K296">
        <v>9.0549999999999997</v>
      </c>
      <c r="L296">
        <v>5.9</v>
      </c>
    </row>
    <row r="297" spans="1:12" x14ac:dyDescent="0.25">
      <c r="A297" t="s">
        <v>331</v>
      </c>
      <c r="B297">
        <v>51.92</v>
      </c>
      <c r="C297">
        <v>5</v>
      </c>
      <c r="D297">
        <v>12.98</v>
      </c>
      <c r="E297">
        <v>272.58</v>
      </c>
      <c r="F297" s="1">
        <v>43527</v>
      </c>
      <c r="G297" s="2">
        <v>0.5708333333333333</v>
      </c>
      <c r="H297" t="s">
        <v>29</v>
      </c>
      <c r="I297">
        <v>259.60000000000002</v>
      </c>
      <c r="J297">
        <v>4.7619047620000003</v>
      </c>
      <c r="K297">
        <v>12.98</v>
      </c>
      <c r="L297">
        <v>7.5</v>
      </c>
    </row>
    <row r="298" spans="1:12" x14ac:dyDescent="0.25">
      <c r="A298" t="s">
        <v>332</v>
      </c>
      <c r="B298">
        <v>28.84</v>
      </c>
      <c r="C298">
        <v>4</v>
      </c>
      <c r="D298">
        <v>5.7679999999999998</v>
      </c>
      <c r="E298">
        <v>121.128</v>
      </c>
      <c r="F298" s="1">
        <v>43553</v>
      </c>
      <c r="G298" s="2">
        <v>0.61388888888888882</v>
      </c>
      <c r="H298" t="s">
        <v>29</v>
      </c>
      <c r="I298">
        <v>115.36</v>
      </c>
      <c r="J298">
        <v>4.7619047620000003</v>
      </c>
      <c r="K298">
        <v>5.7679999999999998</v>
      </c>
      <c r="L298">
        <v>6.4</v>
      </c>
    </row>
    <row r="299" spans="1:12" x14ac:dyDescent="0.25">
      <c r="A299" t="s">
        <v>333</v>
      </c>
      <c r="B299">
        <v>78.38</v>
      </c>
      <c r="C299">
        <v>6</v>
      </c>
      <c r="D299">
        <v>23.513999999999999</v>
      </c>
      <c r="E299">
        <v>493.79399999999998</v>
      </c>
      <c r="F299" s="1">
        <v>43475</v>
      </c>
      <c r="G299" s="2">
        <v>0.59444444444444444</v>
      </c>
      <c r="H299" t="s">
        <v>23</v>
      </c>
      <c r="I299">
        <v>470.28</v>
      </c>
      <c r="J299">
        <v>4.7619047620000003</v>
      </c>
      <c r="K299">
        <v>23.513999999999999</v>
      </c>
      <c r="L299">
        <v>5.8</v>
      </c>
    </row>
    <row r="300" spans="1:12" x14ac:dyDescent="0.25">
      <c r="A300" t="s">
        <v>334</v>
      </c>
      <c r="B300">
        <v>60.01</v>
      </c>
      <c r="C300">
        <v>4</v>
      </c>
      <c r="D300">
        <v>12.002000000000001</v>
      </c>
      <c r="E300">
        <v>252.042</v>
      </c>
      <c r="F300" s="1">
        <v>43490</v>
      </c>
      <c r="G300" s="2">
        <v>0.66249999999999998</v>
      </c>
      <c r="H300" t="s">
        <v>29</v>
      </c>
      <c r="I300">
        <v>240.04</v>
      </c>
      <c r="J300">
        <v>4.7619047620000003</v>
      </c>
      <c r="K300">
        <v>12.002000000000001</v>
      </c>
      <c r="L300">
        <v>4.5</v>
      </c>
    </row>
    <row r="301" spans="1:12" x14ac:dyDescent="0.25">
      <c r="A301" t="s">
        <v>335</v>
      </c>
      <c r="B301">
        <v>88.61</v>
      </c>
      <c r="C301">
        <v>1</v>
      </c>
      <c r="D301">
        <v>4.4305000000000003</v>
      </c>
      <c r="E301">
        <v>93.040499999999994</v>
      </c>
      <c r="F301" s="1">
        <v>43484</v>
      </c>
      <c r="G301" s="2">
        <v>0.43124999999999997</v>
      </c>
      <c r="H301" t="s">
        <v>29</v>
      </c>
      <c r="I301">
        <v>88.61</v>
      </c>
      <c r="J301">
        <v>4.7619047620000003</v>
      </c>
      <c r="K301">
        <v>4.4305000000000003</v>
      </c>
      <c r="L301">
        <v>7.7</v>
      </c>
    </row>
    <row r="302" spans="1:12" x14ac:dyDescent="0.25">
      <c r="A302" t="s">
        <v>336</v>
      </c>
      <c r="B302">
        <v>99.82</v>
      </c>
      <c r="C302">
        <v>2</v>
      </c>
      <c r="D302">
        <v>9.9819999999999993</v>
      </c>
      <c r="E302">
        <v>209.62200000000001</v>
      </c>
      <c r="F302" s="1">
        <v>43467</v>
      </c>
      <c r="G302" s="2">
        <v>0.75624999999999998</v>
      </c>
      <c r="H302" t="s">
        <v>33</v>
      </c>
      <c r="I302">
        <v>199.64</v>
      </c>
      <c r="J302">
        <v>4.7619047620000003</v>
      </c>
      <c r="K302">
        <v>9.9819999999999993</v>
      </c>
      <c r="L302">
        <v>6.7</v>
      </c>
    </row>
    <row r="303" spans="1:12" x14ac:dyDescent="0.25">
      <c r="A303" t="s">
        <v>337</v>
      </c>
      <c r="B303">
        <v>39.01</v>
      </c>
      <c r="C303">
        <v>1</v>
      </c>
      <c r="D303">
        <v>1.9504999999999999</v>
      </c>
      <c r="E303">
        <v>40.960500000000003</v>
      </c>
      <c r="F303" s="1">
        <v>43536</v>
      </c>
      <c r="G303" s="2">
        <v>0.69861111111111107</v>
      </c>
      <c r="H303" t="s">
        <v>33</v>
      </c>
      <c r="I303">
        <v>39.01</v>
      </c>
      <c r="J303">
        <v>4.7619047620000003</v>
      </c>
      <c r="K303">
        <v>1.9504999999999999</v>
      </c>
      <c r="L303">
        <v>4.7</v>
      </c>
    </row>
    <row r="304" spans="1:12" x14ac:dyDescent="0.25">
      <c r="A304" t="s">
        <v>338</v>
      </c>
      <c r="B304">
        <v>48.61</v>
      </c>
      <c r="C304">
        <v>1</v>
      </c>
      <c r="D304">
        <v>2.4304999999999999</v>
      </c>
      <c r="E304">
        <v>51.040500000000002</v>
      </c>
      <c r="F304" s="1">
        <v>43521</v>
      </c>
      <c r="G304" s="2">
        <v>0.64652777777777781</v>
      </c>
      <c r="H304" t="s">
        <v>29</v>
      </c>
      <c r="I304">
        <v>48.61</v>
      </c>
      <c r="J304">
        <v>4.7619047620000003</v>
      </c>
      <c r="K304">
        <v>2.4304999999999999</v>
      </c>
      <c r="L304">
        <v>4.4000000000000004</v>
      </c>
    </row>
    <row r="305" spans="1:12" x14ac:dyDescent="0.25">
      <c r="A305" t="s">
        <v>339</v>
      </c>
      <c r="B305">
        <v>51.19</v>
      </c>
      <c r="C305">
        <v>4</v>
      </c>
      <c r="D305">
        <v>10.238</v>
      </c>
      <c r="E305">
        <v>214.99799999999999</v>
      </c>
      <c r="F305" s="1">
        <v>43542</v>
      </c>
      <c r="G305" s="2">
        <v>0.71875</v>
      </c>
      <c r="H305" t="s">
        <v>33</v>
      </c>
      <c r="I305">
        <v>204.76</v>
      </c>
      <c r="J305">
        <v>4.7619047620000003</v>
      </c>
      <c r="K305">
        <v>10.238</v>
      </c>
      <c r="L305">
        <v>4.7</v>
      </c>
    </row>
    <row r="306" spans="1:12" x14ac:dyDescent="0.25">
      <c r="A306" t="s">
        <v>340</v>
      </c>
      <c r="B306">
        <v>14.96</v>
      </c>
      <c r="C306">
        <v>8</v>
      </c>
      <c r="D306">
        <v>5.984</v>
      </c>
      <c r="E306">
        <v>125.664</v>
      </c>
      <c r="F306" s="1">
        <v>43519</v>
      </c>
      <c r="G306" s="2">
        <v>0.52013888888888882</v>
      </c>
      <c r="H306" t="s">
        <v>29</v>
      </c>
      <c r="I306">
        <v>119.68</v>
      </c>
      <c r="J306">
        <v>4.7619047620000003</v>
      </c>
      <c r="K306">
        <v>5.984</v>
      </c>
      <c r="L306">
        <v>8.6</v>
      </c>
    </row>
    <row r="307" spans="1:12" x14ac:dyDescent="0.25">
      <c r="A307" t="s">
        <v>341</v>
      </c>
      <c r="B307">
        <v>72.2</v>
      </c>
      <c r="C307">
        <v>7</v>
      </c>
      <c r="D307">
        <v>25.27</v>
      </c>
      <c r="E307">
        <v>530.66999999999996</v>
      </c>
      <c r="F307" s="1">
        <v>43550</v>
      </c>
      <c r="G307" s="2">
        <v>0.84305555555555556</v>
      </c>
      <c r="H307" t="s">
        <v>23</v>
      </c>
      <c r="I307">
        <v>505.4</v>
      </c>
      <c r="J307">
        <v>4.7619047620000003</v>
      </c>
      <c r="K307">
        <v>25.27</v>
      </c>
      <c r="L307">
        <v>4.3</v>
      </c>
    </row>
    <row r="308" spans="1:12" x14ac:dyDescent="0.25">
      <c r="A308" t="s">
        <v>342</v>
      </c>
      <c r="B308">
        <v>40.229999999999997</v>
      </c>
      <c r="C308">
        <v>7</v>
      </c>
      <c r="D308">
        <v>14.080500000000001</v>
      </c>
      <c r="E308">
        <v>295.69049999999999</v>
      </c>
      <c r="F308" s="1">
        <v>43554</v>
      </c>
      <c r="G308" s="2">
        <v>0.55694444444444446</v>
      </c>
      <c r="H308" t="s">
        <v>29</v>
      </c>
      <c r="I308">
        <v>281.61</v>
      </c>
      <c r="J308">
        <v>4.7619047620000003</v>
      </c>
      <c r="K308">
        <v>14.080500000000001</v>
      </c>
      <c r="L308">
        <v>9.6</v>
      </c>
    </row>
    <row r="309" spans="1:12" x14ac:dyDescent="0.25">
      <c r="A309" t="s">
        <v>343</v>
      </c>
      <c r="B309">
        <v>88.79</v>
      </c>
      <c r="C309">
        <v>8</v>
      </c>
      <c r="D309">
        <v>35.515999999999998</v>
      </c>
      <c r="E309">
        <v>745.83600000000001</v>
      </c>
      <c r="F309" s="1">
        <v>43513</v>
      </c>
      <c r="G309" s="2">
        <v>0.71458333333333324</v>
      </c>
      <c r="H309" t="s">
        <v>29</v>
      </c>
      <c r="I309">
        <v>710.32</v>
      </c>
      <c r="J309">
        <v>4.7619047620000003</v>
      </c>
      <c r="K309">
        <v>35.515999999999998</v>
      </c>
      <c r="L309">
        <v>4.0999999999999996</v>
      </c>
    </row>
    <row r="310" spans="1:12" x14ac:dyDescent="0.25">
      <c r="A310" t="s">
        <v>344</v>
      </c>
      <c r="B310">
        <v>26.48</v>
      </c>
      <c r="C310">
        <v>3</v>
      </c>
      <c r="D310">
        <v>3.972</v>
      </c>
      <c r="E310">
        <v>83.412000000000006</v>
      </c>
      <c r="F310" s="1">
        <v>43545</v>
      </c>
      <c r="G310" s="2">
        <v>0.44444444444444442</v>
      </c>
      <c r="H310" t="s">
        <v>23</v>
      </c>
      <c r="I310">
        <v>79.44</v>
      </c>
      <c r="J310">
        <v>4.7619047620000003</v>
      </c>
      <c r="K310">
        <v>3.972</v>
      </c>
      <c r="L310">
        <v>4.7</v>
      </c>
    </row>
    <row r="311" spans="1:12" x14ac:dyDescent="0.25">
      <c r="A311" t="s">
        <v>345</v>
      </c>
      <c r="B311">
        <v>81.91</v>
      </c>
      <c r="C311">
        <v>2</v>
      </c>
      <c r="D311">
        <v>8.1910000000000007</v>
      </c>
      <c r="E311">
        <v>172.011</v>
      </c>
      <c r="F311" s="1">
        <v>43529</v>
      </c>
      <c r="G311" s="2">
        <v>0.73819444444444438</v>
      </c>
      <c r="H311" t="s">
        <v>29</v>
      </c>
      <c r="I311">
        <v>163.82</v>
      </c>
      <c r="J311">
        <v>4.7619047620000003</v>
      </c>
      <c r="K311">
        <v>8.1910000000000007</v>
      </c>
      <c r="L311">
        <v>7.8</v>
      </c>
    </row>
    <row r="312" spans="1:12" x14ac:dyDescent="0.25">
      <c r="A312" t="s">
        <v>346</v>
      </c>
      <c r="B312">
        <v>79.930000000000007</v>
      </c>
      <c r="C312">
        <v>6</v>
      </c>
      <c r="D312">
        <v>23.978999999999999</v>
      </c>
      <c r="E312">
        <v>503.55900000000003</v>
      </c>
      <c r="F312" s="1">
        <v>43496</v>
      </c>
      <c r="G312" s="2">
        <v>0.58611111111111114</v>
      </c>
      <c r="H312" t="s">
        <v>29</v>
      </c>
      <c r="I312">
        <v>479.58</v>
      </c>
      <c r="J312">
        <v>4.7619047620000003</v>
      </c>
      <c r="K312">
        <v>23.978999999999999</v>
      </c>
      <c r="L312">
        <v>5.5</v>
      </c>
    </row>
    <row r="313" spans="1:12" x14ac:dyDescent="0.25">
      <c r="A313" t="s">
        <v>347</v>
      </c>
      <c r="B313">
        <v>69.33</v>
      </c>
      <c r="C313">
        <v>2</v>
      </c>
      <c r="D313">
        <v>6.9329999999999998</v>
      </c>
      <c r="E313">
        <v>145.59299999999999</v>
      </c>
      <c r="F313" s="1">
        <v>43501</v>
      </c>
      <c r="G313" s="2">
        <v>0.79513888888888884</v>
      </c>
      <c r="H313" t="s">
        <v>23</v>
      </c>
      <c r="I313">
        <v>138.66</v>
      </c>
      <c r="J313">
        <v>4.7619047620000003</v>
      </c>
      <c r="K313">
        <v>6.9329999999999998</v>
      </c>
      <c r="L313">
        <v>9.6999999999999993</v>
      </c>
    </row>
    <row r="314" spans="1:12" x14ac:dyDescent="0.25">
      <c r="A314" t="s">
        <v>348</v>
      </c>
      <c r="B314">
        <v>14.23</v>
      </c>
      <c r="C314">
        <v>5</v>
      </c>
      <c r="D314">
        <v>3.5575000000000001</v>
      </c>
      <c r="E314">
        <v>74.707499999999996</v>
      </c>
      <c r="F314" s="1">
        <v>43497</v>
      </c>
      <c r="G314" s="2">
        <v>0.42222222222222222</v>
      </c>
      <c r="H314" t="s">
        <v>33</v>
      </c>
      <c r="I314">
        <v>71.150000000000006</v>
      </c>
      <c r="J314">
        <v>4.7619047620000003</v>
      </c>
      <c r="K314">
        <v>3.5575000000000001</v>
      </c>
      <c r="L314">
        <v>4.4000000000000004</v>
      </c>
    </row>
    <row r="315" spans="1:12" x14ac:dyDescent="0.25">
      <c r="A315" t="s">
        <v>349</v>
      </c>
      <c r="B315">
        <v>15.55</v>
      </c>
      <c r="C315">
        <v>9</v>
      </c>
      <c r="D315">
        <v>6.9974999999999996</v>
      </c>
      <c r="E315">
        <v>146.94749999999999</v>
      </c>
      <c r="F315" s="1">
        <v>43531</v>
      </c>
      <c r="G315" s="2">
        <v>0.54999999999999993</v>
      </c>
      <c r="H315" t="s">
        <v>29</v>
      </c>
      <c r="I315">
        <v>139.94999999999999</v>
      </c>
      <c r="J315">
        <v>4.7619047620000003</v>
      </c>
      <c r="K315">
        <v>6.9974999999999996</v>
      </c>
      <c r="L315">
        <v>5</v>
      </c>
    </row>
    <row r="316" spans="1:12" x14ac:dyDescent="0.25">
      <c r="A316" t="s">
        <v>350</v>
      </c>
      <c r="B316">
        <v>78.13</v>
      </c>
      <c r="C316">
        <v>10</v>
      </c>
      <c r="D316">
        <v>39.064999999999998</v>
      </c>
      <c r="E316">
        <v>820.36500000000001</v>
      </c>
      <c r="F316" s="1">
        <v>43506</v>
      </c>
      <c r="G316" s="2">
        <v>0.86875000000000002</v>
      </c>
      <c r="H316" t="s">
        <v>29</v>
      </c>
      <c r="I316">
        <v>781.3</v>
      </c>
      <c r="J316">
        <v>4.7619047620000003</v>
      </c>
      <c r="K316">
        <v>39.064999999999998</v>
      </c>
      <c r="L316">
        <v>4.4000000000000004</v>
      </c>
    </row>
    <row r="317" spans="1:12" x14ac:dyDescent="0.25">
      <c r="A317" t="s">
        <v>351</v>
      </c>
      <c r="B317">
        <v>99.37</v>
      </c>
      <c r="C317">
        <v>2</v>
      </c>
      <c r="D317">
        <v>9.9369999999999994</v>
      </c>
      <c r="E317">
        <v>208.67699999999999</v>
      </c>
      <c r="F317" s="1">
        <v>43510</v>
      </c>
      <c r="G317" s="2">
        <v>0.7284722222222223</v>
      </c>
      <c r="H317" t="s">
        <v>29</v>
      </c>
      <c r="I317">
        <v>198.74</v>
      </c>
      <c r="J317">
        <v>4.7619047620000003</v>
      </c>
      <c r="K317">
        <v>9.9369999999999994</v>
      </c>
      <c r="L317">
        <v>5.2</v>
      </c>
    </row>
    <row r="318" spans="1:12" x14ac:dyDescent="0.25">
      <c r="A318" t="s">
        <v>352</v>
      </c>
      <c r="B318">
        <v>21.08</v>
      </c>
      <c r="C318">
        <v>3</v>
      </c>
      <c r="D318">
        <v>3.1619999999999999</v>
      </c>
      <c r="E318">
        <v>66.402000000000001</v>
      </c>
      <c r="F318" s="1">
        <v>43505</v>
      </c>
      <c r="G318" s="2">
        <v>0.43402777777777773</v>
      </c>
      <c r="H318" t="s">
        <v>29</v>
      </c>
      <c r="I318">
        <v>63.24</v>
      </c>
      <c r="J318">
        <v>4.7619047620000003</v>
      </c>
      <c r="K318">
        <v>3.1619999999999999</v>
      </c>
      <c r="L318">
        <v>7.3</v>
      </c>
    </row>
    <row r="319" spans="1:12" x14ac:dyDescent="0.25">
      <c r="A319" t="s">
        <v>353</v>
      </c>
      <c r="B319">
        <v>74.790000000000006</v>
      </c>
      <c r="C319">
        <v>5</v>
      </c>
      <c r="D319">
        <v>18.697500000000002</v>
      </c>
      <c r="E319">
        <v>392.64749999999998</v>
      </c>
      <c r="F319" s="1">
        <v>43475</v>
      </c>
      <c r="G319" s="2">
        <v>0.48194444444444445</v>
      </c>
      <c r="H319" t="s">
        <v>29</v>
      </c>
      <c r="I319">
        <v>373.95</v>
      </c>
      <c r="J319">
        <v>4.7619047620000003</v>
      </c>
      <c r="K319">
        <v>18.697500000000002</v>
      </c>
      <c r="L319">
        <v>4.9000000000000004</v>
      </c>
    </row>
    <row r="320" spans="1:12" x14ac:dyDescent="0.25">
      <c r="A320" t="s">
        <v>354</v>
      </c>
      <c r="B320">
        <v>29.67</v>
      </c>
      <c r="C320">
        <v>7</v>
      </c>
      <c r="D320">
        <v>10.384499999999999</v>
      </c>
      <c r="E320">
        <v>218.0745</v>
      </c>
      <c r="F320" s="1">
        <v>43535</v>
      </c>
      <c r="G320" s="2">
        <v>0.79027777777777775</v>
      </c>
      <c r="H320" t="s">
        <v>33</v>
      </c>
      <c r="I320">
        <v>207.69</v>
      </c>
      <c r="J320">
        <v>4.7619047620000003</v>
      </c>
      <c r="K320">
        <v>10.384499999999999</v>
      </c>
      <c r="L320">
        <v>8.1</v>
      </c>
    </row>
    <row r="321" spans="1:12" x14ac:dyDescent="0.25">
      <c r="A321" t="s">
        <v>355</v>
      </c>
      <c r="B321">
        <v>44.07</v>
      </c>
      <c r="C321">
        <v>4</v>
      </c>
      <c r="D321">
        <v>8.8140000000000001</v>
      </c>
      <c r="E321">
        <v>185.09399999999999</v>
      </c>
      <c r="F321" s="1">
        <v>43514</v>
      </c>
      <c r="G321" s="2">
        <v>0.68611111111111101</v>
      </c>
      <c r="H321" t="s">
        <v>23</v>
      </c>
      <c r="I321">
        <v>176.28</v>
      </c>
      <c r="J321">
        <v>4.7619047620000003</v>
      </c>
      <c r="K321">
        <v>8.8140000000000001</v>
      </c>
      <c r="L321">
        <v>8.4</v>
      </c>
    </row>
    <row r="322" spans="1:12" x14ac:dyDescent="0.25">
      <c r="A322" t="s">
        <v>356</v>
      </c>
      <c r="B322">
        <v>22.93</v>
      </c>
      <c r="C322">
        <v>9</v>
      </c>
      <c r="D322">
        <v>10.3185</v>
      </c>
      <c r="E322">
        <v>216.6885</v>
      </c>
      <c r="F322" s="1">
        <v>43522</v>
      </c>
      <c r="G322" s="2">
        <v>0.85138888888888886</v>
      </c>
      <c r="H322" t="s">
        <v>29</v>
      </c>
      <c r="I322">
        <v>206.37</v>
      </c>
      <c r="J322">
        <v>4.7619047620000003</v>
      </c>
      <c r="K322">
        <v>10.3185</v>
      </c>
      <c r="L322">
        <v>5.5</v>
      </c>
    </row>
    <row r="323" spans="1:12" x14ac:dyDescent="0.25">
      <c r="A323" t="s">
        <v>357</v>
      </c>
      <c r="B323">
        <v>39.42</v>
      </c>
      <c r="C323">
        <v>1</v>
      </c>
      <c r="D323">
        <v>1.9710000000000001</v>
      </c>
      <c r="E323">
        <v>41.390999999999998</v>
      </c>
      <c r="F323" s="1">
        <v>43483</v>
      </c>
      <c r="G323" s="2">
        <v>0.63055555555555554</v>
      </c>
      <c r="H323" t="s">
        <v>29</v>
      </c>
      <c r="I323">
        <v>39.42</v>
      </c>
      <c r="J323">
        <v>4.7619047620000003</v>
      </c>
      <c r="K323">
        <v>1.9710000000000001</v>
      </c>
      <c r="L323">
        <v>8.4</v>
      </c>
    </row>
    <row r="324" spans="1:12" x14ac:dyDescent="0.25">
      <c r="A324" t="s">
        <v>358</v>
      </c>
      <c r="B324">
        <v>15.26</v>
      </c>
      <c r="C324">
        <v>6</v>
      </c>
      <c r="D324">
        <v>4.5780000000000003</v>
      </c>
      <c r="E324">
        <v>96.138000000000005</v>
      </c>
      <c r="F324" s="1">
        <v>43511</v>
      </c>
      <c r="G324" s="2">
        <v>0.75208333333333333</v>
      </c>
      <c r="H324" t="s">
        <v>23</v>
      </c>
      <c r="I324">
        <v>91.56</v>
      </c>
      <c r="J324">
        <v>4.7619047620000003</v>
      </c>
      <c r="K324">
        <v>4.5780000000000003</v>
      </c>
      <c r="L324">
        <v>9.8000000000000007</v>
      </c>
    </row>
    <row r="325" spans="1:12" x14ac:dyDescent="0.25">
      <c r="A325" t="s">
        <v>359</v>
      </c>
      <c r="B325">
        <v>61.77</v>
      </c>
      <c r="C325">
        <v>5</v>
      </c>
      <c r="D325">
        <v>15.442500000000001</v>
      </c>
      <c r="E325">
        <v>324.29250000000002</v>
      </c>
      <c r="F325" s="1">
        <v>43532</v>
      </c>
      <c r="G325" s="2">
        <v>0.55625000000000002</v>
      </c>
      <c r="H325" t="s">
        <v>29</v>
      </c>
      <c r="I325">
        <v>308.85000000000002</v>
      </c>
      <c r="J325">
        <v>4.7619047620000003</v>
      </c>
      <c r="K325">
        <v>15.442500000000001</v>
      </c>
      <c r="L325">
        <v>6.7</v>
      </c>
    </row>
    <row r="326" spans="1:12" x14ac:dyDescent="0.25">
      <c r="A326" t="s">
        <v>360</v>
      </c>
      <c r="B326">
        <v>21.52</v>
      </c>
      <c r="C326">
        <v>6</v>
      </c>
      <c r="D326">
        <v>6.4560000000000004</v>
      </c>
      <c r="E326">
        <v>135.57599999999999</v>
      </c>
      <c r="F326" s="1">
        <v>43482</v>
      </c>
      <c r="G326" s="2">
        <v>0.53333333333333333</v>
      </c>
      <c r="H326" t="s">
        <v>33</v>
      </c>
      <c r="I326">
        <v>129.12</v>
      </c>
      <c r="J326">
        <v>4.7619047620000003</v>
      </c>
      <c r="K326">
        <v>6.4560000000000004</v>
      </c>
      <c r="L326">
        <v>9.4</v>
      </c>
    </row>
    <row r="327" spans="1:12" x14ac:dyDescent="0.25">
      <c r="A327" t="s">
        <v>361</v>
      </c>
      <c r="B327">
        <v>97.74</v>
      </c>
      <c r="C327">
        <v>4</v>
      </c>
      <c r="D327">
        <v>19.547999999999998</v>
      </c>
      <c r="E327">
        <v>410.50799999999998</v>
      </c>
      <c r="F327" s="1">
        <v>43536</v>
      </c>
      <c r="G327" s="2">
        <v>0.82847222222222217</v>
      </c>
      <c r="H327" t="s">
        <v>23</v>
      </c>
      <c r="I327">
        <v>390.96</v>
      </c>
      <c r="J327">
        <v>4.7619047620000003</v>
      </c>
      <c r="K327">
        <v>19.547999999999998</v>
      </c>
      <c r="L327">
        <v>6.4</v>
      </c>
    </row>
    <row r="328" spans="1:12" x14ac:dyDescent="0.25">
      <c r="A328" t="s">
        <v>362</v>
      </c>
      <c r="B328">
        <v>99.78</v>
      </c>
      <c r="C328">
        <v>5</v>
      </c>
      <c r="D328">
        <v>24.945</v>
      </c>
      <c r="E328">
        <v>523.84500000000003</v>
      </c>
      <c r="F328" s="1">
        <v>43533</v>
      </c>
      <c r="G328" s="2">
        <v>0.79791666666666661</v>
      </c>
      <c r="H328" t="s">
        <v>29</v>
      </c>
      <c r="I328">
        <v>498.9</v>
      </c>
      <c r="J328">
        <v>4.7619047620000003</v>
      </c>
      <c r="K328">
        <v>24.945</v>
      </c>
      <c r="L328">
        <v>5.4</v>
      </c>
    </row>
    <row r="329" spans="1:12" x14ac:dyDescent="0.25">
      <c r="A329" t="s">
        <v>363</v>
      </c>
      <c r="B329">
        <v>94.26</v>
      </c>
      <c r="C329">
        <v>4</v>
      </c>
      <c r="D329">
        <v>18.852</v>
      </c>
      <c r="E329">
        <v>395.892</v>
      </c>
      <c r="F329" s="1">
        <v>43536</v>
      </c>
      <c r="G329" s="2">
        <v>0.6875</v>
      </c>
      <c r="H329" t="s">
        <v>29</v>
      </c>
      <c r="I329">
        <v>377.04</v>
      </c>
      <c r="J329">
        <v>4.7619047620000003</v>
      </c>
      <c r="K329">
        <v>18.852</v>
      </c>
      <c r="L329">
        <v>8.6</v>
      </c>
    </row>
    <row r="330" spans="1:12" x14ac:dyDescent="0.25">
      <c r="A330" t="s">
        <v>364</v>
      </c>
      <c r="B330">
        <v>51.13</v>
      </c>
      <c r="C330">
        <v>4</v>
      </c>
      <c r="D330">
        <v>10.226000000000001</v>
      </c>
      <c r="E330">
        <v>214.74600000000001</v>
      </c>
      <c r="F330" s="1">
        <v>43490</v>
      </c>
      <c r="G330" s="2">
        <v>0.42430555555555555</v>
      </c>
      <c r="H330" t="s">
        <v>33</v>
      </c>
      <c r="I330">
        <v>204.52</v>
      </c>
      <c r="J330">
        <v>4.7619047620000003</v>
      </c>
      <c r="K330">
        <v>10.226000000000001</v>
      </c>
      <c r="L330">
        <v>4</v>
      </c>
    </row>
    <row r="331" spans="1:12" x14ac:dyDescent="0.25">
      <c r="A331" t="s">
        <v>365</v>
      </c>
      <c r="B331">
        <v>36.36</v>
      </c>
      <c r="C331">
        <v>4</v>
      </c>
      <c r="D331">
        <v>7.2720000000000002</v>
      </c>
      <c r="E331">
        <v>152.71199999999999</v>
      </c>
      <c r="F331" s="1">
        <v>43549</v>
      </c>
      <c r="G331" s="2">
        <v>0.54652777777777783</v>
      </c>
      <c r="H331" t="s">
        <v>29</v>
      </c>
      <c r="I331">
        <v>145.44</v>
      </c>
      <c r="J331">
        <v>4.7619047620000003</v>
      </c>
      <c r="K331">
        <v>7.2720000000000002</v>
      </c>
      <c r="L331">
        <v>7.6</v>
      </c>
    </row>
    <row r="332" spans="1:12" x14ac:dyDescent="0.25">
      <c r="A332" t="s">
        <v>366</v>
      </c>
      <c r="B332">
        <v>22.02</v>
      </c>
      <c r="C332">
        <v>9</v>
      </c>
      <c r="D332">
        <v>9.9090000000000007</v>
      </c>
      <c r="E332">
        <v>208.089</v>
      </c>
      <c r="F332" s="1">
        <v>43503</v>
      </c>
      <c r="G332" s="2">
        <v>0.78333333333333333</v>
      </c>
      <c r="H332" t="s">
        <v>29</v>
      </c>
      <c r="I332">
        <v>198.18</v>
      </c>
      <c r="J332">
        <v>4.7619047620000003</v>
      </c>
      <c r="K332">
        <v>9.9090000000000007</v>
      </c>
      <c r="L332">
        <v>6.8</v>
      </c>
    </row>
    <row r="333" spans="1:12" x14ac:dyDescent="0.25">
      <c r="A333" t="s">
        <v>367</v>
      </c>
      <c r="B333">
        <v>32.9</v>
      </c>
      <c r="C333">
        <v>3</v>
      </c>
      <c r="D333">
        <v>4.9349999999999996</v>
      </c>
      <c r="E333">
        <v>103.63500000000001</v>
      </c>
      <c r="F333" s="1">
        <v>43513</v>
      </c>
      <c r="G333" s="2">
        <v>0.7270833333333333</v>
      </c>
      <c r="H333" t="s">
        <v>33</v>
      </c>
      <c r="I333">
        <v>98.7</v>
      </c>
      <c r="J333">
        <v>4.7619047620000003</v>
      </c>
      <c r="K333">
        <v>4.9349999999999996</v>
      </c>
      <c r="L333">
        <v>9.1</v>
      </c>
    </row>
    <row r="334" spans="1:12" x14ac:dyDescent="0.25">
      <c r="A334" t="s">
        <v>368</v>
      </c>
      <c r="B334">
        <v>77.02</v>
      </c>
      <c r="C334">
        <v>5</v>
      </c>
      <c r="D334">
        <v>19.254999999999999</v>
      </c>
      <c r="E334">
        <v>404.35500000000002</v>
      </c>
      <c r="F334" s="1">
        <v>43499</v>
      </c>
      <c r="G334" s="2">
        <v>0.66597222222222219</v>
      </c>
      <c r="H334" t="s">
        <v>29</v>
      </c>
      <c r="I334">
        <v>385.1</v>
      </c>
      <c r="J334">
        <v>4.7619047620000003</v>
      </c>
      <c r="K334">
        <v>19.254999999999999</v>
      </c>
      <c r="L334">
        <v>5.5</v>
      </c>
    </row>
    <row r="335" spans="1:12" x14ac:dyDescent="0.25">
      <c r="A335" t="s">
        <v>369</v>
      </c>
      <c r="B335">
        <v>23.48</v>
      </c>
      <c r="C335">
        <v>2</v>
      </c>
      <c r="D335">
        <v>2.3479999999999999</v>
      </c>
      <c r="E335">
        <v>49.308</v>
      </c>
      <c r="F335" s="1">
        <v>43538</v>
      </c>
      <c r="G335" s="2">
        <v>0.47291666666666665</v>
      </c>
      <c r="H335" t="s">
        <v>33</v>
      </c>
      <c r="I335">
        <v>46.96</v>
      </c>
      <c r="J335">
        <v>4.7619047620000003</v>
      </c>
      <c r="K335">
        <v>2.3479999999999999</v>
      </c>
      <c r="L335">
        <v>7.9</v>
      </c>
    </row>
    <row r="336" spans="1:12" x14ac:dyDescent="0.25">
      <c r="A336" t="s">
        <v>370</v>
      </c>
      <c r="B336">
        <v>14.7</v>
      </c>
      <c r="C336">
        <v>5</v>
      </c>
      <c r="D336">
        <v>3.6749999999999998</v>
      </c>
      <c r="E336">
        <v>77.174999999999997</v>
      </c>
      <c r="F336" s="1">
        <v>43548</v>
      </c>
      <c r="G336" s="2">
        <v>0.57500000000000007</v>
      </c>
      <c r="H336" t="s">
        <v>23</v>
      </c>
      <c r="I336">
        <v>73.5</v>
      </c>
      <c r="J336">
        <v>4.7619047620000003</v>
      </c>
      <c r="K336">
        <v>3.6749999999999998</v>
      </c>
      <c r="L336">
        <v>8.5</v>
      </c>
    </row>
    <row r="337" spans="1:12" x14ac:dyDescent="0.25">
      <c r="A337" t="s">
        <v>371</v>
      </c>
      <c r="B337">
        <v>28.45</v>
      </c>
      <c r="C337">
        <v>5</v>
      </c>
      <c r="D337">
        <v>7.1124999999999998</v>
      </c>
      <c r="E337">
        <v>149.36250000000001</v>
      </c>
      <c r="F337" s="1">
        <v>43545</v>
      </c>
      <c r="G337" s="2">
        <v>0.4284722222222222</v>
      </c>
      <c r="H337" t="s">
        <v>33</v>
      </c>
      <c r="I337">
        <v>142.25</v>
      </c>
      <c r="J337">
        <v>4.7619047620000003</v>
      </c>
      <c r="K337">
        <v>7.1124999999999998</v>
      </c>
      <c r="L337">
        <v>9.1</v>
      </c>
    </row>
    <row r="338" spans="1:12" x14ac:dyDescent="0.25">
      <c r="A338" t="s">
        <v>372</v>
      </c>
      <c r="B338">
        <v>76.400000000000006</v>
      </c>
      <c r="C338">
        <v>9</v>
      </c>
      <c r="D338">
        <v>34.380000000000003</v>
      </c>
      <c r="E338">
        <v>721.98</v>
      </c>
      <c r="F338" s="1">
        <v>43543</v>
      </c>
      <c r="G338" s="2">
        <v>0.65902777777777777</v>
      </c>
      <c r="H338" t="s">
        <v>23</v>
      </c>
      <c r="I338">
        <v>687.6</v>
      </c>
      <c r="J338">
        <v>4.7619047620000003</v>
      </c>
      <c r="K338">
        <v>34.380000000000003</v>
      </c>
      <c r="L338">
        <v>7.5</v>
      </c>
    </row>
    <row r="339" spans="1:12" x14ac:dyDescent="0.25">
      <c r="A339" t="s">
        <v>373</v>
      </c>
      <c r="B339">
        <v>57.95</v>
      </c>
      <c r="C339">
        <v>6</v>
      </c>
      <c r="D339">
        <v>17.385000000000002</v>
      </c>
      <c r="E339">
        <v>365.08499999999998</v>
      </c>
      <c r="F339" s="1">
        <v>43520</v>
      </c>
      <c r="G339" s="2">
        <v>0.54305555555555551</v>
      </c>
      <c r="H339" t="s">
        <v>29</v>
      </c>
      <c r="I339">
        <v>347.7</v>
      </c>
      <c r="J339">
        <v>4.7619047620000003</v>
      </c>
      <c r="K339">
        <v>17.385000000000002</v>
      </c>
      <c r="L339">
        <v>5.2</v>
      </c>
    </row>
    <row r="340" spans="1:12" x14ac:dyDescent="0.25">
      <c r="A340" t="s">
        <v>374</v>
      </c>
      <c r="B340">
        <v>47.65</v>
      </c>
      <c r="C340">
        <v>3</v>
      </c>
      <c r="D340">
        <v>7.1475</v>
      </c>
      <c r="E340">
        <v>150.0975</v>
      </c>
      <c r="F340" s="1">
        <v>43552</v>
      </c>
      <c r="G340" s="2">
        <v>0.54027777777777775</v>
      </c>
      <c r="H340" t="s">
        <v>33</v>
      </c>
      <c r="I340">
        <v>142.94999999999999</v>
      </c>
      <c r="J340">
        <v>4.7619047620000003</v>
      </c>
      <c r="K340">
        <v>7.1475</v>
      </c>
      <c r="L340">
        <v>9.5</v>
      </c>
    </row>
    <row r="341" spans="1:12" x14ac:dyDescent="0.25">
      <c r="A341" t="s">
        <v>375</v>
      </c>
      <c r="B341">
        <v>42.82</v>
      </c>
      <c r="C341">
        <v>9</v>
      </c>
      <c r="D341">
        <v>19.268999999999998</v>
      </c>
      <c r="E341">
        <v>404.649</v>
      </c>
      <c r="F341" s="1">
        <v>43501</v>
      </c>
      <c r="G341" s="2">
        <v>0.6430555555555556</v>
      </c>
      <c r="H341" t="s">
        <v>33</v>
      </c>
      <c r="I341">
        <v>385.38</v>
      </c>
      <c r="J341">
        <v>4.7619047620000003</v>
      </c>
      <c r="K341">
        <v>19.268999999999998</v>
      </c>
      <c r="L341">
        <v>8.9</v>
      </c>
    </row>
    <row r="342" spans="1:12" x14ac:dyDescent="0.25">
      <c r="A342" t="s">
        <v>376</v>
      </c>
      <c r="B342">
        <v>48.09</v>
      </c>
      <c r="C342">
        <v>3</v>
      </c>
      <c r="D342">
        <v>7.2134999999999998</v>
      </c>
      <c r="E342">
        <v>151.48349999999999</v>
      </c>
      <c r="F342" s="1">
        <v>43506</v>
      </c>
      <c r="G342" s="2">
        <v>0.76597222222222217</v>
      </c>
      <c r="H342" t="s">
        <v>33</v>
      </c>
      <c r="I342">
        <v>144.27000000000001</v>
      </c>
      <c r="J342">
        <v>4.7619047620000003</v>
      </c>
      <c r="K342">
        <v>7.2134999999999998</v>
      </c>
      <c r="L342">
        <v>7.8</v>
      </c>
    </row>
    <row r="343" spans="1:12" x14ac:dyDescent="0.25">
      <c r="A343" t="s">
        <v>377</v>
      </c>
      <c r="B343">
        <v>55.97</v>
      </c>
      <c r="C343">
        <v>7</v>
      </c>
      <c r="D343">
        <v>19.589500000000001</v>
      </c>
      <c r="E343">
        <v>411.37950000000001</v>
      </c>
      <c r="F343" s="1">
        <v>43529</v>
      </c>
      <c r="G343" s="2">
        <v>0.79583333333333339</v>
      </c>
      <c r="H343" t="s">
        <v>23</v>
      </c>
      <c r="I343">
        <v>391.79</v>
      </c>
      <c r="J343">
        <v>4.7619047620000003</v>
      </c>
      <c r="K343">
        <v>19.589500000000001</v>
      </c>
      <c r="L343">
        <v>8.9</v>
      </c>
    </row>
    <row r="344" spans="1:12" x14ac:dyDescent="0.25">
      <c r="A344" t="s">
        <v>378</v>
      </c>
      <c r="B344">
        <v>76.900000000000006</v>
      </c>
      <c r="C344">
        <v>7</v>
      </c>
      <c r="D344">
        <v>26.914999999999999</v>
      </c>
      <c r="E344">
        <v>565.21500000000003</v>
      </c>
      <c r="F344" s="1">
        <v>43511</v>
      </c>
      <c r="G344" s="2">
        <v>0.84791666666666676</v>
      </c>
      <c r="H344" t="s">
        <v>29</v>
      </c>
      <c r="I344">
        <v>538.29999999999995</v>
      </c>
      <c r="J344">
        <v>4.7619047620000003</v>
      </c>
      <c r="K344">
        <v>26.914999999999999</v>
      </c>
      <c r="L344">
        <v>7.7</v>
      </c>
    </row>
    <row r="345" spans="1:12" x14ac:dyDescent="0.25">
      <c r="A345" t="s">
        <v>379</v>
      </c>
      <c r="B345">
        <v>97.03</v>
      </c>
      <c r="C345">
        <v>5</v>
      </c>
      <c r="D345">
        <v>24.2575</v>
      </c>
      <c r="E345">
        <v>509.40750000000003</v>
      </c>
      <c r="F345" s="1">
        <v>43495</v>
      </c>
      <c r="G345" s="2">
        <v>0.68333333333333324</v>
      </c>
      <c r="H345" t="s">
        <v>23</v>
      </c>
      <c r="I345">
        <v>485.15</v>
      </c>
      <c r="J345">
        <v>4.7619047620000003</v>
      </c>
      <c r="K345">
        <v>24.2575</v>
      </c>
      <c r="L345">
        <v>9.3000000000000007</v>
      </c>
    </row>
    <row r="346" spans="1:12" x14ac:dyDescent="0.25">
      <c r="A346" t="s">
        <v>380</v>
      </c>
      <c r="B346">
        <v>44.65</v>
      </c>
      <c r="C346">
        <v>3</v>
      </c>
      <c r="D346">
        <v>6.6974999999999998</v>
      </c>
      <c r="E346">
        <v>140.64750000000001</v>
      </c>
      <c r="F346" s="1">
        <v>43510</v>
      </c>
      <c r="G346" s="2">
        <v>0.62777777777777777</v>
      </c>
      <c r="H346" t="s">
        <v>29</v>
      </c>
      <c r="I346">
        <v>133.94999999999999</v>
      </c>
      <c r="J346">
        <v>4.7619047620000003</v>
      </c>
      <c r="K346">
        <v>6.6974999999999998</v>
      </c>
      <c r="L346">
        <v>6.2</v>
      </c>
    </row>
    <row r="347" spans="1:12" x14ac:dyDescent="0.25">
      <c r="A347" t="s">
        <v>381</v>
      </c>
      <c r="B347">
        <v>77.930000000000007</v>
      </c>
      <c r="C347">
        <v>9</v>
      </c>
      <c r="D347">
        <v>35.0685</v>
      </c>
      <c r="E347">
        <v>736.43849999999998</v>
      </c>
      <c r="F347" s="1">
        <v>43523</v>
      </c>
      <c r="G347" s="2">
        <v>0.67361111111111116</v>
      </c>
      <c r="H347" t="s">
        <v>23</v>
      </c>
      <c r="I347">
        <v>701.37</v>
      </c>
      <c r="J347">
        <v>4.7619047620000003</v>
      </c>
      <c r="K347">
        <v>35.0685</v>
      </c>
      <c r="L347">
        <v>7.6</v>
      </c>
    </row>
    <row r="348" spans="1:12" x14ac:dyDescent="0.25">
      <c r="A348" t="s">
        <v>382</v>
      </c>
      <c r="B348">
        <v>71.95</v>
      </c>
      <c r="C348">
        <v>1</v>
      </c>
      <c r="D348">
        <v>3.5975000000000001</v>
      </c>
      <c r="E348">
        <v>75.547499999999999</v>
      </c>
      <c r="F348" s="1">
        <v>43500</v>
      </c>
      <c r="G348" s="2">
        <v>0.50972222222222219</v>
      </c>
      <c r="H348" t="s">
        <v>29</v>
      </c>
      <c r="I348">
        <v>71.95</v>
      </c>
      <c r="J348">
        <v>4.7619047620000003</v>
      </c>
      <c r="K348">
        <v>3.5975000000000001</v>
      </c>
      <c r="L348">
        <v>7.3</v>
      </c>
    </row>
    <row r="349" spans="1:12" x14ac:dyDescent="0.25">
      <c r="A349" t="s">
        <v>383</v>
      </c>
      <c r="B349">
        <v>89.25</v>
      </c>
      <c r="C349">
        <v>8</v>
      </c>
      <c r="D349">
        <v>35.700000000000003</v>
      </c>
      <c r="E349">
        <v>749.7</v>
      </c>
      <c r="F349" s="1">
        <v>43485</v>
      </c>
      <c r="G349" s="2">
        <v>0.42569444444444443</v>
      </c>
      <c r="H349" t="s">
        <v>29</v>
      </c>
      <c r="I349">
        <v>714</v>
      </c>
      <c r="J349">
        <v>4.7619047620000003</v>
      </c>
      <c r="K349">
        <v>35.700000000000003</v>
      </c>
      <c r="L349">
        <v>4.7</v>
      </c>
    </row>
    <row r="350" spans="1:12" x14ac:dyDescent="0.25">
      <c r="A350" t="s">
        <v>384</v>
      </c>
      <c r="B350">
        <v>26.02</v>
      </c>
      <c r="C350">
        <v>7</v>
      </c>
      <c r="D350">
        <v>9.1069999999999993</v>
      </c>
      <c r="E350">
        <v>191.24700000000001</v>
      </c>
      <c r="F350" s="1">
        <v>43552</v>
      </c>
      <c r="G350" s="2">
        <v>0.73472222222222217</v>
      </c>
      <c r="H350" t="s">
        <v>29</v>
      </c>
      <c r="I350">
        <v>182.14</v>
      </c>
      <c r="J350">
        <v>4.7619047620000003</v>
      </c>
      <c r="K350">
        <v>9.1069999999999993</v>
      </c>
      <c r="L350">
        <v>5.0999999999999996</v>
      </c>
    </row>
    <row r="351" spans="1:12" x14ac:dyDescent="0.25">
      <c r="A351" t="s">
        <v>385</v>
      </c>
      <c r="B351">
        <v>13.5</v>
      </c>
      <c r="C351">
        <v>10</v>
      </c>
      <c r="D351">
        <v>6.75</v>
      </c>
      <c r="E351">
        <v>141.75</v>
      </c>
      <c r="F351" s="1">
        <v>43523</v>
      </c>
      <c r="G351" s="2">
        <v>0.46249999999999997</v>
      </c>
      <c r="H351" t="s">
        <v>33</v>
      </c>
      <c r="I351">
        <v>135</v>
      </c>
      <c r="J351">
        <v>4.7619047620000003</v>
      </c>
      <c r="K351">
        <v>6.75</v>
      </c>
      <c r="L351">
        <v>4.8</v>
      </c>
    </row>
    <row r="352" spans="1:12" x14ac:dyDescent="0.25">
      <c r="A352" t="s">
        <v>386</v>
      </c>
      <c r="B352">
        <v>99.3</v>
      </c>
      <c r="C352">
        <v>10</v>
      </c>
      <c r="D352">
        <v>49.65</v>
      </c>
      <c r="E352">
        <v>1042.6500000000001</v>
      </c>
      <c r="F352" s="1">
        <v>43511</v>
      </c>
      <c r="G352" s="2">
        <v>0.62013888888888891</v>
      </c>
      <c r="H352" t="s">
        <v>33</v>
      </c>
      <c r="I352">
        <v>993</v>
      </c>
      <c r="J352">
        <v>4.7619047620000003</v>
      </c>
      <c r="K352">
        <v>49.65</v>
      </c>
      <c r="L352">
        <v>6.6</v>
      </c>
    </row>
    <row r="353" spans="1:12" x14ac:dyDescent="0.25">
      <c r="A353" t="s">
        <v>387</v>
      </c>
      <c r="B353">
        <v>51.69</v>
      </c>
      <c r="C353">
        <v>7</v>
      </c>
      <c r="D353">
        <v>18.0915</v>
      </c>
      <c r="E353">
        <v>379.92149999999998</v>
      </c>
      <c r="F353" s="1">
        <v>43491</v>
      </c>
      <c r="G353" s="2">
        <v>0.76527777777777783</v>
      </c>
      <c r="H353" t="s">
        <v>29</v>
      </c>
      <c r="I353">
        <v>361.83</v>
      </c>
      <c r="J353">
        <v>4.7619047620000003</v>
      </c>
      <c r="K353">
        <v>18.0915</v>
      </c>
      <c r="L353">
        <v>5.5</v>
      </c>
    </row>
    <row r="354" spans="1:12" x14ac:dyDescent="0.25">
      <c r="A354" t="s">
        <v>388</v>
      </c>
      <c r="B354">
        <v>54.73</v>
      </c>
      <c r="C354">
        <v>7</v>
      </c>
      <c r="D354">
        <v>19.1555</v>
      </c>
      <c r="E354">
        <v>402.26549999999997</v>
      </c>
      <c r="F354" s="1">
        <v>43538</v>
      </c>
      <c r="G354" s="2">
        <v>0.79305555555555562</v>
      </c>
      <c r="H354" t="s">
        <v>33</v>
      </c>
      <c r="I354">
        <v>383.11</v>
      </c>
      <c r="J354">
        <v>4.7619047620000003</v>
      </c>
      <c r="K354">
        <v>19.1555</v>
      </c>
      <c r="L354">
        <v>8.5</v>
      </c>
    </row>
    <row r="355" spans="1:12" x14ac:dyDescent="0.25">
      <c r="A355" t="s">
        <v>389</v>
      </c>
      <c r="B355">
        <v>27</v>
      </c>
      <c r="C355">
        <v>9</v>
      </c>
      <c r="D355">
        <v>12.15</v>
      </c>
      <c r="E355">
        <v>255.15</v>
      </c>
      <c r="F355" s="1">
        <v>43526</v>
      </c>
      <c r="G355" s="2">
        <v>0.59444444444444444</v>
      </c>
      <c r="H355" t="s">
        <v>29</v>
      </c>
      <c r="I355">
        <v>243</v>
      </c>
      <c r="J355">
        <v>4.7619047620000003</v>
      </c>
      <c r="K355">
        <v>12.15</v>
      </c>
      <c r="L355">
        <v>4.8</v>
      </c>
    </row>
    <row r="356" spans="1:12" x14ac:dyDescent="0.25">
      <c r="A356" t="s">
        <v>390</v>
      </c>
      <c r="B356">
        <v>30.24</v>
      </c>
      <c r="C356">
        <v>1</v>
      </c>
      <c r="D356">
        <v>1.512</v>
      </c>
      <c r="E356">
        <v>31.751999999999999</v>
      </c>
      <c r="F356" s="1">
        <v>43528</v>
      </c>
      <c r="G356" s="2">
        <v>0.65555555555555556</v>
      </c>
      <c r="H356" t="s">
        <v>29</v>
      </c>
      <c r="I356">
        <v>30.24</v>
      </c>
      <c r="J356">
        <v>4.7619047620000003</v>
      </c>
      <c r="K356">
        <v>1.512</v>
      </c>
      <c r="L356">
        <v>8.4</v>
      </c>
    </row>
    <row r="357" spans="1:12" x14ac:dyDescent="0.25">
      <c r="A357" t="s">
        <v>391</v>
      </c>
      <c r="B357">
        <v>89.14</v>
      </c>
      <c r="C357">
        <v>4</v>
      </c>
      <c r="D357">
        <v>17.827999999999999</v>
      </c>
      <c r="E357">
        <v>374.38799999999998</v>
      </c>
      <c r="F357" s="1">
        <v>43472</v>
      </c>
      <c r="G357" s="2">
        <v>0.51388888888888895</v>
      </c>
      <c r="H357" t="s">
        <v>33</v>
      </c>
      <c r="I357">
        <v>356.56</v>
      </c>
      <c r="J357">
        <v>4.7619047620000003</v>
      </c>
      <c r="K357">
        <v>17.827999999999999</v>
      </c>
      <c r="L357">
        <v>7.8</v>
      </c>
    </row>
    <row r="358" spans="1:12" x14ac:dyDescent="0.25">
      <c r="A358" t="s">
        <v>392</v>
      </c>
      <c r="B358">
        <v>37.549999999999997</v>
      </c>
      <c r="C358">
        <v>10</v>
      </c>
      <c r="D358">
        <v>18.774999999999999</v>
      </c>
      <c r="E358">
        <v>394.27499999999998</v>
      </c>
      <c r="F358" s="1">
        <v>43532</v>
      </c>
      <c r="G358" s="2">
        <v>0.8340277777777777</v>
      </c>
      <c r="H358" t="s">
        <v>33</v>
      </c>
      <c r="I358">
        <v>375.5</v>
      </c>
      <c r="J358">
        <v>4.7619047620000003</v>
      </c>
      <c r="K358">
        <v>18.774999999999999</v>
      </c>
      <c r="L358">
        <v>9.3000000000000007</v>
      </c>
    </row>
    <row r="359" spans="1:12" x14ac:dyDescent="0.25">
      <c r="A359" t="s">
        <v>393</v>
      </c>
      <c r="B359">
        <v>95.44</v>
      </c>
      <c r="C359">
        <v>10</v>
      </c>
      <c r="D359">
        <v>47.72</v>
      </c>
      <c r="E359">
        <v>1002.12</v>
      </c>
      <c r="F359" s="1">
        <v>43474</v>
      </c>
      <c r="G359" s="2">
        <v>0.57291666666666663</v>
      </c>
      <c r="H359" t="s">
        <v>29</v>
      </c>
      <c r="I359">
        <v>954.4</v>
      </c>
      <c r="J359">
        <v>4.7619047620000003</v>
      </c>
      <c r="K359">
        <v>47.72</v>
      </c>
      <c r="L359">
        <v>5.2</v>
      </c>
    </row>
    <row r="360" spans="1:12" x14ac:dyDescent="0.25">
      <c r="A360" t="s">
        <v>394</v>
      </c>
      <c r="B360">
        <v>27.5</v>
      </c>
      <c r="C360">
        <v>3</v>
      </c>
      <c r="D360">
        <v>4.125</v>
      </c>
      <c r="E360">
        <v>86.625</v>
      </c>
      <c r="F360" s="1">
        <v>43525</v>
      </c>
      <c r="G360" s="2">
        <v>0.65277777777777779</v>
      </c>
      <c r="H360" t="s">
        <v>23</v>
      </c>
      <c r="I360">
        <v>82.5</v>
      </c>
      <c r="J360">
        <v>4.7619047620000003</v>
      </c>
      <c r="K360">
        <v>4.125</v>
      </c>
      <c r="L360">
        <v>6.5</v>
      </c>
    </row>
    <row r="361" spans="1:12" x14ac:dyDescent="0.25">
      <c r="A361" t="s">
        <v>395</v>
      </c>
      <c r="B361">
        <v>74.97</v>
      </c>
      <c r="C361">
        <v>1</v>
      </c>
      <c r="D361">
        <v>3.7484999999999999</v>
      </c>
      <c r="E361">
        <v>78.718500000000006</v>
      </c>
      <c r="F361" s="1">
        <v>43540</v>
      </c>
      <c r="G361" s="2">
        <v>0.70694444444444438</v>
      </c>
      <c r="H361" t="s">
        <v>29</v>
      </c>
      <c r="I361">
        <v>74.97</v>
      </c>
      <c r="J361">
        <v>4.7619047620000003</v>
      </c>
      <c r="K361">
        <v>3.7484999999999999</v>
      </c>
      <c r="L361">
        <v>5.6</v>
      </c>
    </row>
    <row r="362" spans="1:12" x14ac:dyDescent="0.25">
      <c r="A362" t="s">
        <v>396</v>
      </c>
      <c r="B362">
        <v>80.959999999999994</v>
      </c>
      <c r="C362">
        <v>8</v>
      </c>
      <c r="D362">
        <v>32.384</v>
      </c>
      <c r="E362">
        <v>680.06399999999996</v>
      </c>
      <c r="F362" s="1">
        <v>43513</v>
      </c>
      <c r="G362" s="2">
        <v>0.46666666666666662</v>
      </c>
      <c r="H362" t="s">
        <v>33</v>
      </c>
      <c r="I362">
        <v>647.67999999999995</v>
      </c>
      <c r="J362">
        <v>4.7619047620000003</v>
      </c>
      <c r="K362">
        <v>32.384</v>
      </c>
      <c r="L362">
        <v>7.4</v>
      </c>
    </row>
    <row r="363" spans="1:12" x14ac:dyDescent="0.25">
      <c r="A363" t="s">
        <v>397</v>
      </c>
      <c r="B363">
        <v>94.47</v>
      </c>
      <c r="C363">
        <v>8</v>
      </c>
      <c r="D363">
        <v>37.787999999999997</v>
      </c>
      <c r="E363">
        <v>793.548</v>
      </c>
      <c r="F363" s="1">
        <v>43523</v>
      </c>
      <c r="G363" s="2">
        <v>0.6333333333333333</v>
      </c>
      <c r="H363" t="s">
        <v>29</v>
      </c>
      <c r="I363">
        <v>755.76</v>
      </c>
      <c r="J363">
        <v>4.7619047620000003</v>
      </c>
      <c r="K363">
        <v>37.787999999999997</v>
      </c>
      <c r="L363">
        <v>9.1</v>
      </c>
    </row>
    <row r="364" spans="1:12" x14ac:dyDescent="0.25">
      <c r="A364" t="s">
        <v>398</v>
      </c>
      <c r="B364">
        <v>99.79</v>
      </c>
      <c r="C364">
        <v>2</v>
      </c>
      <c r="D364">
        <v>9.9789999999999992</v>
      </c>
      <c r="E364">
        <v>209.559</v>
      </c>
      <c r="F364" s="1">
        <v>43531</v>
      </c>
      <c r="G364" s="2">
        <v>0.85902777777777783</v>
      </c>
      <c r="H364" t="s">
        <v>23</v>
      </c>
      <c r="I364">
        <v>199.58</v>
      </c>
      <c r="J364">
        <v>4.7619047620000003</v>
      </c>
      <c r="K364">
        <v>9.9789999999999992</v>
      </c>
      <c r="L364">
        <v>8</v>
      </c>
    </row>
    <row r="365" spans="1:12" x14ac:dyDescent="0.25">
      <c r="A365" t="s">
        <v>399</v>
      </c>
      <c r="B365">
        <v>73.22</v>
      </c>
      <c r="C365">
        <v>6</v>
      </c>
      <c r="D365">
        <v>21.966000000000001</v>
      </c>
      <c r="E365">
        <v>461.286</v>
      </c>
      <c r="F365" s="1">
        <v>43486</v>
      </c>
      <c r="G365" s="2">
        <v>0.73888888888888893</v>
      </c>
      <c r="H365" t="s">
        <v>29</v>
      </c>
      <c r="I365">
        <v>439.32</v>
      </c>
      <c r="J365">
        <v>4.7619047620000003</v>
      </c>
      <c r="K365">
        <v>21.966000000000001</v>
      </c>
      <c r="L365">
        <v>7.2</v>
      </c>
    </row>
    <row r="366" spans="1:12" x14ac:dyDescent="0.25">
      <c r="A366" t="s">
        <v>400</v>
      </c>
      <c r="B366">
        <v>41.24</v>
      </c>
      <c r="C366">
        <v>4</v>
      </c>
      <c r="D366">
        <v>8.2479999999999993</v>
      </c>
      <c r="E366">
        <v>173.208</v>
      </c>
      <c r="F366" s="1">
        <v>43515</v>
      </c>
      <c r="G366" s="2">
        <v>0.68263888888888891</v>
      </c>
      <c r="H366" t="s">
        <v>29</v>
      </c>
      <c r="I366">
        <v>164.96</v>
      </c>
      <c r="J366">
        <v>4.7619047620000003</v>
      </c>
      <c r="K366">
        <v>8.2479999999999993</v>
      </c>
      <c r="L366">
        <v>7.1</v>
      </c>
    </row>
    <row r="367" spans="1:12" x14ac:dyDescent="0.25">
      <c r="A367" t="s">
        <v>401</v>
      </c>
      <c r="B367">
        <v>81.680000000000007</v>
      </c>
      <c r="C367">
        <v>4</v>
      </c>
      <c r="D367">
        <v>16.335999999999999</v>
      </c>
      <c r="E367">
        <v>343.05599999999998</v>
      </c>
      <c r="F367" s="1">
        <v>43471</v>
      </c>
      <c r="G367" s="2">
        <v>0.5083333333333333</v>
      </c>
      <c r="H367" t="s">
        <v>29</v>
      </c>
      <c r="I367">
        <v>326.72000000000003</v>
      </c>
      <c r="J367">
        <v>4.7619047620000003</v>
      </c>
      <c r="K367">
        <v>16.335999999999999</v>
      </c>
      <c r="L367">
        <v>9.1</v>
      </c>
    </row>
    <row r="368" spans="1:12" x14ac:dyDescent="0.25">
      <c r="A368" t="s">
        <v>402</v>
      </c>
      <c r="B368">
        <v>51.32</v>
      </c>
      <c r="C368">
        <v>9</v>
      </c>
      <c r="D368">
        <v>23.094000000000001</v>
      </c>
      <c r="E368">
        <v>484.97399999999999</v>
      </c>
      <c r="F368" s="1">
        <v>43538</v>
      </c>
      <c r="G368" s="2">
        <v>0.81458333333333333</v>
      </c>
      <c r="H368" t="s">
        <v>29</v>
      </c>
      <c r="I368">
        <v>461.88</v>
      </c>
      <c r="J368">
        <v>4.7619047620000003</v>
      </c>
      <c r="K368">
        <v>23.094000000000001</v>
      </c>
      <c r="L368">
        <v>5.6</v>
      </c>
    </row>
    <row r="369" spans="1:12" x14ac:dyDescent="0.25">
      <c r="A369" t="s">
        <v>403</v>
      </c>
      <c r="B369">
        <v>65.94</v>
      </c>
      <c r="C369">
        <v>4</v>
      </c>
      <c r="D369">
        <v>13.188000000000001</v>
      </c>
      <c r="E369">
        <v>276.94799999999998</v>
      </c>
      <c r="F369" s="1">
        <v>43548</v>
      </c>
      <c r="G369" s="2">
        <v>0.4368055555555555</v>
      </c>
      <c r="H369" t="s">
        <v>29</v>
      </c>
      <c r="I369">
        <v>263.76</v>
      </c>
      <c r="J369">
        <v>4.7619047620000003</v>
      </c>
      <c r="K369">
        <v>13.188000000000001</v>
      </c>
      <c r="L369">
        <v>6</v>
      </c>
    </row>
    <row r="370" spans="1:12" x14ac:dyDescent="0.25">
      <c r="A370" t="s">
        <v>404</v>
      </c>
      <c r="B370">
        <v>14.36</v>
      </c>
      <c r="C370">
        <v>10</v>
      </c>
      <c r="D370">
        <v>7.18</v>
      </c>
      <c r="E370">
        <v>150.78</v>
      </c>
      <c r="F370" s="1">
        <v>43492</v>
      </c>
      <c r="G370" s="2">
        <v>0.60277777777777775</v>
      </c>
      <c r="H370" t="s">
        <v>29</v>
      </c>
      <c r="I370">
        <v>143.6</v>
      </c>
      <c r="J370">
        <v>4.7619047620000003</v>
      </c>
      <c r="K370">
        <v>7.18</v>
      </c>
      <c r="L370">
        <v>5.4</v>
      </c>
    </row>
    <row r="371" spans="1:12" x14ac:dyDescent="0.25">
      <c r="A371" t="s">
        <v>405</v>
      </c>
      <c r="B371">
        <v>21.5</v>
      </c>
      <c r="C371">
        <v>9</v>
      </c>
      <c r="D371">
        <v>9.6750000000000007</v>
      </c>
      <c r="E371">
        <v>203.17500000000001</v>
      </c>
      <c r="F371" s="1">
        <v>43530</v>
      </c>
      <c r="G371" s="2">
        <v>0.53194444444444444</v>
      </c>
      <c r="H371" t="s">
        <v>33</v>
      </c>
      <c r="I371">
        <v>193.5</v>
      </c>
      <c r="J371">
        <v>4.7619047620000003</v>
      </c>
      <c r="K371">
        <v>9.6750000000000007</v>
      </c>
      <c r="L371">
        <v>7.8</v>
      </c>
    </row>
    <row r="372" spans="1:12" x14ac:dyDescent="0.25">
      <c r="A372" t="s">
        <v>406</v>
      </c>
      <c r="B372">
        <v>26.26</v>
      </c>
      <c r="C372">
        <v>7</v>
      </c>
      <c r="D372">
        <v>9.1910000000000007</v>
      </c>
      <c r="E372">
        <v>193.011</v>
      </c>
      <c r="F372" s="1">
        <v>43498</v>
      </c>
      <c r="G372" s="2">
        <v>0.81944444444444453</v>
      </c>
      <c r="H372" t="s">
        <v>29</v>
      </c>
      <c r="I372">
        <v>183.82</v>
      </c>
      <c r="J372">
        <v>4.7619047620000003</v>
      </c>
      <c r="K372">
        <v>9.1910000000000007</v>
      </c>
      <c r="L372">
        <v>9.9</v>
      </c>
    </row>
    <row r="373" spans="1:12" x14ac:dyDescent="0.25">
      <c r="A373" t="s">
        <v>407</v>
      </c>
      <c r="B373">
        <v>60.96</v>
      </c>
      <c r="C373">
        <v>2</v>
      </c>
      <c r="D373">
        <v>6.0960000000000001</v>
      </c>
      <c r="E373">
        <v>128.01599999999999</v>
      </c>
      <c r="F373" s="1">
        <v>43490</v>
      </c>
      <c r="G373" s="2">
        <v>0.81874999999999998</v>
      </c>
      <c r="H373" t="s">
        <v>33</v>
      </c>
      <c r="I373">
        <v>121.92</v>
      </c>
      <c r="J373">
        <v>4.7619047620000003</v>
      </c>
      <c r="K373">
        <v>6.0960000000000001</v>
      </c>
      <c r="L373">
        <v>4.9000000000000004</v>
      </c>
    </row>
    <row r="374" spans="1:12" x14ac:dyDescent="0.25">
      <c r="A374" t="s">
        <v>408</v>
      </c>
      <c r="B374">
        <v>70.11</v>
      </c>
      <c r="C374">
        <v>6</v>
      </c>
      <c r="D374">
        <v>21.033000000000001</v>
      </c>
      <c r="E374">
        <v>441.69299999999998</v>
      </c>
      <c r="F374" s="1">
        <v>43538</v>
      </c>
      <c r="G374" s="2">
        <v>0.74583333333333324</v>
      </c>
      <c r="H374" t="s">
        <v>23</v>
      </c>
      <c r="I374">
        <v>420.66</v>
      </c>
      <c r="J374">
        <v>4.7619047620000003</v>
      </c>
      <c r="K374">
        <v>21.033000000000001</v>
      </c>
      <c r="L374">
        <v>5.2</v>
      </c>
    </row>
    <row r="375" spans="1:12" x14ac:dyDescent="0.25">
      <c r="A375" t="s">
        <v>409</v>
      </c>
      <c r="B375">
        <v>42.08</v>
      </c>
      <c r="C375">
        <v>6</v>
      </c>
      <c r="D375">
        <v>12.624000000000001</v>
      </c>
      <c r="E375">
        <v>265.10399999999998</v>
      </c>
      <c r="F375" s="1">
        <v>43494</v>
      </c>
      <c r="G375" s="2">
        <v>0.51736111111111105</v>
      </c>
      <c r="H375" t="s">
        <v>29</v>
      </c>
      <c r="I375">
        <v>252.48</v>
      </c>
      <c r="J375">
        <v>4.7619047620000003</v>
      </c>
      <c r="K375">
        <v>12.624000000000001</v>
      </c>
      <c r="L375">
        <v>8.9</v>
      </c>
    </row>
    <row r="376" spans="1:12" x14ac:dyDescent="0.25">
      <c r="A376" t="s">
        <v>410</v>
      </c>
      <c r="B376">
        <v>67.09</v>
      </c>
      <c r="C376">
        <v>5</v>
      </c>
      <c r="D376">
        <v>16.772500000000001</v>
      </c>
      <c r="E376">
        <v>352.22250000000003</v>
      </c>
      <c r="F376" s="1">
        <v>43468</v>
      </c>
      <c r="G376" s="2">
        <v>0.69930555555555562</v>
      </c>
      <c r="H376" t="s">
        <v>33</v>
      </c>
      <c r="I376">
        <v>335.45</v>
      </c>
      <c r="J376">
        <v>4.7619047620000003</v>
      </c>
      <c r="K376">
        <v>16.772500000000001</v>
      </c>
      <c r="L376">
        <v>9.1</v>
      </c>
    </row>
    <row r="377" spans="1:12" x14ac:dyDescent="0.25">
      <c r="A377" t="s">
        <v>411</v>
      </c>
      <c r="B377">
        <v>96.7</v>
      </c>
      <c r="C377">
        <v>5</v>
      </c>
      <c r="D377">
        <v>24.175000000000001</v>
      </c>
      <c r="E377">
        <v>507.67500000000001</v>
      </c>
      <c r="F377" s="1">
        <v>43479</v>
      </c>
      <c r="G377" s="2">
        <v>0.53611111111111109</v>
      </c>
      <c r="H377" t="s">
        <v>23</v>
      </c>
      <c r="I377">
        <v>483.5</v>
      </c>
      <c r="J377">
        <v>4.7619047620000003</v>
      </c>
      <c r="K377">
        <v>24.175000000000001</v>
      </c>
      <c r="L377">
        <v>7</v>
      </c>
    </row>
    <row r="378" spans="1:12" x14ac:dyDescent="0.25">
      <c r="A378" t="s">
        <v>412</v>
      </c>
      <c r="B378">
        <v>35.380000000000003</v>
      </c>
      <c r="C378">
        <v>9</v>
      </c>
      <c r="D378">
        <v>15.920999999999999</v>
      </c>
      <c r="E378">
        <v>334.34100000000001</v>
      </c>
      <c r="F378" s="1">
        <v>43470</v>
      </c>
      <c r="G378" s="2">
        <v>0.82638888888888884</v>
      </c>
      <c r="H378" t="s">
        <v>33</v>
      </c>
      <c r="I378">
        <v>318.42</v>
      </c>
      <c r="J378">
        <v>4.7619047620000003</v>
      </c>
      <c r="K378">
        <v>15.920999999999999</v>
      </c>
      <c r="L378">
        <v>9.6</v>
      </c>
    </row>
    <row r="379" spans="1:12" x14ac:dyDescent="0.25">
      <c r="A379" t="s">
        <v>413</v>
      </c>
      <c r="B379">
        <v>95.49</v>
      </c>
      <c r="C379">
        <v>7</v>
      </c>
      <c r="D379">
        <v>33.421500000000002</v>
      </c>
      <c r="E379">
        <v>701.85149999999999</v>
      </c>
      <c r="F379" s="1">
        <v>43518</v>
      </c>
      <c r="G379" s="2">
        <v>0.76180555555555562</v>
      </c>
      <c r="H379" t="s">
        <v>23</v>
      </c>
      <c r="I379">
        <v>668.43</v>
      </c>
      <c r="J379">
        <v>4.7619047620000003</v>
      </c>
      <c r="K379">
        <v>33.421500000000002</v>
      </c>
      <c r="L379">
        <v>8.6999999999999993</v>
      </c>
    </row>
    <row r="380" spans="1:12" x14ac:dyDescent="0.25">
      <c r="A380" t="s">
        <v>414</v>
      </c>
      <c r="B380">
        <v>96.98</v>
      </c>
      <c r="C380">
        <v>4</v>
      </c>
      <c r="D380">
        <v>19.396000000000001</v>
      </c>
      <c r="E380">
        <v>407.31599999999997</v>
      </c>
      <c r="F380" s="1">
        <v>43502</v>
      </c>
      <c r="G380" s="2">
        <v>0.72222222222222221</v>
      </c>
      <c r="H380" t="s">
        <v>23</v>
      </c>
      <c r="I380">
        <v>387.92</v>
      </c>
      <c r="J380">
        <v>4.7619047620000003</v>
      </c>
      <c r="K380">
        <v>19.396000000000001</v>
      </c>
      <c r="L380">
        <v>9.4</v>
      </c>
    </row>
    <row r="381" spans="1:12" x14ac:dyDescent="0.25">
      <c r="A381" t="s">
        <v>415</v>
      </c>
      <c r="B381">
        <v>23.65</v>
      </c>
      <c r="C381">
        <v>4</v>
      </c>
      <c r="D381">
        <v>4.7300000000000004</v>
      </c>
      <c r="E381">
        <v>99.33</v>
      </c>
      <c r="F381" s="1">
        <v>43495</v>
      </c>
      <c r="G381" s="2">
        <v>0.56388888888888888</v>
      </c>
      <c r="H381" t="s">
        <v>33</v>
      </c>
      <c r="I381">
        <v>94.6</v>
      </c>
      <c r="J381">
        <v>4.7619047620000003</v>
      </c>
      <c r="K381">
        <v>4.7300000000000004</v>
      </c>
      <c r="L381">
        <v>4</v>
      </c>
    </row>
    <row r="382" spans="1:12" x14ac:dyDescent="0.25">
      <c r="A382" t="s">
        <v>416</v>
      </c>
      <c r="B382">
        <v>82.33</v>
      </c>
      <c r="C382">
        <v>4</v>
      </c>
      <c r="D382">
        <v>16.466000000000001</v>
      </c>
      <c r="E382">
        <v>345.786</v>
      </c>
      <c r="F382" s="1">
        <v>43476</v>
      </c>
      <c r="G382" s="2">
        <v>0.44236111111111115</v>
      </c>
      <c r="H382" t="s">
        <v>33</v>
      </c>
      <c r="I382">
        <v>329.32</v>
      </c>
      <c r="J382">
        <v>4.7619047620000003</v>
      </c>
      <c r="K382">
        <v>16.466000000000001</v>
      </c>
      <c r="L382">
        <v>7.5</v>
      </c>
    </row>
    <row r="383" spans="1:12" x14ac:dyDescent="0.25">
      <c r="A383" t="s">
        <v>417</v>
      </c>
      <c r="B383">
        <v>26.61</v>
      </c>
      <c r="C383">
        <v>2</v>
      </c>
      <c r="D383">
        <v>2.661</v>
      </c>
      <c r="E383">
        <v>55.881</v>
      </c>
      <c r="F383" s="1">
        <v>43543</v>
      </c>
      <c r="G383" s="2">
        <v>0.60763888888888895</v>
      </c>
      <c r="H383" t="s">
        <v>29</v>
      </c>
      <c r="I383">
        <v>53.22</v>
      </c>
      <c r="J383">
        <v>4.7619047620000003</v>
      </c>
      <c r="K383">
        <v>2.661</v>
      </c>
      <c r="L383">
        <v>4.2</v>
      </c>
    </row>
    <row r="384" spans="1:12" x14ac:dyDescent="0.25">
      <c r="A384" t="s">
        <v>418</v>
      </c>
      <c r="B384">
        <v>99.69</v>
      </c>
      <c r="C384">
        <v>5</v>
      </c>
      <c r="D384">
        <v>24.922499999999999</v>
      </c>
      <c r="E384">
        <v>523.37249999999995</v>
      </c>
      <c r="F384" s="1">
        <v>43479</v>
      </c>
      <c r="G384" s="2">
        <v>0.50624999999999998</v>
      </c>
      <c r="H384" t="s">
        <v>29</v>
      </c>
      <c r="I384">
        <v>498.45</v>
      </c>
      <c r="J384">
        <v>4.7619047620000003</v>
      </c>
      <c r="K384">
        <v>24.922499999999999</v>
      </c>
      <c r="L384">
        <v>9.9</v>
      </c>
    </row>
    <row r="385" spans="1:12" x14ac:dyDescent="0.25">
      <c r="A385" t="s">
        <v>419</v>
      </c>
      <c r="B385">
        <v>74.89</v>
      </c>
      <c r="C385">
        <v>4</v>
      </c>
      <c r="D385">
        <v>14.978</v>
      </c>
      <c r="E385">
        <v>314.53800000000001</v>
      </c>
      <c r="F385" s="1">
        <v>43525</v>
      </c>
      <c r="G385" s="2">
        <v>0.64722222222222225</v>
      </c>
      <c r="H385" t="s">
        <v>23</v>
      </c>
      <c r="I385">
        <v>299.56</v>
      </c>
      <c r="J385">
        <v>4.7619047620000003</v>
      </c>
      <c r="K385">
        <v>14.978</v>
      </c>
      <c r="L385">
        <v>4.2</v>
      </c>
    </row>
    <row r="386" spans="1:12" x14ac:dyDescent="0.25">
      <c r="A386" t="s">
        <v>420</v>
      </c>
      <c r="B386">
        <v>40.94</v>
      </c>
      <c r="C386">
        <v>5</v>
      </c>
      <c r="D386">
        <v>10.234999999999999</v>
      </c>
      <c r="E386">
        <v>214.935</v>
      </c>
      <c r="F386" s="1">
        <v>43471</v>
      </c>
      <c r="G386" s="2">
        <v>0.58194444444444449</v>
      </c>
      <c r="H386" t="s">
        <v>23</v>
      </c>
      <c r="I386">
        <v>204.7</v>
      </c>
      <c r="J386">
        <v>4.7619047620000003</v>
      </c>
      <c r="K386">
        <v>10.234999999999999</v>
      </c>
      <c r="L386">
        <v>9.9</v>
      </c>
    </row>
    <row r="387" spans="1:12" x14ac:dyDescent="0.25">
      <c r="A387" t="s">
        <v>421</v>
      </c>
      <c r="B387">
        <v>75.819999999999993</v>
      </c>
      <c r="C387">
        <v>1</v>
      </c>
      <c r="D387">
        <v>3.7909999999999999</v>
      </c>
      <c r="E387">
        <v>79.611000000000004</v>
      </c>
      <c r="F387" s="1">
        <v>43496</v>
      </c>
      <c r="G387" s="2">
        <v>0.55486111111111114</v>
      </c>
      <c r="H387" t="s">
        <v>29</v>
      </c>
      <c r="I387">
        <v>75.819999999999993</v>
      </c>
      <c r="J387">
        <v>4.7619047620000003</v>
      </c>
      <c r="K387">
        <v>3.7909999999999999</v>
      </c>
      <c r="L387">
        <v>5.8</v>
      </c>
    </row>
    <row r="388" spans="1:12" x14ac:dyDescent="0.25">
      <c r="A388" t="s">
        <v>422</v>
      </c>
      <c r="B388">
        <v>46.77</v>
      </c>
      <c r="C388">
        <v>6</v>
      </c>
      <c r="D388">
        <v>14.031000000000001</v>
      </c>
      <c r="E388">
        <v>294.65100000000001</v>
      </c>
      <c r="F388" s="1">
        <v>43535</v>
      </c>
      <c r="G388" s="2">
        <v>0.56736111111111109</v>
      </c>
      <c r="H388" t="s">
        <v>29</v>
      </c>
      <c r="I388">
        <v>280.62</v>
      </c>
      <c r="J388">
        <v>4.7619047620000003</v>
      </c>
      <c r="K388">
        <v>14.031000000000001</v>
      </c>
      <c r="L388">
        <v>6</v>
      </c>
    </row>
    <row r="389" spans="1:12" x14ac:dyDescent="0.25">
      <c r="A389" t="s">
        <v>423</v>
      </c>
      <c r="B389">
        <v>32.32</v>
      </c>
      <c r="C389">
        <v>10</v>
      </c>
      <c r="D389">
        <v>16.16</v>
      </c>
      <c r="E389">
        <v>339.36</v>
      </c>
      <c r="F389" s="1">
        <v>43516</v>
      </c>
      <c r="G389" s="2">
        <v>0.7006944444444444</v>
      </c>
      <c r="H389" t="s">
        <v>33</v>
      </c>
      <c r="I389">
        <v>323.2</v>
      </c>
      <c r="J389">
        <v>4.7619047620000003</v>
      </c>
      <c r="K389">
        <v>16.16</v>
      </c>
      <c r="L389">
        <v>10</v>
      </c>
    </row>
    <row r="390" spans="1:12" x14ac:dyDescent="0.25">
      <c r="A390" t="s">
        <v>424</v>
      </c>
      <c r="B390">
        <v>54.07</v>
      </c>
      <c r="C390">
        <v>9</v>
      </c>
      <c r="D390">
        <v>24.331499999999998</v>
      </c>
      <c r="E390">
        <v>510.9615</v>
      </c>
      <c r="F390" s="1">
        <v>43492</v>
      </c>
      <c r="G390" s="2">
        <v>0.62152777777777779</v>
      </c>
      <c r="H390" t="s">
        <v>23</v>
      </c>
      <c r="I390">
        <v>486.63</v>
      </c>
      <c r="J390">
        <v>4.7619047620000003</v>
      </c>
      <c r="K390">
        <v>24.331499999999998</v>
      </c>
      <c r="L390">
        <v>9.5</v>
      </c>
    </row>
    <row r="391" spans="1:12" x14ac:dyDescent="0.25">
      <c r="A391" t="s">
        <v>425</v>
      </c>
      <c r="B391">
        <v>18.22</v>
      </c>
      <c r="C391">
        <v>7</v>
      </c>
      <c r="D391">
        <v>6.3769999999999998</v>
      </c>
      <c r="E391">
        <v>133.917</v>
      </c>
      <c r="F391" s="1">
        <v>43534</v>
      </c>
      <c r="G391" s="2">
        <v>0.58611111111111114</v>
      </c>
      <c r="H391" t="s">
        <v>33</v>
      </c>
      <c r="I391">
        <v>127.54</v>
      </c>
      <c r="J391">
        <v>4.7619047620000003</v>
      </c>
      <c r="K391">
        <v>6.3769999999999998</v>
      </c>
      <c r="L391">
        <v>6.6</v>
      </c>
    </row>
    <row r="392" spans="1:12" x14ac:dyDescent="0.25">
      <c r="A392" t="s">
        <v>426</v>
      </c>
      <c r="B392">
        <v>80.48</v>
      </c>
      <c r="C392">
        <v>3</v>
      </c>
      <c r="D392">
        <v>12.071999999999999</v>
      </c>
      <c r="E392">
        <v>253.512</v>
      </c>
      <c r="F392" s="1">
        <v>43511</v>
      </c>
      <c r="G392" s="2">
        <v>0.52152777777777781</v>
      </c>
      <c r="H392" t="s">
        <v>29</v>
      </c>
      <c r="I392">
        <v>241.44</v>
      </c>
      <c r="J392">
        <v>4.7619047620000003</v>
      </c>
      <c r="K392">
        <v>12.071999999999999</v>
      </c>
      <c r="L392">
        <v>8.1</v>
      </c>
    </row>
    <row r="393" spans="1:12" x14ac:dyDescent="0.25">
      <c r="A393" t="s">
        <v>427</v>
      </c>
      <c r="B393">
        <v>37.950000000000003</v>
      </c>
      <c r="C393">
        <v>10</v>
      </c>
      <c r="D393">
        <v>18.975000000000001</v>
      </c>
      <c r="E393">
        <v>398.47500000000002</v>
      </c>
      <c r="F393" s="1">
        <v>43491</v>
      </c>
      <c r="G393" s="2">
        <v>0.61875000000000002</v>
      </c>
      <c r="H393" t="s">
        <v>29</v>
      </c>
      <c r="I393">
        <v>379.5</v>
      </c>
      <c r="J393">
        <v>4.7619047620000003</v>
      </c>
      <c r="K393">
        <v>18.975000000000001</v>
      </c>
      <c r="L393">
        <v>9.6999999999999993</v>
      </c>
    </row>
    <row r="394" spans="1:12" x14ac:dyDescent="0.25">
      <c r="A394" t="s">
        <v>428</v>
      </c>
      <c r="B394">
        <v>76.819999999999993</v>
      </c>
      <c r="C394">
        <v>1</v>
      </c>
      <c r="D394">
        <v>3.8410000000000002</v>
      </c>
      <c r="E394">
        <v>80.661000000000001</v>
      </c>
      <c r="F394" s="1">
        <v>43509</v>
      </c>
      <c r="G394" s="2">
        <v>0.76874999999999993</v>
      </c>
      <c r="H394" t="s">
        <v>23</v>
      </c>
      <c r="I394">
        <v>76.819999999999993</v>
      </c>
      <c r="J394">
        <v>4.7619047620000003</v>
      </c>
      <c r="K394">
        <v>3.8410000000000002</v>
      </c>
      <c r="L394">
        <v>7.2</v>
      </c>
    </row>
    <row r="395" spans="1:12" x14ac:dyDescent="0.25">
      <c r="A395" t="s">
        <v>429</v>
      </c>
      <c r="B395">
        <v>52.26</v>
      </c>
      <c r="C395">
        <v>10</v>
      </c>
      <c r="D395">
        <v>26.13</v>
      </c>
      <c r="E395">
        <v>548.73</v>
      </c>
      <c r="F395" s="1">
        <v>43533</v>
      </c>
      <c r="G395" s="2">
        <v>0.53125</v>
      </c>
      <c r="H395" t="s">
        <v>33</v>
      </c>
      <c r="I395">
        <v>522.6</v>
      </c>
      <c r="J395">
        <v>4.7619047620000003</v>
      </c>
      <c r="K395">
        <v>26.13</v>
      </c>
      <c r="L395">
        <v>6.2</v>
      </c>
    </row>
    <row r="396" spans="1:12" x14ac:dyDescent="0.25">
      <c r="A396" t="s">
        <v>430</v>
      </c>
      <c r="B396">
        <v>79.739999999999995</v>
      </c>
      <c r="C396">
        <v>1</v>
      </c>
      <c r="D396">
        <v>3.9870000000000001</v>
      </c>
      <c r="E396">
        <v>83.727000000000004</v>
      </c>
      <c r="F396" s="1">
        <v>43530</v>
      </c>
      <c r="G396" s="2">
        <v>0.44166666666666665</v>
      </c>
      <c r="H396" t="s">
        <v>23</v>
      </c>
      <c r="I396">
        <v>79.739999999999995</v>
      </c>
      <c r="J396">
        <v>4.7619047620000003</v>
      </c>
      <c r="K396">
        <v>3.9870000000000001</v>
      </c>
      <c r="L396">
        <v>7.3</v>
      </c>
    </row>
    <row r="397" spans="1:12" x14ac:dyDescent="0.25">
      <c r="A397" t="s">
        <v>431</v>
      </c>
      <c r="B397">
        <v>77.5</v>
      </c>
      <c r="C397">
        <v>5</v>
      </c>
      <c r="D397">
        <v>19.375</v>
      </c>
      <c r="E397">
        <v>406.875</v>
      </c>
      <c r="F397" s="1">
        <v>43489</v>
      </c>
      <c r="G397" s="2">
        <v>0.85833333333333339</v>
      </c>
      <c r="H397" t="s">
        <v>23</v>
      </c>
      <c r="I397">
        <v>387.5</v>
      </c>
      <c r="J397">
        <v>4.7619047620000003</v>
      </c>
      <c r="K397">
        <v>19.375</v>
      </c>
      <c r="L397">
        <v>4.3</v>
      </c>
    </row>
    <row r="398" spans="1:12" x14ac:dyDescent="0.25">
      <c r="A398" t="s">
        <v>432</v>
      </c>
      <c r="B398">
        <v>54.27</v>
      </c>
      <c r="C398">
        <v>5</v>
      </c>
      <c r="D398">
        <v>13.567500000000001</v>
      </c>
      <c r="E398">
        <v>284.91750000000002</v>
      </c>
      <c r="F398" s="1">
        <v>43537</v>
      </c>
      <c r="G398" s="2">
        <v>0.59444444444444444</v>
      </c>
      <c r="H398" t="s">
        <v>23</v>
      </c>
      <c r="I398">
        <v>271.35000000000002</v>
      </c>
      <c r="J398">
        <v>4.7619047620000003</v>
      </c>
      <c r="K398">
        <v>13.567500000000001</v>
      </c>
      <c r="L398">
        <v>4.5999999999999996</v>
      </c>
    </row>
    <row r="399" spans="1:12" x14ac:dyDescent="0.25">
      <c r="A399" t="s">
        <v>433</v>
      </c>
      <c r="B399">
        <v>13.59</v>
      </c>
      <c r="C399">
        <v>9</v>
      </c>
      <c r="D399">
        <v>6.1154999999999999</v>
      </c>
      <c r="E399">
        <v>128.4255</v>
      </c>
      <c r="F399" s="1">
        <v>43539</v>
      </c>
      <c r="G399" s="2">
        <v>0.43472222222222223</v>
      </c>
      <c r="H399" t="s">
        <v>29</v>
      </c>
      <c r="I399">
        <v>122.31</v>
      </c>
      <c r="J399">
        <v>4.7619047620000003</v>
      </c>
      <c r="K399">
        <v>6.1154999999999999</v>
      </c>
      <c r="L399">
        <v>5.8</v>
      </c>
    </row>
    <row r="400" spans="1:12" x14ac:dyDescent="0.25">
      <c r="A400" t="s">
        <v>434</v>
      </c>
      <c r="B400">
        <v>41.06</v>
      </c>
      <c r="C400">
        <v>6</v>
      </c>
      <c r="D400">
        <v>12.318</v>
      </c>
      <c r="E400">
        <v>258.678</v>
      </c>
      <c r="F400" s="1">
        <v>43529</v>
      </c>
      <c r="G400" s="2">
        <v>0.5625</v>
      </c>
      <c r="H400" t="s">
        <v>33</v>
      </c>
      <c r="I400">
        <v>246.36</v>
      </c>
      <c r="J400">
        <v>4.7619047620000003</v>
      </c>
      <c r="K400">
        <v>12.318</v>
      </c>
      <c r="L400">
        <v>8.3000000000000007</v>
      </c>
    </row>
    <row r="401" spans="1:12" x14ac:dyDescent="0.25">
      <c r="A401" t="s">
        <v>435</v>
      </c>
      <c r="B401">
        <v>19.239999999999998</v>
      </c>
      <c r="C401">
        <v>9</v>
      </c>
      <c r="D401">
        <v>8.6579999999999995</v>
      </c>
      <c r="E401">
        <v>181.81800000000001</v>
      </c>
      <c r="F401" s="1">
        <v>43528</v>
      </c>
      <c r="G401" s="2">
        <v>0.68611111111111101</v>
      </c>
      <c r="H401" t="s">
        <v>29</v>
      </c>
      <c r="I401">
        <v>173.16</v>
      </c>
      <c r="J401">
        <v>4.7619047620000003</v>
      </c>
      <c r="K401">
        <v>8.6579999999999995</v>
      </c>
      <c r="L401">
        <v>8</v>
      </c>
    </row>
    <row r="402" spans="1:12" x14ac:dyDescent="0.25">
      <c r="A402" t="s">
        <v>436</v>
      </c>
      <c r="B402">
        <v>39.43</v>
      </c>
      <c r="C402">
        <v>6</v>
      </c>
      <c r="D402">
        <v>11.829000000000001</v>
      </c>
      <c r="E402">
        <v>248.40899999999999</v>
      </c>
      <c r="F402" s="1">
        <v>43549</v>
      </c>
      <c r="G402" s="2">
        <v>0.84583333333333333</v>
      </c>
      <c r="H402" t="s">
        <v>33</v>
      </c>
      <c r="I402">
        <v>236.58</v>
      </c>
      <c r="J402">
        <v>4.7619047620000003</v>
      </c>
      <c r="K402">
        <v>11.829000000000001</v>
      </c>
      <c r="L402">
        <v>9.4</v>
      </c>
    </row>
    <row r="403" spans="1:12" x14ac:dyDescent="0.25">
      <c r="A403" t="s">
        <v>437</v>
      </c>
      <c r="B403">
        <v>46.22</v>
      </c>
      <c r="C403">
        <v>4</v>
      </c>
      <c r="D403">
        <v>9.2439999999999998</v>
      </c>
      <c r="E403">
        <v>194.124</v>
      </c>
      <c r="F403" s="1">
        <v>43536</v>
      </c>
      <c r="G403" s="2">
        <v>0.83611111111111114</v>
      </c>
      <c r="H403" t="s">
        <v>33</v>
      </c>
      <c r="I403">
        <v>184.88</v>
      </c>
      <c r="J403">
        <v>4.7619047620000003</v>
      </c>
      <c r="K403">
        <v>9.2439999999999998</v>
      </c>
      <c r="L403">
        <v>6.2</v>
      </c>
    </row>
    <row r="404" spans="1:12" x14ac:dyDescent="0.25">
      <c r="A404" t="s">
        <v>438</v>
      </c>
      <c r="B404">
        <v>13.98</v>
      </c>
      <c r="C404">
        <v>1</v>
      </c>
      <c r="D404">
        <v>0.69899999999999995</v>
      </c>
      <c r="E404">
        <v>14.679</v>
      </c>
      <c r="F404" s="1">
        <v>43500</v>
      </c>
      <c r="G404" s="2">
        <v>0.56805555555555554</v>
      </c>
      <c r="H404" t="s">
        <v>23</v>
      </c>
      <c r="I404">
        <v>13.98</v>
      </c>
      <c r="J404">
        <v>4.7619047620000003</v>
      </c>
      <c r="K404">
        <v>0.69899999999999995</v>
      </c>
      <c r="L404">
        <v>9.8000000000000007</v>
      </c>
    </row>
    <row r="405" spans="1:12" x14ac:dyDescent="0.25">
      <c r="A405" t="s">
        <v>439</v>
      </c>
      <c r="B405">
        <v>39.75</v>
      </c>
      <c r="C405">
        <v>5</v>
      </c>
      <c r="D405">
        <v>9.9375</v>
      </c>
      <c r="E405">
        <v>208.6875</v>
      </c>
      <c r="F405" s="1">
        <v>43518</v>
      </c>
      <c r="G405" s="2">
        <v>0.4465277777777778</v>
      </c>
      <c r="H405" t="s">
        <v>23</v>
      </c>
      <c r="I405">
        <v>198.75</v>
      </c>
      <c r="J405">
        <v>4.7619047620000003</v>
      </c>
      <c r="K405">
        <v>9.9375</v>
      </c>
      <c r="L405">
        <v>9.6</v>
      </c>
    </row>
    <row r="406" spans="1:12" x14ac:dyDescent="0.25">
      <c r="A406" t="s">
        <v>440</v>
      </c>
      <c r="B406">
        <v>97.79</v>
      </c>
      <c r="C406">
        <v>7</v>
      </c>
      <c r="D406">
        <v>34.226500000000001</v>
      </c>
      <c r="E406">
        <v>718.75649999999996</v>
      </c>
      <c r="F406" s="1">
        <v>43512</v>
      </c>
      <c r="G406" s="2">
        <v>0.72916666666666663</v>
      </c>
      <c r="H406" t="s">
        <v>23</v>
      </c>
      <c r="I406">
        <v>684.53</v>
      </c>
      <c r="J406">
        <v>4.7619047620000003</v>
      </c>
      <c r="K406">
        <v>34.226500000000001</v>
      </c>
      <c r="L406">
        <v>4.9000000000000004</v>
      </c>
    </row>
    <row r="407" spans="1:12" x14ac:dyDescent="0.25">
      <c r="A407" t="s">
        <v>441</v>
      </c>
      <c r="B407">
        <v>67.260000000000005</v>
      </c>
      <c r="C407">
        <v>4</v>
      </c>
      <c r="D407">
        <v>13.452</v>
      </c>
      <c r="E407">
        <v>282.49200000000002</v>
      </c>
      <c r="F407" s="1">
        <v>43484</v>
      </c>
      <c r="G407" s="2">
        <v>0.64444444444444449</v>
      </c>
      <c r="H407" t="s">
        <v>33</v>
      </c>
      <c r="I407">
        <v>269.04000000000002</v>
      </c>
      <c r="J407">
        <v>4.7619047620000003</v>
      </c>
      <c r="K407">
        <v>13.452</v>
      </c>
      <c r="L407">
        <v>8</v>
      </c>
    </row>
    <row r="408" spans="1:12" x14ac:dyDescent="0.25">
      <c r="A408" t="s">
        <v>442</v>
      </c>
      <c r="B408">
        <v>13.79</v>
      </c>
      <c r="C408">
        <v>5</v>
      </c>
      <c r="D408">
        <v>3.4474999999999998</v>
      </c>
      <c r="E408">
        <v>72.397499999999994</v>
      </c>
      <c r="F408" s="1">
        <v>43476</v>
      </c>
      <c r="G408" s="2">
        <v>0.79652777777777783</v>
      </c>
      <c r="H408" t="s">
        <v>33</v>
      </c>
      <c r="I408">
        <v>68.95</v>
      </c>
      <c r="J408">
        <v>4.7619047620000003</v>
      </c>
      <c r="K408">
        <v>3.4474999999999998</v>
      </c>
      <c r="L408">
        <v>7.8</v>
      </c>
    </row>
    <row r="409" spans="1:12" x14ac:dyDescent="0.25">
      <c r="A409" t="s">
        <v>443</v>
      </c>
      <c r="B409">
        <v>68.709999999999994</v>
      </c>
      <c r="C409">
        <v>4</v>
      </c>
      <c r="D409">
        <v>13.742000000000001</v>
      </c>
      <c r="E409">
        <v>288.58199999999999</v>
      </c>
      <c r="F409" s="1">
        <v>43469</v>
      </c>
      <c r="G409" s="2">
        <v>0.79236111111111107</v>
      </c>
      <c r="H409" t="s">
        <v>29</v>
      </c>
      <c r="I409">
        <v>274.83999999999997</v>
      </c>
      <c r="J409">
        <v>4.7619047620000003</v>
      </c>
      <c r="K409">
        <v>13.742000000000001</v>
      </c>
      <c r="L409">
        <v>4.0999999999999996</v>
      </c>
    </row>
    <row r="410" spans="1:12" x14ac:dyDescent="0.25">
      <c r="A410" t="s">
        <v>444</v>
      </c>
      <c r="B410">
        <v>56.53</v>
      </c>
      <c r="C410">
        <v>4</v>
      </c>
      <c r="D410">
        <v>11.305999999999999</v>
      </c>
      <c r="E410">
        <v>237.42599999999999</v>
      </c>
      <c r="F410" s="1">
        <v>43528</v>
      </c>
      <c r="G410" s="2">
        <v>0.82500000000000007</v>
      </c>
      <c r="H410" t="s">
        <v>23</v>
      </c>
      <c r="I410">
        <v>226.12</v>
      </c>
      <c r="J410">
        <v>4.7619047620000003</v>
      </c>
      <c r="K410">
        <v>11.305999999999999</v>
      </c>
      <c r="L410">
        <v>5.5</v>
      </c>
    </row>
    <row r="411" spans="1:12" x14ac:dyDescent="0.25">
      <c r="A411" t="s">
        <v>445</v>
      </c>
      <c r="B411">
        <v>23.82</v>
      </c>
      <c r="C411">
        <v>5</v>
      </c>
      <c r="D411">
        <v>5.9550000000000001</v>
      </c>
      <c r="E411">
        <v>125.05500000000001</v>
      </c>
      <c r="F411" s="1">
        <v>43493</v>
      </c>
      <c r="G411" s="2">
        <v>0.80833333333333324</v>
      </c>
      <c r="H411" t="s">
        <v>23</v>
      </c>
      <c r="I411">
        <v>119.1</v>
      </c>
      <c r="J411">
        <v>4.7619047620000003</v>
      </c>
      <c r="K411">
        <v>5.9550000000000001</v>
      </c>
      <c r="L411">
        <v>5.4</v>
      </c>
    </row>
    <row r="412" spans="1:12" x14ac:dyDescent="0.25">
      <c r="A412" t="s">
        <v>446</v>
      </c>
      <c r="B412">
        <v>34.21</v>
      </c>
      <c r="C412">
        <v>10</v>
      </c>
      <c r="D412">
        <v>17.105</v>
      </c>
      <c r="E412">
        <v>359.20499999999998</v>
      </c>
      <c r="F412" s="1">
        <v>43467</v>
      </c>
      <c r="G412" s="2">
        <v>0.54166666666666663</v>
      </c>
      <c r="H412" t="s">
        <v>29</v>
      </c>
      <c r="I412">
        <v>342.1</v>
      </c>
      <c r="J412">
        <v>4.7619047620000003</v>
      </c>
      <c r="K412">
        <v>17.105</v>
      </c>
      <c r="L412">
        <v>5.0999999999999996</v>
      </c>
    </row>
    <row r="413" spans="1:12" x14ac:dyDescent="0.25">
      <c r="A413" t="s">
        <v>447</v>
      </c>
      <c r="B413">
        <v>21.87</v>
      </c>
      <c r="C413">
        <v>2</v>
      </c>
      <c r="D413">
        <v>2.1869999999999998</v>
      </c>
      <c r="E413">
        <v>45.927</v>
      </c>
      <c r="F413" s="1">
        <v>43490</v>
      </c>
      <c r="G413" s="2">
        <v>0.60347222222222219</v>
      </c>
      <c r="H413" t="s">
        <v>23</v>
      </c>
      <c r="I413">
        <v>43.74</v>
      </c>
      <c r="J413">
        <v>4.7619047620000003</v>
      </c>
      <c r="K413">
        <v>2.1869999999999998</v>
      </c>
      <c r="L413">
        <v>6.9</v>
      </c>
    </row>
    <row r="414" spans="1:12" x14ac:dyDescent="0.25">
      <c r="A414" t="s">
        <v>448</v>
      </c>
      <c r="B414">
        <v>20.97</v>
      </c>
      <c r="C414">
        <v>5</v>
      </c>
      <c r="D414">
        <v>5.2424999999999997</v>
      </c>
      <c r="E414">
        <v>110.0925</v>
      </c>
      <c r="F414" s="1">
        <v>43469</v>
      </c>
      <c r="G414" s="2">
        <v>0.55625000000000002</v>
      </c>
      <c r="H414" t="s">
        <v>29</v>
      </c>
      <c r="I414">
        <v>104.85</v>
      </c>
      <c r="J414">
        <v>4.7619047620000003</v>
      </c>
      <c r="K414">
        <v>5.2424999999999997</v>
      </c>
      <c r="L414">
        <v>7.8</v>
      </c>
    </row>
    <row r="415" spans="1:12" x14ac:dyDescent="0.25">
      <c r="A415" t="s">
        <v>449</v>
      </c>
      <c r="B415">
        <v>25.84</v>
      </c>
      <c r="C415">
        <v>3</v>
      </c>
      <c r="D415">
        <v>3.8759999999999999</v>
      </c>
      <c r="E415">
        <v>81.396000000000001</v>
      </c>
      <c r="F415" s="1">
        <v>43534</v>
      </c>
      <c r="G415" s="2">
        <v>0.78819444444444453</v>
      </c>
      <c r="H415" t="s">
        <v>23</v>
      </c>
      <c r="I415">
        <v>77.52</v>
      </c>
      <c r="J415">
        <v>4.7619047620000003</v>
      </c>
      <c r="K415">
        <v>3.8759999999999999</v>
      </c>
      <c r="L415">
        <v>6.6</v>
      </c>
    </row>
    <row r="416" spans="1:12" x14ac:dyDescent="0.25">
      <c r="A416" t="s">
        <v>450</v>
      </c>
      <c r="B416">
        <v>50.93</v>
      </c>
      <c r="C416">
        <v>8</v>
      </c>
      <c r="D416">
        <v>20.372</v>
      </c>
      <c r="E416">
        <v>427.81200000000001</v>
      </c>
      <c r="F416" s="1">
        <v>43546</v>
      </c>
      <c r="G416" s="2">
        <v>0.81666666666666676</v>
      </c>
      <c r="H416" t="s">
        <v>23</v>
      </c>
      <c r="I416">
        <v>407.44</v>
      </c>
      <c r="J416">
        <v>4.7619047620000003</v>
      </c>
      <c r="K416">
        <v>20.372</v>
      </c>
      <c r="L416">
        <v>9.1999999999999993</v>
      </c>
    </row>
    <row r="417" spans="1:12" x14ac:dyDescent="0.25">
      <c r="A417" t="s">
        <v>451</v>
      </c>
      <c r="B417">
        <v>96.11</v>
      </c>
      <c r="C417">
        <v>1</v>
      </c>
      <c r="D417">
        <v>4.8055000000000003</v>
      </c>
      <c r="E417">
        <v>100.91549999999999</v>
      </c>
      <c r="F417" s="1">
        <v>43490</v>
      </c>
      <c r="G417" s="2">
        <v>0.68611111111111101</v>
      </c>
      <c r="H417" t="s">
        <v>23</v>
      </c>
      <c r="I417">
        <v>96.11</v>
      </c>
      <c r="J417">
        <v>4.7619047620000003</v>
      </c>
      <c r="K417">
        <v>4.8055000000000003</v>
      </c>
      <c r="L417">
        <v>7.8</v>
      </c>
    </row>
    <row r="418" spans="1:12" x14ac:dyDescent="0.25">
      <c r="A418" t="s">
        <v>452</v>
      </c>
      <c r="B418">
        <v>45.38</v>
      </c>
      <c r="C418">
        <v>4</v>
      </c>
      <c r="D418">
        <v>9.0760000000000005</v>
      </c>
      <c r="E418">
        <v>190.596</v>
      </c>
      <c r="F418" s="1">
        <v>43473</v>
      </c>
      <c r="G418" s="2">
        <v>0.57500000000000007</v>
      </c>
      <c r="H418" t="s">
        <v>33</v>
      </c>
      <c r="I418">
        <v>181.52</v>
      </c>
      <c r="J418">
        <v>4.7619047620000003</v>
      </c>
      <c r="K418">
        <v>9.0760000000000005</v>
      </c>
      <c r="L418">
        <v>8.6999999999999993</v>
      </c>
    </row>
    <row r="419" spans="1:12" x14ac:dyDescent="0.25">
      <c r="A419" t="s">
        <v>453</v>
      </c>
      <c r="B419">
        <v>81.510000000000005</v>
      </c>
      <c r="C419">
        <v>1</v>
      </c>
      <c r="D419">
        <v>4.0754999999999999</v>
      </c>
      <c r="E419">
        <v>85.585499999999996</v>
      </c>
      <c r="F419" s="1">
        <v>43487</v>
      </c>
      <c r="G419" s="2">
        <v>0.45624999999999999</v>
      </c>
      <c r="H419" t="s">
        <v>23</v>
      </c>
      <c r="I419">
        <v>81.510000000000005</v>
      </c>
      <c r="J419">
        <v>4.7619047620000003</v>
      </c>
      <c r="K419">
        <v>4.0754999999999999</v>
      </c>
      <c r="L419">
        <v>9.1999999999999993</v>
      </c>
    </row>
    <row r="420" spans="1:12" x14ac:dyDescent="0.25">
      <c r="A420" t="s">
        <v>454</v>
      </c>
      <c r="B420">
        <v>57.22</v>
      </c>
      <c r="C420">
        <v>2</v>
      </c>
      <c r="D420">
        <v>5.7220000000000004</v>
      </c>
      <c r="E420">
        <v>120.16200000000001</v>
      </c>
      <c r="F420" s="1">
        <v>43477</v>
      </c>
      <c r="G420" s="2">
        <v>0.71736111111111101</v>
      </c>
      <c r="H420" t="s">
        <v>23</v>
      </c>
      <c r="I420">
        <v>114.44</v>
      </c>
      <c r="J420">
        <v>4.7619047620000003</v>
      </c>
      <c r="K420">
        <v>5.7220000000000004</v>
      </c>
      <c r="L420">
        <v>8.3000000000000007</v>
      </c>
    </row>
    <row r="421" spans="1:12" x14ac:dyDescent="0.25">
      <c r="A421" t="s">
        <v>455</v>
      </c>
      <c r="B421">
        <v>25.22</v>
      </c>
      <c r="C421">
        <v>7</v>
      </c>
      <c r="D421">
        <v>8.827</v>
      </c>
      <c r="E421">
        <v>185.36699999999999</v>
      </c>
      <c r="F421" s="1">
        <v>43500</v>
      </c>
      <c r="G421" s="2">
        <v>0.43263888888888885</v>
      </c>
      <c r="H421" t="s">
        <v>29</v>
      </c>
      <c r="I421">
        <v>176.54</v>
      </c>
      <c r="J421">
        <v>4.7619047620000003</v>
      </c>
      <c r="K421">
        <v>8.827</v>
      </c>
      <c r="L421">
        <v>8.1999999999999993</v>
      </c>
    </row>
    <row r="422" spans="1:12" x14ac:dyDescent="0.25">
      <c r="A422" t="s">
        <v>456</v>
      </c>
      <c r="B422">
        <v>38.6</v>
      </c>
      <c r="C422">
        <v>3</v>
      </c>
      <c r="D422">
        <v>5.79</v>
      </c>
      <c r="E422">
        <v>121.59</v>
      </c>
      <c r="F422" s="1">
        <v>43552</v>
      </c>
      <c r="G422" s="2">
        <v>0.58124999999999993</v>
      </c>
      <c r="H422" t="s">
        <v>23</v>
      </c>
      <c r="I422">
        <v>115.8</v>
      </c>
      <c r="J422">
        <v>4.7619047620000003</v>
      </c>
      <c r="K422">
        <v>5.79</v>
      </c>
      <c r="L422">
        <v>7.5</v>
      </c>
    </row>
    <row r="423" spans="1:12" x14ac:dyDescent="0.25">
      <c r="A423" t="s">
        <v>457</v>
      </c>
      <c r="B423">
        <v>84.05</v>
      </c>
      <c r="C423">
        <v>3</v>
      </c>
      <c r="D423">
        <v>12.6075</v>
      </c>
      <c r="E423">
        <v>264.75749999999999</v>
      </c>
      <c r="F423" s="1">
        <v>43488</v>
      </c>
      <c r="G423" s="2">
        <v>0.56180555555555556</v>
      </c>
      <c r="H423" t="s">
        <v>29</v>
      </c>
      <c r="I423">
        <v>252.15</v>
      </c>
      <c r="J423">
        <v>4.7619047620000003</v>
      </c>
      <c r="K423">
        <v>12.6075</v>
      </c>
      <c r="L423">
        <v>9.8000000000000007</v>
      </c>
    </row>
    <row r="424" spans="1:12" x14ac:dyDescent="0.25">
      <c r="A424" t="s">
        <v>458</v>
      </c>
      <c r="B424">
        <v>97.21</v>
      </c>
      <c r="C424">
        <v>10</v>
      </c>
      <c r="D424">
        <v>48.604999999999997</v>
      </c>
      <c r="E424">
        <v>1020.705</v>
      </c>
      <c r="F424" s="1">
        <v>43504</v>
      </c>
      <c r="G424" s="2">
        <v>0.54166666666666663</v>
      </c>
      <c r="H424" t="s">
        <v>33</v>
      </c>
      <c r="I424">
        <v>972.1</v>
      </c>
      <c r="J424">
        <v>4.7619047620000003</v>
      </c>
      <c r="K424">
        <v>48.604999999999997</v>
      </c>
      <c r="L424">
        <v>8.6999999999999993</v>
      </c>
    </row>
    <row r="425" spans="1:12" x14ac:dyDescent="0.25">
      <c r="A425" t="s">
        <v>459</v>
      </c>
      <c r="B425">
        <v>25.42</v>
      </c>
      <c r="C425">
        <v>8</v>
      </c>
      <c r="D425">
        <v>10.167999999999999</v>
      </c>
      <c r="E425">
        <v>213.52799999999999</v>
      </c>
      <c r="F425" s="1">
        <v>43543</v>
      </c>
      <c r="G425" s="2">
        <v>0.8208333333333333</v>
      </c>
      <c r="H425" t="s">
        <v>33</v>
      </c>
      <c r="I425">
        <v>203.36</v>
      </c>
      <c r="J425">
        <v>4.7619047620000003</v>
      </c>
      <c r="K425">
        <v>10.167999999999999</v>
      </c>
      <c r="L425">
        <v>6.7</v>
      </c>
    </row>
    <row r="426" spans="1:12" x14ac:dyDescent="0.25">
      <c r="A426" t="s">
        <v>460</v>
      </c>
      <c r="B426">
        <v>16.28</v>
      </c>
      <c r="C426">
        <v>1</v>
      </c>
      <c r="D426">
        <v>0.81399999999999995</v>
      </c>
      <c r="E426">
        <v>17.094000000000001</v>
      </c>
      <c r="F426" s="1">
        <v>43533</v>
      </c>
      <c r="G426" s="2">
        <v>0.65</v>
      </c>
      <c r="H426" t="s">
        <v>29</v>
      </c>
      <c r="I426">
        <v>16.28</v>
      </c>
      <c r="J426">
        <v>4.7619047620000003</v>
      </c>
      <c r="K426">
        <v>0.81399999999999995</v>
      </c>
      <c r="L426">
        <v>5</v>
      </c>
    </row>
    <row r="427" spans="1:12" x14ac:dyDescent="0.25">
      <c r="A427" t="s">
        <v>461</v>
      </c>
      <c r="B427">
        <v>40.61</v>
      </c>
      <c r="C427">
        <v>9</v>
      </c>
      <c r="D427">
        <v>18.2745</v>
      </c>
      <c r="E427">
        <v>383.7645</v>
      </c>
      <c r="F427" s="1">
        <v>43467</v>
      </c>
      <c r="G427" s="2">
        <v>0.56944444444444442</v>
      </c>
      <c r="H427" t="s">
        <v>29</v>
      </c>
      <c r="I427">
        <v>365.49</v>
      </c>
      <c r="J427">
        <v>4.7619047620000003</v>
      </c>
      <c r="K427">
        <v>18.2745</v>
      </c>
      <c r="L427">
        <v>7</v>
      </c>
    </row>
    <row r="428" spans="1:12" x14ac:dyDescent="0.25">
      <c r="A428" t="s">
        <v>462</v>
      </c>
      <c r="B428">
        <v>53.17</v>
      </c>
      <c r="C428">
        <v>7</v>
      </c>
      <c r="D428">
        <v>18.609500000000001</v>
      </c>
      <c r="E428">
        <v>390.79950000000002</v>
      </c>
      <c r="F428" s="1">
        <v>43486</v>
      </c>
      <c r="G428" s="2">
        <v>0.75069444444444444</v>
      </c>
      <c r="H428" t="s">
        <v>29</v>
      </c>
      <c r="I428">
        <v>372.19</v>
      </c>
      <c r="J428">
        <v>4.7619047620000003</v>
      </c>
      <c r="K428">
        <v>18.609500000000001</v>
      </c>
      <c r="L428">
        <v>8.9</v>
      </c>
    </row>
    <row r="429" spans="1:12" x14ac:dyDescent="0.25">
      <c r="A429" t="s">
        <v>463</v>
      </c>
      <c r="B429">
        <v>20.87</v>
      </c>
      <c r="C429">
        <v>3</v>
      </c>
      <c r="D429">
        <v>3.1305000000000001</v>
      </c>
      <c r="E429">
        <v>65.740499999999997</v>
      </c>
      <c r="F429" s="1">
        <v>43544</v>
      </c>
      <c r="G429" s="2">
        <v>0.57847222222222217</v>
      </c>
      <c r="H429" t="s">
        <v>33</v>
      </c>
      <c r="I429">
        <v>62.61</v>
      </c>
      <c r="J429">
        <v>4.7619047620000003</v>
      </c>
      <c r="K429">
        <v>3.1305000000000001</v>
      </c>
      <c r="L429">
        <v>8</v>
      </c>
    </row>
    <row r="430" spans="1:12" x14ac:dyDescent="0.25">
      <c r="A430" t="s">
        <v>464</v>
      </c>
      <c r="B430">
        <v>67.27</v>
      </c>
      <c r="C430">
        <v>5</v>
      </c>
      <c r="D430">
        <v>16.817499999999999</v>
      </c>
      <c r="E430">
        <v>353.16750000000002</v>
      </c>
      <c r="F430" s="1">
        <v>43523</v>
      </c>
      <c r="G430" s="2">
        <v>0.7270833333333333</v>
      </c>
      <c r="H430" t="s">
        <v>29</v>
      </c>
      <c r="I430">
        <v>336.35</v>
      </c>
      <c r="J430">
        <v>4.7619047620000003</v>
      </c>
      <c r="K430">
        <v>16.817499999999999</v>
      </c>
      <c r="L430">
        <v>6.9</v>
      </c>
    </row>
    <row r="431" spans="1:12" x14ac:dyDescent="0.25">
      <c r="A431" t="s">
        <v>465</v>
      </c>
      <c r="B431">
        <v>90.65</v>
      </c>
      <c r="C431">
        <v>10</v>
      </c>
      <c r="D431">
        <v>45.325000000000003</v>
      </c>
      <c r="E431">
        <v>951.82500000000005</v>
      </c>
      <c r="F431" s="1">
        <v>43532</v>
      </c>
      <c r="G431" s="2">
        <v>0.45347222222222222</v>
      </c>
      <c r="H431" t="s">
        <v>23</v>
      </c>
      <c r="I431">
        <v>906.5</v>
      </c>
      <c r="J431">
        <v>4.7619047620000003</v>
      </c>
      <c r="K431">
        <v>45.325000000000003</v>
      </c>
      <c r="L431">
        <v>7.3</v>
      </c>
    </row>
    <row r="432" spans="1:12" x14ac:dyDescent="0.25">
      <c r="A432" t="s">
        <v>466</v>
      </c>
      <c r="B432">
        <v>69.08</v>
      </c>
      <c r="C432">
        <v>2</v>
      </c>
      <c r="D432">
        <v>6.9080000000000004</v>
      </c>
      <c r="E432">
        <v>145.06800000000001</v>
      </c>
      <c r="F432" s="1">
        <v>43496</v>
      </c>
      <c r="G432" s="2">
        <v>0.82500000000000007</v>
      </c>
      <c r="H432" t="s">
        <v>33</v>
      </c>
      <c r="I432">
        <v>138.16</v>
      </c>
      <c r="J432">
        <v>4.7619047620000003</v>
      </c>
      <c r="K432">
        <v>6.9080000000000004</v>
      </c>
      <c r="L432">
        <v>6.9</v>
      </c>
    </row>
    <row r="433" spans="1:12" x14ac:dyDescent="0.25">
      <c r="A433" t="s">
        <v>467</v>
      </c>
      <c r="B433">
        <v>43.27</v>
      </c>
      <c r="C433">
        <v>2</v>
      </c>
      <c r="D433">
        <v>4.327</v>
      </c>
      <c r="E433">
        <v>90.867000000000004</v>
      </c>
      <c r="F433" s="1">
        <v>43532</v>
      </c>
      <c r="G433" s="2">
        <v>0.70347222222222217</v>
      </c>
      <c r="H433" t="s">
        <v>23</v>
      </c>
      <c r="I433">
        <v>86.54</v>
      </c>
      <c r="J433">
        <v>4.7619047620000003</v>
      </c>
      <c r="K433">
        <v>4.327</v>
      </c>
      <c r="L433">
        <v>5.7</v>
      </c>
    </row>
    <row r="434" spans="1:12" x14ac:dyDescent="0.25">
      <c r="A434" t="s">
        <v>468</v>
      </c>
      <c r="B434">
        <v>23.46</v>
      </c>
      <c r="C434">
        <v>6</v>
      </c>
      <c r="D434">
        <v>7.0380000000000003</v>
      </c>
      <c r="E434">
        <v>147.798</v>
      </c>
      <c r="F434" s="1">
        <v>43478</v>
      </c>
      <c r="G434" s="2">
        <v>0.80138888888888893</v>
      </c>
      <c r="H434" t="s">
        <v>23</v>
      </c>
      <c r="I434">
        <v>140.76</v>
      </c>
      <c r="J434">
        <v>4.7619047620000003</v>
      </c>
      <c r="K434">
        <v>7.0380000000000003</v>
      </c>
      <c r="L434">
        <v>6.4</v>
      </c>
    </row>
    <row r="435" spans="1:12" x14ac:dyDescent="0.25">
      <c r="A435" t="s">
        <v>469</v>
      </c>
      <c r="B435">
        <v>95.54</v>
      </c>
      <c r="C435">
        <v>7</v>
      </c>
      <c r="D435">
        <v>33.439</v>
      </c>
      <c r="E435">
        <v>702.21900000000005</v>
      </c>
      <c r="F435" s="1">
        <v>43533</v>
      </c>
      <c r="G435" s="2">
        <v>0.60833333333333328</v>
      </c>
      <c r="H435" t="s">
        <v>33</v>
      </c>
      <c r="I435">
        <v>668.78</v>
      </c>
      <c r="J435">
        <v>4.7619047620000003</v>
      </c>
      <c r="K435">
        <v>33.439</v>
      </c>
      <c r="L435">
        <v>9.6</v>
      </c>
    </row>
    <row r="436" spans="1:12" x14ac:dyDescent="0.25">
      <c r="A436" t="s">
        <v>470</v>
      </c>
      <c r="B436">
        <v>47.44</v>
      </c>
      <c r="C436">
        <v>1</v>
      </c>
      <c r="D436">
        <v>2.3719999999999999</v>
      </c>
      <c r="E436">
        <v>49.811999999999998</v>
      </c>
      <c r="F436" s="1">
        <v>43518</v>
      </c>
      <c r="G436" s="2">
        <v>0.7631944444444444</v>
      </c>
      <c r="H436" t="s">
        <v>33</v>
      </c>
      <c r="I436">
        <v>47.44</v>
      </c>
      <c r="J436">
        <v>4.7619047620000003</v>
      </c>
      <c r="K436">
        <v>2.3719999999999999</v>
      </c>
      <c r="L436">
        <v>6.8</v>
      </c>
    </row>
    <row r="437" spans="1:12" x14ac:dyDescent="0.25">
      <c r="A437" t="s">
        <v>471</v>
      </c>
      <c r="B437">
        <v>99.24</v>
      </c>
      <c r="C437">
        <v>9</v>
      </c>
      <c r="D437">
        <v>44.658000000000001</v>
      </c>
      <c r="E437">
        <v>937.81799999999998</v>
      </c>
      <c r="F437" s="1">
        <v>43543</v>
      </c>
      <c r="G437" s="2">
        <v>0.79791666666666661</v>
      </c>
      <c r="H437" t="s">
        <v>23</v>
      </c>
      <c r="I437">
        <v>893.16</v>
      </c>
      <c r="J437">
        <v>4.7619047620000003</v>
      </c>
      <c r="K437">
        <v>44.658000000000001</v>
      </c>
      <c r="L437">
        <v>9</v>
      </c>
    </row>
    <row r="438" spans="1:12" x14ac:dyDescent="0.25">
      <c r="A438" t="s">
        <v>472</v>
      </c>
      <c r="B438">
        <v>82.93</v>
      </c>
      <c r="C438">
        <v>4</v>
      </c>
      <c r="D438">
        <v>16.585999999999999</v>
      </c>
      <c r="E438">
        <v>348.30599999999998</v>
      </c>
      <c r="F438" s="1">
        <v>43485</v>
      </c>
      <c r="G438" s="2">
        <v>0.70208333333333339</v>
      </c>
      <c r="H438" t="s">
        <v>23</v>
      </c>
      <c r="I438">
        <v>331.72</v>
      </c>
      <c r="J438">
        <v>4.7619047620000003</v>
      </c>
      <c r="K438">
        <v>16.585999999999999</v>
      </c>
      <c r="L438">
        <v>9.6</v>
      </c>
    </row>
    <row r="439" spans="1:12" x14ac:dyDescent="0.25">
      <c r="A439" t="s">
        <v>473</v>
      </c>
      <c r="B439">
        <v>33.99</v>
      </c>
      <c r="C439">
        <v>6</v>
      </c>
      <c r="D439">
        <v>10.196999999999999</v>
      </c>
      <c r="E439">
        <v>214.137</v>
      </c>
      <c r="F439" s="1">
        <v>43532</v>
      </c>
      <c r="G439" s="2">
        <v>0.65069444444444446</v>
      </c>
      <c r="H439" t="s">
        <v>33</v>
      </c>
      <c r="I439">
        <v>203.94</v>
      </c>
      <c r="J439">
        <v>4.7619047620000003</v>
      </c>
      <c r="K439">
        <v>10.196999999999999</v>
      </c>
      <c r="L439">
        <v>7.7</v>
      </c>
    </row>
    <row r="440" spans="1:12" x14ac:dyDescent="0.25">
      <c r="A440" t="s">
        <v>474</v>
      </c>
      <c r="B440">
        <v>17.04</v>
      </c>
      <c r="C440">
        <v>4</v>
      </c>
      <c r="D440">
        <v>3.4079999999999999</v>
      </c>
      <c r="E440">
        <v>71.567999999999998</v>
      </c>
      <c r="F440" s="1">
        <v>43532</v>
      </c>
      <c r="G440" s="2">
        <v>0.84375</v>
      </c>
      <c r="H440" t="s">
        <v>23</v>
      </c>
      <c r="I440">
        <v>68.16</v>
      </c>
      <c r="J440">
        <v>4.7619047620000003</v>
      </c>
      <c r="K440">
        <v>3.4079999999999999</v>
      </c>
      <c r="L440">
        <v>7</v>
      </c>
    </row>
    <row r="441" spans="1:12" x14ac:dyDescent="0.25">
      <c r="A441" t="s">
        <v>475</v>
      </c>
      <c r="B441">
        <v>40.86</v>
      </c>
      <c r="C441">
        <v>8</v>
      </c>
      <c r="D441">
        <v>16.344000000000001</v>
      </c>
      <c r="E441">
        <v>343.22399999999999</v>
      </c>
      <c r="F441" s="1">
        <v>43503</v>
      </c>
      <c r="G441" s="2">
        <v>0.60972222222222217</v>
      </c>
      <c r="H441" t="s">
        <v>33</v>
      </c>
      <c r="I441">
        <v>326.88</v>
      </c>
      <c r="J441">
        <v>4.7619047620000003</v>
      </c>
      <c r="K441">
        <v>16.344000000000001</v>
      </c>
      <c r="L441">
        <v>6.5</v>
      </c>
    </row>
    <row r="442" spans="1:12" x14ac:dyDescent="0.25">
      <c r="A442" t="s">
        <v>476</v>
      </c>
      <c r="B442">
        <v>17.440000000000001</v>
      </c>
      <c r="C442">
        <v>5</v>
      </c>
      <c r="D442">
        <v>4.3600000000000003</v>
      </c>
      <c r="E442">
        <v>91.56</v>
      </c>
      <c r="F442" s="1">
        <v>43480</v>
      </c>
      <c r="G442" s="2">
        <v>0.80902777777777779</v>
      </c>
      <c r="H442" t="s">
        <v>29</v>
      </c>
      <c r="I442">
        <v>87.2</v>
      </c>
      <c r="J442">
        <v>4.7619047620000003</v>
      </c>
      <c r="K442">
        <v>4.3600000000000003</v>
      </c>
      <c r="L442">
        <v>8.1</v>
      </c>
    </row>
    <row r="443" spans="1:12" x14ac:dyDescent="0.25">
      <c r="A443" t="s">
        <v>477</v>
      </c>
      <c r="B443">
        <v>88.43</v>
      </c>
      <c r="C443">
        <v>8</v>
      </c>
      <c r="D443">
        <v>35.372</v>
      </c>
      <c r="E443">
        <v>742.81200000000001</v>
      </c>
      <c r="F443" s="1">
        <v>43546</v>
      </c>
      <c r="G443" s="2">
        <v>0.81597222222222221</v>
      </c>
      <c r="H443" t="s">
        <v>33</v>
      </c>
      <c r="I443">
        <v>707.44</v>
      </c>
      <c r="J443">
        <v>4.7619047620000003</v>
      </c>
      <c r="K443">
        <v>35.372</v>
      </c>
      <c r="L443">
        <v>4.3</v>
      </c>
    </row>
    <row r="444" spans="1:12" x14ac:dyDescent="0.25">
      <c r="A444" t="s">
        <v>478</v>
      </c>
      <c r="B444">
        <v>89.21</v>
      </c>
      <c r="C444">
        <v>9</v>
      </c>
      <c r="D444">
        <v>40.144500000000001</v>
      </c>
      <c r="E444">
        <v>843.03449999999998</v>
      </c>
      <c r="F444" s="1">
        <v>43480</v>
      </c>
      <c r="G444" s="2">
        <v>0.65416666666666667</v>
      </c>
      <c r="H444" t="s">
        <v>33</v>
      </c>
      <c r="I444">
        <v>802.89</v>
      </c>
      <c r="J444">
        <v>4.7619047620000003</v>
      </c>
      <c r="K444">
        <v>40.144500000000001</v>
      </c>
      <c r="L444">
        <v>6.5</v>
      </c>
    </row>
    <row r="445" spans="1:12" x14ac:dyDescent="0.25">
      <c r="A445" t="s">
        <v>479</v>
      </c>
      <c r="B445">
        <v>12.78</v>
      </c>
      <c r="C445">
        <v>1</v>
      </c>
      <c r="D445">
        <v>0.63900000000000001</v>
      </c>
      <c r="E445">
        <v>13.419</v>
      </c>
      <c r="F445" s="1">
        <v>43473</v>
      </c>
      <c r="G445" s="2">
        <v>0.59097222222222223</v>
      </c>
      <c r="H445" t="s">
        <v>23</v>
      </c>
      <c r="I445">
        <v>12.78</v>
      </c>
      <c r="J445">
        <v>4.7619047620000003</v>
      </c>
      <c r="K445">
        <v>0.63900000000000001</v>
      </c>
      <c r="L445">
        <v>9.5</v>
      </c>
    </row>
    <row r="446" spans="1:12" x14ac:dyDescent="0.25">
      <c r="A446" t="s">
        <v>480</v>
      </c>
      <c r="B446">
        <v>19.100000000000001</v>
      </c>
      <c r="C446">
        <v>7</v>
      </c>
      <c r="D446">
        <v>6.6849999999999996</v>
      </c>
      <c r="E446">
        <v>140.38499999999999</v>
      </c>
      <c r="F446" s="1">
        <v>43480</v>
      </c>
      <c r="G446" s="2">
        <v>0.4465277777777778</v>
      </c>
      <c r="H446" t="s">
        <v>29</v>
      </c>
      <c r="I446">
        <v>133.69999999999999</v>
      </c>
      <c r="J446">
        <v>4.7619047620000003</v>
      </c>
      <c r="K446">
        <v>6.6849999999999996</v>
      </c>
      <c r="L446">
        <v>9.6999999999999993</v>
      </c>
    </row>
    <row r="447" spans="1:12" x14ac:dyDescent="0.25">
      <c r="A447" t="s">
        <v>481</v>
      </c>
      <c r="B447">
        <v>19.149999999999999</v>
      </c>
      <c r="C447">
        <v>1</v>
      </c>
      <c r="D447">
        <v>0.95750000000000002</v>
      </c>
      <c r="E447">
        <v>20.107500000000002</v>
      </c>
      <c r="F447" s="1">
        <v>43493</v>
      </c>
      <c r="G447" s="2">
        <v>0.74861111111111101</v>
      </c>
      <c r="H447" t="s">
        <v>33</v>
      </c>
      <c r="I447">
        <v>19.149999999999999</v>
      </c>
      <c r="J447">
        <v>4.7619047620000003</v>
      </c>
      <c r="K447">
        <v>0.95750000000000002</v>
      </c>
      <c r="L447">
        <v>9.5</v>
      </c>
    </row>
    <row r="448" spans="1:12" x14ac:dyDescent="0.25">
      <c r="A448" t="s">
        <v>482</v>
      </c>
      <c r="B448">
        <v>27.66</v>
      </c>
      <c r="C448">
        <v>10</v>
      </c>
      <c r="D448">
        <v>13.83</v>
      </c>
      <c r="E448">
        <v>290.43</v>
      </c>
      <c r="F448" s="1">
        <v>43510</v>
      </c>
      <c r="G448" s="2">
        <v>0.47638888888888892</v>
      </c>
      <c r="H448" t="s">
        <v>33</v>
      </c>
      <c r="I448">
        <v>276.60000000000002</v>
      </c>
      <c r="J448">
        <v>4.7619047620000003</v>
      </c>
      <c r="K448">
        <v>13.83</v>
      </c>
      <c r="L448">
        <v>8.9</v>
      </c>
    </row>
    <row r="449" spans="1:12" x14ac:dyDescent="0.25">
      <c r="A449" t="s">
        <v>483</v>
      </c>
      <c r="B449">
        <v>45.74</v>
      </c>
      <c r="C449">
        <v>3</v>
      </c>
      <c r="D449">
        <v>6.8609999999999998</v>
      </c>
      <c r="E449">
        <v>144.08099999999999</v>
      </c>
      <c r="F449" s="1">
        <v>43534</v>
      </c>
      <c r="G449" s="2">
        <v>0.73472222222222217</v>
      </c>
      <c r="H449" t="s">
        <v>33</v>
      </c>
      <c r="I449">
        <v>137.22</v>
      </c>
      <c r="J449">
        <v>4.7619047620000003</v>
      </c>
      <c r="K449">
        <v>6.8609999999999998</v>
      </c>
      <c r="L449">
        <v>6.5</v>
      </c>
    </row>
    <row r="450" spans="1:12" x14ac:dyDescent="0.25">
      <c r="A450" t="s">
        <v>484</v>
      </c>
      <c r="B450">
        <v>27.07</v>
      </c>
      <c r="C450">
        <v>1</v>
      </c>
      <c r="D450">
        <v>1.3534999999999999</v>
      </c>
      <c r="E450">
        <v>28.423500000000001</v>
      </c>
      <c r="F450" s="1">
        <v>43477</v>
      </c>
      <c r="G450" s="2">
        <v>0.83819444444444446</v>
      </c>
      <c r="H450" t="s">
        <v>33</v>
      </c>
      <c r="I450">
        <v>27.07</v>
      </c>
      <c r="J450">
        <v>4.7619047620000003</v>
      </c>
      <c r="K450">
        <v>1.3534999999999999</v>
      </c>
      <c r="L450">
        <v>5.3</v>
      </c>
    </row>
    <row r="451" spans="1:12" x14ac:dyDescent="0.25">
      <c r="A451" t="s">
        <v>485</v>
      </c>
      <c r="B451">
        <v>39.119999999999997</v>
      </c>
      <c r="C451">
        <v>1</v>
      </c>
      <c r="D451">
        <v>1.956</v>
      </c>
      <c r="E451">
        <v>41.076000000000001</v>
      </c>
      <c r="F451" s="1">
        <v>43550</v>
      </c>
      <c r="G451" s="2">
        <v>0.4597222222222222</v>
      </c>
      <c r="H451" t="s">
        <v>33</v>
      </c>
      <c r="I451">
        <v>39.119999999999997</v>
      </c>
      <c r="J451">
        <v>4.7619047620000003</v>
      </c>
      <c r="K451">
        <v>1.956</v>
      </c>
      <c r="L451">
        <v>9.6</v>
      </c>
    </row>
    <row r="452" spans="1:12" x14ac:dyDescent="0.25">
      <c r="A452" t="s">
        <v>486</v>
      </c>
      <c r="B452">
        <v>74.709999999999994</v>
      </c>
      <c r="C452">
        <v>6</v>
      </c>
      <c r="D452">
        <v>22.413</v>
      </c>
      <c r="E452">
        <v>470.673</v>
      </c>
      <c r="F452" s="1">
        <v>43466</v>
      </c>
      <c r="G452" s="2">
        <v>0.79652777777777783</v>
      </c>
      <c r="H452" t="s">
        <v>29</v>
      </c>
      <c r="I452">
        <v>448.26</v>
      </c>
      <c r="J452">
        <v>4.7619047620000003</v>
      </c>
      <c r="K452">
        <v>22.413</v>
      </c>
      <c r="L452">
        <v>6.7</v>
      </c>
    </row>
    <row r="453" spans="1:12" x14ac:dyDescent="0.25">
      <c r="A453" t="s">
        <v>487</v>
      </c>
      <c r="B453">
        <v>22.01</v>
      </c>
      <c r="C453">
        <v>6</v>
      </c>
      <c r="D453">
        <v>6.6029999999999998</v>
      </c>
      <c r="E453">
        <v>138.66300000000001</v>
      </c>
      <c r="F453" s="1">
        <v>43467</v>
      </c>
      <c r="G453" s="2">
        <v>0.78472222222222221</v>
      </c>
      <c r="H453" t="s">
        <v>29</v>
      </c>
      <c r="I453">
        <v>132.06</v>
      </c>
      <c r="J453">
        <v>4.7619047620000003</v>
      </c>
      <c r="K453">
        <v>6.6029999999999998</v>
      </c>
      <c r="L453">
        <v>7.6</v>
      </c>
    </row>
    <row r="454" spans="1:12" x14ac:dyDescent="0.25">
      <c r="A454" t="s">
        <v>488</v>
      </c>
      <c r="B454">
        <v>63.61</v>
      </c>
      <c r="C454">
        <v>5</v>
      </c>
      <c r="D454">
        <v>15.9025</v>
      </c>
      <c r="E454">
        <v>333.95249999999999</v>
      </c>
      <c r="F454" s="1">
        <v>43540</v>
      </c>
      <c r="G454" s="2">
        <v>0.52986111111111112</v>
      </c>
      <c r="H454" t="s">
        <v>23</v>
      </c>
      <c r="I454">
        <v>318.05</v>
      </c>
      <c r="J454">
        <v>4.7619047620000003</v>
      </c>
      <c r="K454">
        <v>15.9025</v>
      </c>
      <c r="L454">
        <v>4.8</v>
      </c>
    </row>
    <row r="455" spans="1:12" x14ac:dyDescent="0.25">
      <c r="A455" t="s">
        <v>489</v>
      </c>
      <c r="B455">
        <v>25</v>
      </c>
      <c r="C455">
        <v>1</v>
      </c>
      <c r="D455">
        <v>1.25</v>
      </c>
      <c r="E455">
        <v>26.25</v>
      </c>
      <c r="F455" s="1">
        <v>43527</v>
      </c>
      <c r="G455" s="2">
        <v>0.63124999999999998</v>
      </c>
      <c r="H455" t="s">
        <v>23</v>
      </c>
      <c r="I455">
        <v>25</v>
      </c>
      <c r="J455">
        <v>4.7619047620000003</v>
      </c>
      <c r="K455">
        <v>1.25</v>
      </c>
      <c r="L455">
        <v>5.5</v>
      </c>
    </row>
    <row r="456" spans="1:12" x14ac:dyDescent="0.25">
      <c r="A456" t="s">
        <v>490</v>
      </c>
      <c r="B456">
        <v>20.77</v>
      </c>
      <c r="C456">
        <v>4</v>
      </c>
      <c r="D456">
        <v>4.1539999999999999</v>
      </c>
      <c r="E456">
        <v>87.233999999999995</v>
      </c>
      <c r="F456" s="1">
        <v>43496</v>
      </c>
      <c r="G456" s="2">
        <v>0.57430555555555551</v>
      </c>
      <c r="H456" t="s">
        <v>29</v>
      </c>
      <c r="I456">
        <v>83.08</v>
      </c>
      <c r="J456">
        <v>4.7619047620000003</v>
      </c>
      <c r="K456">
        <v>4.1539999999999999</v>
      </c>
      <c r="L456">
        <v>4.7</v>
      </c>
    </row>
    <row r="457" spans="1:12" x14ac:dyDescent="0.25">
      <c r="A457" t="s">
        <v>491</v>
      </c>
      <c r="B457">
        <v>29.56</v>
      </c>
      <c r="C457">
        <v>5</v>
      </c>
      <c r="D457">
        <v>7.39</v>
      </c>
      <c r="E457">
        <v>155.19</v>
      </c>
      <c r="F457" s="1">
        <v>43509</v>
      </c>
      <c r="G457" s="2">
        <v>0.70763888888888893</v>
      </c>
      <c r="H457" t="s">
        <v>29</v>
      </c>
      <c r="I457">
        <v>147.80000000000001</v>
      </c>
      <c r="J457">
        <v>4.7619047620000003</v>
      </c>
      <c r="K457">
        <v>7.39</v>
      </c>
      <c r="L457">
        <v>6.9</v>
      </c>
    </row>
    <row r="458" spans="1:12" x14ac:dyDescent="0.25">
      <c r="A458" t="s">
        <v>492</v>
      </c>
      <c r="B458">
        <v>77.400000000000006</v>
      </c>
      <c r="C458">
        <v>9</v>
      </c>
      <c r="D458">
        <v>34.83</v>
      </c>
      <c r="E458">
        <v>731.43</v>
      </c>
      <c r="F458" s="1">
        <v>43511</v>
      </c>
      <c r="G458" s="2">
        <v>0.59375</v>
      </c>
      <c r="H458" t="s">
        <v>33</v>
      </c>
      <c r="I458">
        <v>696.6</v>
      </c>
      <c r="J458">
        <v>4.7619047620000003</v>
      </c>
      <c r="K458">
        <v>34.83</v>
      </c>
      <c r="L458">
        <v>4.5</v>
      </c>
    </row>
    <row r="459" spans="1:12" x14ac:dyDescent="0.25">
      <c r="A459" t="s">
        <v>493</v>
      </c>
      <c r="B459">
        <v>79.39</v>
      </c>
      <c r="C459">
        <v>10</v>
      </c>
      <c r="D459">
        <v>39.695</v>
      </c>
      <c r="E459">
        <v>833.59500000000003</v>
      </c>
      <c r="F459" s="1">
        <v>43503</v>
      </c>
      <c r="G459" s="2">
        <v>0.85</v>
      </c>
      <c r="H459" t="s">
        <v>29</v>
      </c>
      <c r="I459">
        <v>793.9</v>
      </c>
      <c r="J459">
        <v>4.7619047620000003</v>
      </c>
      <c r="K459">
        <v>39.695</v>
      </c>
      <c r="L459">
        <v>6.2</v>
      </c>
    </row>
    <row r="460" spans="1:12" x14ac:dyDescent="0.25">
      <c r="A460" t="s">
        <v>494</v>
      </c>
      <c r="B460">
        <v>46.57</v>
      </c>
      <c r="C460">
        <v>10</v>
      </c>
      <c r="D460">
        <v>23.285</v>
      </c>
      <c r="E460">
        <v>488.98500000000001</v>
      </c>
      <c r="F460" s="1">
        <v>43492</v>
      </c>
      <c r="G460" s="2">
        <v>0.58194444444444449</v>
      </c>
      <c r="H460" t="s">
        <v>29</v>
      </c>
      <c r="I460">
        <v>465.7</v>
      </c>
      <c r="J460">
        <v>4.7619047620000003</v>
      </c>
      <c r="K460">
        <v>23.285</v>
      </c>
      <c r="L460">
        <v>7.6</v>
      </c>
    </row>
    <row r="461" spans="1:12" x14ac:dyDescent="0.25">
      <c r="A461" t="s">
        <v>495</v>
      </c>
      <c r="B461">
        <v>35.89</v>
      </c>
      <c r="C461">
        <v>1</v>
      </c>
      <c r="D461">
        <v>1.7945</v>
      </c>
      <c r="E461">
        <v>37.6845</v>
      </c>
      <c r="F461" s="1">
        <v>43519</v>
      </c>
      <c r="G461" s="2">
        <v>0.70277777777777783</v>
      </c>
      <c r="H461" t="s">
        <v>33</v>
      </c>
      <c r="I461">
        <v>35.89</v>
      </c>
      <c r="J461">
        <v>4.7619047620000003</v>
      </c>
      <c r="K461">
        <v>1.7945</v>
      </c>
      <c r="L461">
        <v>7.9</v>
      </c>
    </row>
    <row r="462" spans="1:12" x14ac:dyDescent="0.25">
      <c r="A462" t="s">
        <v>496</v>
      </c>
      <c r="B462">
        <v>40.520000000000003</v>
      </c>
      <c r="C462">
        <v>5</v>
      </c>
      <c r="D462">
        <v>10.130000000000001</v>
      </c>
      <c r="E462">
        <v>212.73</v>
      </c>
      <c r="F462" s="1">
        <v>43499</v>
      </c>
      <c r="G462" s="2">
        <v>0.6381944444444444</v>
      </c>
      <c r="H462" t="s">
        <v>29</v>
      </c>
      <c r="I462">
        <v>202.6</v>
      </c>
      <c r="J462">
        <v>4.7619047620000003</v>
      </c>
      <c r="K462">
        <v>10.130000000000001</v>
      </c>
      <c r="L462">
        <v>4.5</v>
      </c>
    </row>
    <row r="463" spans="1:12" x14ac:dyDescent="0.25">
      <c r="A463" t="s">
        <v>497</v>
      </c>
      <c r="B463">
        <v>73.05</v>
      </c>
      <c r="C463">
        <v>10</v>
      </c>
      <c r="D463">
        <v>36.524999999999999</v>
      </c>
      <c r="E463">
        <v>767.02499999999998</v>
      </c>
      <c r="F463" s="1">
        <v>43527</v>
      </c>
      <c r="G463" s="2">
        <v>0.51736111111111105</v>
      </c>
      <c r="H463" t="s">
        <v>33</v>
      </c>
      <c r="I463">
        <v>730.5</v>
      </c>
      <c r="J463">
        <v>4.7619047620000003</v>
      </c>
      <c r="K463">
        <v>36.524999999999999</v>
      </c>
      <c r="L463">
        <v>8.6999999999999993</v>
      </c>
    </row>
    <row r="464" spans="1:12" x14ac:dyDescent="0.25">
      <c r="A464" t="s">
        <v>498</v>
      </c>
      <c r="B464">
        <v>73.95</v>
      </c>
      <c r="C464">
        <v>4</v>
      </c>
      <c r="D464">
        <v>14.79</v>
      </c>
      <c r="E464">
        <v>310.58999999999997</v>
      </c>
      <c r="F464" s="1">
        <v>43499</v>
      </c>
      <c r="G464" s="2">
        <v>0.41805555555555557</v>
      </c>
      <c r="H464" t="s">
        <v>29</v>
      </c>
      <c r="I464">
        <v>295.8</v>
      </c>
      <c r="J464">
        <v>4.7619047620000003</v>
      </c>
      <c r="K464">
        <v>14.79</v>
      </c>
      <c r="L464">
        <v>6.1</v>
      </c>
    </row>
    <row r="465" spans="1:12" x14ac:dyDescent="0.25">
      <c r="A465" t="s">
        <v>499</v>
      </c>
      <c r="B465">
        <v>22.62</v>
      </c>
      <c r="C465">
        <v>1</v>
      </c>
      <c r="D465">
        <v>1.131</v>
      </c>
      <c r="E465">
        <v>23.751000000000001</v>
      </c>
      <c r="F465" s="1">
        <v>43541</v>
      </c>
      <c r="G465" s="2">
        <v>0.79027777777777775</v>
      </c>
      <c r="H465" t="s">
        <v>29</v>
      </c>
      <c r="I465">
        <v>22.62</v>
      </c>
      <c r="J465">
        <v>4.7619047620000003</v>
      </c>
      <c r="K465">
        <v>1.131</v>
      </c>
      <c r="L465">
        <v>6.4</v>
      </c>
    </row>
    <row r="466" spans="1:12" x14ac:dyDescent="0.25">
      <c r="A466" t="s">
        <v>500</v>
      </c>
      <c r="B466">
        <v>51.34</v>
      </c>
      <c r="C466">
        <v>5</v>
      </c>
      <c r="D466">
        <v>12.835000000000001</v>
      </c>
      <c r="E466">
        <v>269.53500000000003</v>
      </c>
      <c r="F466" s="1">
        <v>43552</v>
      </c>
      <c r="G466" s="2">
        <v>0.64652777777777781</v>
      </c>
      <c r="H466" t="s">
        <v>33</v>
      </c>
      <c r="I466">
        <v>256.7</v>
      </c>
      <c r="J466">
        <v>4.7619047620000003</v>
      </c>
      <c r="K466">
        <v>12.835000000000001</v>
      </c>
      <c r="L466">
        <v>9.1</v>
      </c>
    </row>
    <row r="467" spans="1:12" x14ac:dyDescent="0.25">
      <c r="A467" t="s">
        <v>501</v>
      </c>
      <c r="B467">
        <v>54.55</v>
      </c>
      <c r="C467">
        <v>10</v>
      </c>
      <c r="D467">
        <v>27.274999999999999</v>
      </c>
      <c r="E467">
        <v>572.77499999999998</v>
      </c>
      <c r="F467" s="1">
        <v>43526</v>
      </c>
      <c r="G467" s="2">
        <v>0.47361111111111115</v>
      </c>
      <c r="H467" t="s">
        <v>33</v>
      </c>
      <c r="I467">
        <v>545.5</v>
      </c>
      <c r="J467">
        <v>4.7619047620000003</v>
      </c>
      <c r="K467">
        <v>27.274999999999999</v>
      </c>
      <c r="L467">
        <v>7.1</v>
      </c>
    </row>
    <row r="468" spans="1:12" x14ac:dyDescent="0.25">
      <c r="A468" t="s">
        <v>502</v>
      </c>
      <c r="B468">
        <v>37.15</v>
      </c>
      <c r="C468">
        <v>7</v>
      </c>
      <c r="D468">
        <v>13.0025</v>
      </c>
      <c r="E468">
        <v>273.05250000000001</v>
      </c>
      <c r="F468" s="1">
        <v>43504</v>
      </c>
      <c r="G468" s="2">
        <v>0.54999999999999993</v>
      </c>
      <c r="H468" t="s">
        <v>33</v>
      </c>
      <c r="I468">
        <v>260.05</v>
      </c>
      <c r="J468">
        <v>4.7619047620000003</v>
      </c>
      <c r="K468">
        <v>13.0025</v>
      </c>
      <c r="L468">
        <v>7.7</v>
      </c>
    </row>
    <row r="469" spans="1:12" x14ac:dyDescent="0.25">
      <c r="A469" t="s">
        <v>503</v>
      </c>
      <c r="B469">
        <v>37.020000000000003</v>
      </c>
      <c r="C469">
        <v>6</v>
      </c>
      <c r="D469">
        <v>11.106</v>
      </c>
      <c r="E469">
        <v>233.226</v>
      </c>
      <c r="F469" s="1">
        <v>43546</v>
      </c>
      <c r="G469" s="2">
        <v>0.7729166666666667</v>
      </c>
      <c r="H469" t="s">
        <v>29</v>
      </c>
      <c r="I469">
        <v>222.12</v>
      </c>
      <c r="J469">
        <v>4.7619047620000003</v>
      </c>
      <c r="K469">
        <v>11.106</v>
      </c>
      <c r="L469">
        <v>4.5</v>
      </c>
    </row>
    <row r="470" spans="1:12" x14ac:dyDescent="0.25">
      <c r="A470" t="s">
        <v>504</v>
      </c>
      <c r="B470">
        <v>21.58</v>
      </c>
      <c r="C470">
        <v>1</v>
      </c>
      <c r="D470">
        <v>1.079</v>
      </c>
      <c r="E470">
        <v>22.658999999999999</v>
      </c>
      <c r="F470" s="1">
        <v>43505</v>
      </c>
      <c r="G470" s="2">
        <v>0.41805555555555557</v>
      </c>
      <c r="H470" t="s">
        <v>23</v>
      </c>
      <c r="I470">
        <v>21.58</v>
      </c>
      <c r="J470">
        <v>4.7619047620000003</v>
      </c>
      <c r="K470">
        <v>1.079</v>
      </c>
      <c r="L470">
        <v>7.2</v>
      </c>
    </row>
    <row r="471" spans="1:12" x14ac:dyDescent="0.25">
      <c r="A471" t="s">
        <v>505</v>
      </c>
      <c r="B471">
        <v>98.84</v>
      </c>
      <c r="C471">
        <v>1</v>
      </c>
      <c r="D471">
        <v>4.9420000000000002</v>
      </c>
      <c r="E471">
        <v>103.782</v>
      </c>
      <c r="F471" s="1">
        <v>43511</v>
      </c>
      <c r="G471" s="2">
        <v>0.47291666666666665</v>
      </c>
      <c r="H471" t="s">
        <v>29</v>
      </c>
      <c r="I471">
        <v>98.84</v>
      </c>
      <c r="J471">
        <v>4.7619047620000003</v>
      </c>
      <c r="K471">
        <v>4.9420000000000002</v>
      </c>
      <c r="L471">
        <v>8.4</v>
      </c>
    </row>
    <row r="472" spans="1:12" x14ac:dyDescent="0.25">
      <c r="A472" t="s">
        <v>506</v>
      </c>
      <c r="B472">
        <v>83.77</v>
      </c>
      <c r="C472">
        <v>6</v>
      </c>
      <c r="D472">
        <v>25.131</v>
      </c>
      <c r="E472">
        <v>527.75099999999998</v>
      </c>
      <c r="F472" s="1">
        <v>43488</v>
      </c>
      <c r="G472" s="2">
        <v>0.50694444444444442</v>
      </c>
      <c r="H472" t="s">
        <v>23</v>
      </c>
      <c r="I472">
        <v>502.62</v>
      </c>
      <c r="J472">
        <v>4.7619047620000003</v>
      </c>
      <c r="K472">
        <v>25.131</v>
      </c>
      <c r="L472">
        <v>5.4</v>
      </c>
    </row>
    <row r="473" spans="1:12" x14ac:dyDescent="0.25">
      <c r="A473" t="s">
        <v>507</v>
      </c>
      <c r="B473">
        <v>40.049999999999997</v>
      </c>
      <c r="C473">
        <v>4</v>
      </c>
      <c r="D473">
        <v>8.01</v>
      </c>
      <c r="E473">
        <v>168.21</v>
      </c>
      <c r="F473" s="1">
        <v>43490</v>
      </c>
      <c r="G473" s="2">
        <v>0.4861111111111111</v>
      </c>
      <c r="H473" t="s">
        <v>29</v>
      </c>
      <c r="I473">
        <v>160.19999999999999</v>
      </c>
      <c r="J473">
        <v>4.7619047620000003</v>
      </c>
      <c r="K473">
        <v>8.01</v>
      </c>
      <c r="L473">
        <v>9.6999999999999993</v>
      </c>
    </row>
    <row r="474" spans="1:12" x14ac:dyDescent="0.25">
      <c r="A474" t="s">
        <v>508</v>
      </c>
      <c r="B474">
        <v>43.13</v>
      </c>
      <c r="C474">
        <v>10</v>
      </c>
      <c r="D474">
        <v>21.565000000000001</v>
      </c>
      <c r="E474">
        <v>452.86500000000001</v>
      </c>
      <c r="F474" s="1">
        <v>43498</v>
      </c>
      <c r="G474" s="2">
        <v>0.7715277777777777</v>
      </c>
      <c r="H474" t="s">
        <v>33</v>
      </c>
      <c r="I474">
        <v>431.3</v>
      </c>
      <c r="J474">
        <v>4.7619047620000003</v>
      </c>
      <c r="K474">
        <v>21.565000000000001</v>
      </c>
      <c r="L474">
        <v>5.5</v>
      </c>
    </row>
    <row r="475" spans="1:12" x14ac:dyDescent="0.25">
      <c r="A475" t="s">
        <v>509</v>
      </c>
      <c r="B475">
        <v>72.569999999999993</v>
      </c>
      <c r="C475">
        <v>8</v>
      </c>
      <c r="D475">
        <v>29.027999999999999</v>
      </c>
      <c r="E475">
        <v>609.58799999999997</v>
      </c>
      <c r="F475" s="1">
        <v>43554</v>
      </c>
      <c r="G475" s="2">
        <v>0.74861111111111101</v>
      </c>
      <c r="H475" t="s">
        <v>29</v>
      </c>
      <c r="I475">
        <v>580.55999999999995</v>
      </c>
      <c r="J475">
        <v>4.7619047620000003</v>
      </c>
      <c r="K475">
        <v>29.027999999999999</v>
      </c>
      <c r="L475">
        <v>4.5999999999999996</v>
      </c>
    </row>
    <row r="476" spans="1:12" x14ac:dyDescent="0.25">
      <c r="A476" t="s">
        <v>510</v>
      </c>
      <c r="B476">
        <v>64.44</v>
      </c>
      <c r="C476">
        <v>5</v>
      </c>
      <c r="D476">
        <v>16.11</v>
      </c>
      <c r="E476">
        <v>338.31</v>
      </c>
      <c r="F476" s="1">
        <v>43554</v>
      </c>
      <c r="G476" s="2">
        <v>0.71111111111111114</v>
      </c>
      <c r="H476" t="s">
        <v>29</v>
      </c>
      <c r="I476">
        <v>322.2</v>
      </c>
      <c r="J476">
        <v>4.7619047620000003</v>
      </c>
      <c r="K476">
        <v>16.11</v>
      </c>
      <c r="L476">
        <v>6.6</v>
      </c>
    </row>
    <row r="477" spans="1:12" x14ac:dyDescent="0.25">
      <c r="A477" t="s">
        <v>511</v>
      </c>
      <c r="B477">
        <v>65.180000000000007</v>
      </c>
      <c r="C477">
        <v>3</v>
      </c>
      <c r="D477">
        <v>9.7769999999999992</v>
      </c>
      <c r="E477">
        <v>205.31700000000001</v>
      </c>
      <c r="F477" s="1">
        <v>43521</v>
      </c>
      <c r="G477" s="2">
        <v>0.85763888888888884</v>
      </c>
      <c r="H477" t="s">
        <v>33</v>
      </c>
      <c r="I477">
        <v>195.54</v>
      </c>
      <c r="J477">
        <v>4.7619047620000003</v>
      </c>
      <c r="K477">
        <v>9.7769999999999992</v>
      </c>
      <c r="L477">
        <v>6.3</v>
      </c>
    </row>
    <row r="478" spans="1:12" x14ac:dyDescent="0.25">
      <c r="A478" t="s">
        <v>512</v>
      </c>
      <c r="B478">
        <v>33.26</v>
      </c>
      <c r="C478">
        <v>5</v>
      </c>
      <c r="D478">
        <v>8.3149999999999995</v>
      </c>
      <c r="E478">
        <v>174.61500000000001</v>
      </c>
      <c r="F478" s="1">
        <v>43542</v>
      </c>
      <c r="G478" s="2">
        <v>0.67361111111111116</v>
      </c>
      <c r="H478" t="s">
        <v>33</v>
      </c>
      <c r="I478">
        <v>166.3</v>
      </c>
      <c r="J478">
        <v>4.7619047620000003</v>
      </c>
      <c r="K478">
        <v>8.3149999999999995</v>
      </c>
      <c r="L478">
        <v>4.2</v>
      </c>
    </row>
    <row r="479" spans="1:12" x14ac:dyDescent="0.25">
      <c r="A479" t="s">
        <v>513</v>
      </c>
      <c r="B479">
        <v>84.07</v>
      </c>
      <c r="C479">
        <v>4</v>
      </c>
      <c r="D479">
        <v>16.814</v>
      </c>
      <c r="E479">
        <v>353.09399999999999</v>
      </c>
      <c r="F479" s="1">
        <v>43531</v>
      </c>
      <c r="G479" s="2">
        <v>0.70416666666666661</v>
      </c>
      <c r="H479" t="s">
        <v>23</v>
      </c>
      <c r="I479">
        <v>336.28</v>
      </c>
      <c r="J479">
        <v>4.7619047620000003</v>
      </c>
      <c r="K479">
        <v>16.814</v>
      </c>
      <c r="L479">
        <v>4.4000000000000004</v>
      </c>
    </row>
    <row r="480" spans="1:12" x14ac:dyDescent="0.25">
      <c r="A480" t="s">
        <v>514</v>
      </c>
      <c r="B480">
        <v>34.369999999999997</v>
      </c>
      <c r="C480">
        <v>10</v>
      </c>
      <c r="D480">
        <v>17.184999999999999</v>
      </c>
      <c r="E480">
        <v>360.88499999999999</v>
      </c>
      <c r="F480" s="1">
        <v>43540</v>
      </c>
      <c r="G480" s="2">
        <v>0.42430555555555555</v>
      </c>
      <c r="H480" t="s">
        <v>23</v>
      </c>
      <c r="I480">
        <v>343.7</v>
      </c>
      <c r="J480">
        <v>4.7619047620000003</v>
      </c>
      <c r="K480">
        <v>17.184999999999999</v>
      </c>
      <c r="L480">
        <v>6.7</v>
      </c>
    </row>
    <row r="481" spans="1:12" x14ac:dyDescent="0.25">
      <c r="A481" t="s">
        <v>515</v>
      </c>
      <c r="B481">
        <v>38.6</v>
      </c>
      <c r="C481">
        <v>1</v>
      </c>
      <c r="D481">
        <v>1.93</v>
      </c>
      <c r="E481">
        <v>40.53</v>
      </c>
      <c r="F481" s="1">
        <v>43494</v>
      </c>
      <c r="G481" s="2">
        <v>0.47638888888888892</v>
      </c>
      <c r="H481" t="s">
        <v>23</v>
      </c>
      <c r="I481">
        <v>38.6</v>
      </c>
      <c r="J481">
        <v>4.7619047620000003</v>
      </c>
      <c r="K481">
        <v>1.93</v>
      </c>
      <c r="L481">
        <v>6.7</v>
      </c>
    </row>
    <row r="482" spans="1:12" x14ac:dyDescent="0.25">
      <c r="A482" t="s">
        <v>516</v>
      </c>
      <c r="B482">
        <v>65.97</v>
      </c>
      <c r="C482">
        <v>8</v>
      </c>
      <c r="D482">
        <v>26.388000000000002</v>
      </c>
      <c r="E482">
        <v>554.14800000000002</v>
      </c>
      <c r="F482" s="1">
        <v>43498</v>
      </c>
      <c r="G482" s="2">
        <v>0.8534722222222223</v>
      </c>
      <c r="H482" t="s">
        <v>29</v>
      </c>
      <c r="I482">
        <v>527.76</v>
      </c>
      <c r="J482">
        <v>4.7619047620000003</v>
      </c>
      <c r="K482">
        <v>26.388000000000002</v>
      </c>
      <c r="L482">
        <v>8.4</v>
      </c>
    </row>
    <row r="483" spans="1:12" x14ac:dyDescent="0.25">
      <c r="A483" t="s">
        <v>517</v>
      </c>
      <c r="B483">
        <v>32.799999999999997</v>
      </c>
      <c r="C483">
        <v>10</v>
      </c>
      <c r="D483">
        <v>16.399999999999999</v>
      </c>
      <c r="E483">
        <v>344.4</v>
      </c>
      <c r="F483" s="1">
        <v>43511</v>
      </c>
      <c r="G483" s="2">
        <v>0.5083333333333333</v>
      </c>
      <c r="H483" t="s">
        <v>29</v>
      </c>
      <c r="I483">
        <v>328</v>
      </c>
      <c r="J483">
        <v>4.7619047620000003</v>
      </c>
      <c r="K483">
        <v>16.399999999999999</v>
      </c>
      <c r="L483">
        <v>6.2</v>
      </c>
    </row>
    <row r="484" spans="1:12" x14ac:dyDescent="0.25">
      <c r="A484" t="s">
        <v>518</v>
      </c>
      <c r="B484">
        <v>37.14</v>
      </c>
      <c r="C484">
        <v>5</v>
      </c>
      <c r="D484">
        <v>9.2850000000000001</v>
      </c>
      <c r="E484">
        <v>194.98500000000001</v>
      </c>
      <c r="F484" s="1">
        <v>43473</v>
      </c>
      <c r="G484" s="2">
        <v>0.54513888888888895</v>
      </c>
      <c r="H484" t="s">
        <v>23</v>
      </c>
      <c r="I484">
        <v>185.7</v>
      </c>
      <c r="J484">
        <v>4.7619047620000003</v>
      </c>
      <c r="K484">
        <v>9.2850000000000001</v>
      </c>
      <c r="L484">
        <v>5</v>
      </c>
    </row>
    <row r="485" spans="1:12" x14ac:dyDescent="0.25">
      <c r="A485" t="s">
        <v>519</v>
      </c>
      <c r="B485">
        <v>60.38</v>
      </c>
      <c r="C485">
        <v>10</v>
      </c>
      <c r="D485">
        <v>30.19</v>
      </c>
      <c r="E485">
        <v>633.99</v>
      </c>
      <c r="F485" s="1">
        <v>43508</v>
      </c>
      <c r="G485" s="2">
        <v>0.67986111111111114</v>
      </c>
      <c r="H485" t="s">
        <v>29</v>
      </c>
      <c r="I485">
        <v>603.79999999999995</v>
      </c>
      <c r="J485">
        <v>4.7619047620000003</v>
      </c>
      <c r="K485">
        <v>30.19</v>
      </c>
      <c r="L485">
        <v>6</v>
      </c>
    </row>
    <row r="486" spans="1:12" x14ac:dyDescent="0.25">
      <c r="A486" t="s">
        <v>520</v>
      </c>
      <c r="B486">
        <v>36.979999999999997</v>
      </c>
      <c r="C486">
        <v>10</v>
      </c>
      <c r="D486">
        <v>18.489999999999998</v>
      </c>
      <c r="E486">
        <v>388.29</v>
      </c>
      <c r="F486" s="1">
        <v>43466</v>
      </c>
      <c r="G486" s="2">
        <v>0.82500000000000007</v>
      </c>
      <c r="H486" t="s">
        <v>33</v>
      </c>
      <c r="I486">
        <v>369.8</v>
      </c>
      <c r="J486">
        <v>4.7619047620000003</v>
      </c>
      <c r="K486">
        <v>18.489999999999998</v>
      </c>
      <c r="L486">
        <v>7</v>
      </c>
    </row>
    <row r="487" spans="1:12" x14ac:dyDescent="0.25">
      <c r="A487" t="s">
        <v>521</v>
      </c>
      <c r="B487">
        <v>49.49</v>
      </c>
      <c r="C487">
        <v>4</v>
      </c>
      <c r="D487">
        <v>9.8979999999999997</v>
      </c>
      <c r="E487">
        <v>207.858</v>
      </c>
      <c r="F487" s="1">
        <v>43545</v>
      </c>
      <c r="G487" s="2">
        <v>0.64236111111111105</v>
      </c>
      <c r="H487" t="s">
        <v>23</v>
      </c>
      <c r="I487">
        <v>197.96</v>
      </c>
      <c r="J487">
        <v>4.7619047620000003</v>
      </c>
      <c r="K487">
        <v>9.8979999999999997</v>
      </c>
      <c r="L487">
        <v>6.6</v>
      </c>
    </row>
    <row r="488" spans="1:12" x14ac:dyDescent="0.25">
      <c r="A488" t="s">
        <v>522</v>
      </c>
      <c r="B488">
        <v>41.09</v>
      </c>
      <c r="C488">
        <v>10</v>
      </c>
      <c r="D488">
        <v>20.545000000000002</v>
      </c>
      <c r="E488">
        <v>431.44499999999999</v>
      </c>
      <c r="F488" s="1">
        <v>43524</v>
      </c>
      <c r="G488" s="2">
        <v>0.61249999999999993</v>
      </c>
      <c r="H488" t="s">
        <v>29</v>
      </c>
      <c r="I488">
        <v>410.9</v>
      </c>
      <c r="J488">
        <v>4.7619047620000003</v>
      </c>
      <c r="K488">
        <v>20.545000000000002</v>
      </c>
      <c r="L488">
        <v>7.3</v>
      </c>
    </row>
    <row r="489" spans="1:12" x14ac:dyDescent="0.25">
      <c r="A489" t="s">
        <v>523</v>
      </c>
      <c r="B489">
        <v>37.15</v>
      </c>
      <c r="C489">
        <v>4</v>
      </c>
      <c r="D489">
        <v>7.43</v>
      </c>
      <c r="E489">
        <v>156.03</v>
      </c>
      <c r="F489" s="1">
        <v>43547</v>
      </c>
      <c r="G489" s="2">
        <v>0.7909722222222223</v>
      </c>
      <c r="H489" t="s">
        <v>23</v>
      </c>
      <c r="I489">
        <v>148.6</v>
      </c>
      <c r="J489">
        <v>4.7619047620000003</v>
      </c>
      <c r="K489">
        <v>7.43</v>
      </c>
      <c r="L489">
        <v>8.3000000000000007</v>
      </c>
    </row>
    <row r="490" spans="1:12" x14ac:dyDescent="0.25">
      <c r="A490" t="s">
        <v>524</v>
      </c>
      <c r="B490">
        <v>22.96</v>
      </c>
      <c r="C490">
        <v>1</v>
      </c>
      <c r="D490">
        <v>1.1479999999999999</v>
      </c>
      <c r="E490">
        <v>24.108000000000001</v>
      </c>
      <c r="F490" s="1">
        <v>43495</v>
      </c>
      <c r="G490" s="2">
        <v>0.86597222222222225</v>
      </c>
      <c r="H490" t="s">
        <v>29</v>
      </c>
      <c r="I490">
        <v>22.96</v>
      </c>
      <c r="J490">
        <v>4.7619047620000003</v>
      </c>
      <c r="K490">
        <v>1.1479999999999999</v>
      </c>
      <c r="L490">
        <v>4.3</v>
      </c>
    </row>
    <row r="491" spans="1:12" x14ac:dyDescent="0.25">
      <c r="A491" t="s">
        <v>525</v>
      </c>
      <c r="B491">
        <v>77.680000000000007</v>
      </c>
      <c r="C491">
        <v>9</v>
      </c>
      <c r="D491">
        <v>34.956000000000003</v>
      </c>
      <c r="E491">
        <v>734.07600000000002</v>
      </c>
      <c r="F491" s="1">
        <v>43500</v>
      </c>
      <c r="G491" s="2">
        <v>0.55625000000000002</v>
      </c>
      <c r="H491" t="s">
        <v>23</v>
      </c>
      <c r="I491">
        <v>699.12</v>
      </c>
      <c r="J491">
        <v>4.7619047620000003</v>
      </c>
      <c r="K491">
        <v>34.956000000000003</v>
      </c>
      <c r="L491">
        <v>9.8000000000000007</v>
      </c>
    </row>
    <row r="492" spans="1:12" x14ac:dyDescent="0.25">
      <c r="A492" t="s">
        <v>526</v>
      </c>
      <c r="B492">
        <v>34.700000000000003</v>
      </c>
      <c r="C492">
        <v>2</v>
      </c>
      <c r="D492">
        <v>3.47</v>
      </c>
      <c r="E492">
        <v>72.87</v>
      </c>
      <c r="F492" s="1">
        <v>43537</v>
      </c>
      <c r="G492" s="2">
        <v>0.82500000000000007</v>
      </c>
      <c r="H492" t="s">
        <v>23</v>
      </c>
      <c r="I492">
        <v>69.400000000000006</v>
      </c>
      <c r="J492">
        <v>4.7619047620000003</v>
      </c>
      <c r="K492">
        <v>3.47</v>
      </c>
      <c r="L492">
        <v>8.1999999999999993</v>
      </c>
    </row>
    <row r="493" spans="1:12" x14ac:dyDescent="0.25">
      <c r="A493" t="s">
        <v>527</v>
      </c>
      <c r="B493">
        <v>19.66</v>
      </c>
      <c r="C493">
        <v>10</v>
      </c>
      <c r="D493">
        <v>9.83</v>
      </c>
      <c r="E493">
        <v>206.43</v>
      </c>
      <c r="F493" s="1">
        <v>43539</v>
      </c>
      <c r="G493" s="2">
        <v>0.76388888888888884</v>
      </c>
      <c r="H493" t="s">
        <v>33</v>
      </c>
      <c r="I493">
        <v>196.6</v>
      </c>
      <c r="J493">
        <v>4.7619047620000003</v>
      </c>
      <c r="K493">
        <v>9.83</v>
      </c>
      <c r="L493">
        <v>7.2</v>
      </c>
    </row>
    <row r="494" spans="1:12" x14ac:dyDescent="0.25">
      <c r="A494" t="s">
        <v>528</v>
      </c>
      <c r="B494">
        <v>25.32</v>
      </c>
      <c r="C494">
        <v>8</v>
      </c>
      <c r="D494">
        <v>10.128</v>
      </c>
      <c r="E494">
        <v>212.68799999999999</v>
      </c>
      <c r="F494" s="1">
        <v>43529</v>
      </c>
      <c r="G494" s="2">
        <v>0.85</v>
      </c>
      <c r="H494" t="s">
        <v>23</v>
      </c>
      <c r="I494">
        <v>202.56</v>
      </c>
      <c r="J494">
        <v>4.7619047620000003</v>
      </c>
      <c r="K494">
        <v>10.128</v>
      </c>
      <c r="L494">
        <v>8.6999999999999993</v>
      </c>
    </row>
    <row r="495" spans="1:12" x14ac:dyDescent="0.25">
      <c r="A495" t="s">
        <v>529</v>
      </c>
      <c r="B495">
        <v>12.12</v>
      </c>
      <c r="C495">
        <v>10</v>
      </c>
      <c r="D495">
        <v>6.06</v>
      </c>
      <c r="E495">
        <v>127.26</v>
      </c>
      <c r="F495" s="1">
        <v>43529</v>
      </c>
      <c r="G495" s="2">
        <v>0.57222222222222219</v>
      </c>
      <c r="H495" t="s">
        <v>33</v>
      </c>
      <c r="I495">
        <v>121.2</v>
      </c>
      <c r="J495">
        <v>4.7619047620000003</v>
      </c>
      <c r="K495">
        <v>6.06</v>
      </c>
      <c r="L495">
        <v>8.4</v>
      </c>
    </row>
    <row r="496" spans="1:12" x14ac:dyDescent="0.25">
      <c r="A496" t="s">
        <v>530</v>
      </c>
      <c r="B496">
        <v>99.89</v>
      </c>
      <c r="C496">
        <v>2</v>
      </c>
      <c r="D496">
        <v>9.9890000000000008</v>
      </c>
      <c r="E496">
        <v>209.76900000000001</v>
      </c>
      <c r="F496" s="1">
        <v>43522</v>
      </c>
      <c r="G496" s="2">
        <v>0.4916666666666667</v>
      </c>
      <c r="H496" t="s">
        <v>23</v>
      </c>
      <c r="I496">
        <v>199.78</v>
      </c>
      <c r="J496">
        <v>4.7619047620000003</v>
      </c>
      <c r="K496">
        <v>9.9890000000000008</v>
      </c>
      <c r="L496">
        <v>7.1</v>
      </c>
    </row>
    <row r="497" spans="1:12" x14ac:dyDescent="0.25">
      <c r="A497" t="s">
        <v>531</v>
      </c>
      <c r="B497">
        <v>75.92</v>
      </c>
      <c r="C497">
        <v>8</v>
      </c>
      <c r="D497">
        <v>30.367999999999999</v>
      </c>
      <c r="E497">
        <v>637.72799999999995</v>
      </c>
      <c r="F497" s="1">
        <v>43544</v>
      </c>
      <c r="G497" s="2">
        <v>0.59305555555555556</v>
      </c>
      <c r="H497" t="s">
        <v>29</v>
      </c>
      <c r="I497">
        <v>607.36</v>
      </c>
      <c r="J497">
        <v>4.7619047620000003</v>
      </c>
      <c r="K497">
        <v>30.367999999999999</v>
      </c>
      <c r="L497">
        <v>5.5</v>
      </c>
    </row>
    <row r="498" spans="1:12" x14ac:dyDescent="0.25">
      <c r="A498" t="s">
        <v>532</v>
      </c>
      <c r="B498">
        <v>63.22</v>
      </c>
      <c r="C498">
        <v>2</v>
      </c>
      <c r="D498">
        <v>6.3220000000000001</v>
      </c>
      <c r="E498">
        <v>132.762</v>
      </c>
      <c r="F498" s="1">
        <v>43466</v>
      </c>
      <c r="G498" s="2">
        <v>0.66041666666666665</v>
      </c>
      <c r="H498" t="s">
        <v>29</v>
      </c>
      <c r="I498">
        <v>126.44</v>
      </c>
      <c r="J498">
        <v>4.7619047620000003</v>
      </c>
      <c r="K498">
        <v>6.3220000000000001</v>
      </c>
      <c r="L498">
        <v>8.5</v>
      </c>
    </row>
    <row r="499" spans="1:12" x14ac:dyDescent="0.25">
      <c r="A499" t="s">
        <v>533</v>
      </c>
      <c r="B499">
        <v>90.24</v>
      </c>
      <c r="C499">
        <v>6</v>
      </c>
      <c r="D499">
        <v>27.071999999999999</v>
      </c>
      <c r="E499">
        <v>568.51199999999994</v>
      </c>
      <c r="F499" s="1">
        <v>43492</v>
      </c>
      <c r="G499" s="2">
        <v>0.47013888888888888</v>
      </c>
      <c r="H499" t="s">
        <v>29</v>
      </c>
      <c r="I499">
        <v>541.44000000000005</v>
      </c>
      <c r="J499">
        <v>4.7619047620000003</v>
      </c>
      <c r="K499">
        <v>27.071999999999999</v>
      </c>
      <c r="L499">
        <v>6.2</v>
      </c>
    </row>
    <row r="500" spans="1:12" x14ac:dyDescent="0.25">
      <c r="A500" t="s">
        <v>534</v>
      </c>
      <c r="B500">
        <v>98.13</v>
      </c>
      <c r="C500">
        <v>1</v>
      </c>
      <c r="D500">
        <v>4.9065000000000003</v>
      </c>
      <c r="E500">
        <v>103.0365</v>
      </c>
      <c r="F500" s="1">
        <v>43486</v>
      </c>
      <c r="G500" s="2">
        <v>0.73333333333333339</v>
      </c>
      <c r="H500" t="s">
        <v>29</v>
      </c>
      <c r="I500">
        <v>98.13</v>
      </c>
      <c r="J500">
        <v>4.7619047620000003</v>
      </c>
      <c r="K500">
        <v>4.9065000000000003</v>
      </c>
      <c r="L500">
        <v>8.9</v>
      </c>
    </row>
    <row r="501" spans="1:12" x14ac:dyDescent="0.25">
      <c r="A501" t="s">
        <v>535</v>
      </c>
      <c r="B501">
        <v>51.52</v>
      </c>
      <c r="C501">
        <v>8</v>
      </c>
      <c r="D501">
        <v>20.608000000000001</v>
      </c>
      <c r="E501">
        <v>432.76799999999997</v>
      </c>
      <c r="F501" s="1">
        <v>43498</v>
      </c>
      <c r="G501" s="2">
        <v>0.65763888888888888</v>
      </c>
      <c r="H501" t="s">
        <v>29</v>
      </c>
      <c r="I501">
        <v>412.16</v>
      </c>
      <c r="J501">
        <v>4.7619047620000003</v>
      </c>
      <c r="K501">
        <v>20.608000000000001</v>
      </c>
      <c r="L501">
        <v>9.6</v>
      </c>
    </row>
    <row r="502" spans="1:12" x14ac:dyDescent="0.25">
      <c r="A502" t="s">
        <v>536</v>
      </c>
      <c r="B502">
        <v>73.97</v>
      </c>
      <c r="C502">
        <v>1</v>
      </c>
      <c r="D502">
        <v>3.6985000000000001</v>
      </c>
      <c r="E502">
        <v>77.668499999999995</v>
      </c>
      <c r="F502" s="1">
        <v>43499</v>
      </c>
      <c r="G502" s="2">
        <v>0.66180555555555554</v>
      </c>
      <c r="H502" t="s">
        <v>33</v>
      </c>
      <c r="I502">
        <v>73.97</v>
      </c>
      <c r="J502">
        <v>4.7619047620000003</v>
      </c>
      <c r="K502">
        <v>3.6985000000000001</v>
      </c>
      <c r="L502">
        <v>5.4</v>
      </c>
    </row>
    <row r="503" spans="1:12" x14ac:dyDescent="0.25">
      <c r="A503" t="s">
        <v>537</v>
      </c>
      <c r="B503">
        <v>31.9</v>
      </c>
      <c r="C503">
        <v>1</v>
      </c>
      <c r="D503">
        <v>1.595</v>
      </c>
      <c r="E503">
        <v>33.494999999999997</v>
      </c>
      <c r="F503" s="1">
        <v>43470</v>
      </c>
      <c r="G503" s="2">
        <v>0.52777777777777779</v>
      </c>
      <c r="H503" t="s">
        <v>23</v>
      </c>
      <c r="I503">
        <v>31.9</v>
      </c>
      <c r="J503">
        <v>4.7619047620000003</v>
      </c>
      <c r="K503">
        <v>1.595</v>
      </c>
      <c r="L503">
        <v>9.1</v>
      </c>
    </row>
    <row r="504" spans="1:12" x14ac:dyDescent="0.25">
      <c r="A504" t="s">
        <v>538</v>
      </c>
      <c r="B504">
        <v>69.400000000000006</v>
      </c>
      <c r="C504">
        <v>2</v>
      </c>
      <c r="D504">
        <v>6.94</v>
      </c>
      <c r="E504">
        <v>145.74</v>
      </c>
      <c r="F504" s="1">
        <v>43492</v>
      </c>
      <c r="G504" s="2">
        <v>0.82500000000000007</v>
      </c>
      <c r="H504" t="s">
        <v>23</v>
      </c>
      <c r="I504">
        <v>138.80000000000001</v>
      </c>
      <c r="J504">
        <v>4.7619047620000003</v>
      </c>
      <c r="K504">
        <v>6.94</v>
      </c>
      <c r="L504">
        <v>9</v>
      </c>
    </row>
    <row r="505" spans="1:12" x14ac:dyDescent="0.25">
      <c r="A505" t="s">
        <v>539</v>
      </c>
      <c r="B505">
        <v>93.31</v>
      </c>
      <c r="C505">
        <v>2</v>
      </c>
      <c r="D505">
        <v>9.3309999999999995</v>
      </c>
      <c r="E505">
        <v>195.95099999999999</v>
      </c>
      <c r="F505" s="1">
        <v>43549</v>
      </c>
      <c r="G505" s="2">
        <v>0.74513888888888891</v>
      </c>
      <c r="H505" t="s">
        <v>29</v>
      </c>
      <c r="I505">
        <v>186.62</v>
      </c>
      <c r="J505">
        <v>4.7619047620000003</v>
      </c>
      <c r="K505">
        <v>9.3309999999999995</v>
      </c>
      <c r="L505">
        <v>6.3</v>
      </c>
    </row>
    <row r="506" spans="1:12" x14ac:dyDescent="0.25">
      <c r="A506" t="s">
        <v>540</v>
      </c>
      <c r="B506">
        <v>88.45</v>
      </c>
      <c r="C506">
        <v>1</v>
      </c>
      <c r="D506">
        <v>4.4225000000000003</v>
      </c>
      <c r="E506">
        <v>92.872500000000002</v>
      </c>
      <c r="F506" s="1">
        <v>43521</v>
      </c>
      <c r="G506" s="2">
        <v>0.69166666666666676</v>
      </c>
      <c r="H506" t="s">
        <v>33</v>
      </c>
      <c r="I506">
        <v>88.45</v>
      </c>
      <c r="J506">
        <v>4.7619047620000003</v>
      </c>
      <c r="K506">
        <v>4.4225000000000003</v>
      </c>
      <c r="L506">
        <v>9.5</v>
      </c>
    </row>
    <row r="507" spans="1:12" x14ac:dyDescent="0.25">
      <c r="A507" t="s">
        <v>541</v>
      </c>
      <c r="B507">
        <v>24.18</v>
      </c>
      <c r="C507">
        <v>8</v>
      </c>
      <c r="D507">
        <v>9.6720000000000006</v>
      </c>
      <c r="E507">
        <v>203.11199999999999</v>
      </c>
      <c r="F507" s="1">
        <v>43493</v>
      </c>
      <c r="G507" s="2">
        <v>0.87083333333333324</v>
      </c>
      <c r="H507" t="s">
        <v>23</v>
      </c>
      <c r="I507">
        <v>193.44</v>
      </c>
      <c r="J507">
        <v>4.7619047620000003</v>
      </c>
      <c r="K507">
        <v>9.6720000000000006</v>
      </c>
      <c r="L507">
        <v>9.8000000000000007</v>
      </c>
    </row>
    <row r="508" spans="1:12" x14ac:dyDescent="0.25">
      <c r="A508" t="s">
        <v>542</v>
      </c>
      <c r="B508">
        <v>48.5</v>
      </c>
      <c r="C508">
        <v>3</v>
      </c>
      <c r="D508">
        <v>7.2750000000000004</v>
      </c>
      <c r="E508">
        <v>152.77500000000001</v>
      </c>
      <c r="F508" s="1">
        <v>43473</v>
      </c>
      <c r="G508" s="2">
        <v>0.53472222222222221</v>
      </c>
      <c r="H508" t="s">
        <v>29</v>
      </c>
      <c r="I508">
        <v>145.5</v>
      </c>
      <c r="J508">
        <v>4.7619047620000003</v>
      </c>
      <c r="K508">
        <v>7.2750000000000004</v>
      </c>
      <c r="L508">
        <v>6.7</v>
      </c>
    </row>
    <row r="509" spans="1:12" x14ac:dyDescent="0.25">
      <c r="A509" t="s">
        <v>543</v>
      </c>
      <c r="B509">
        <v>84.05</v>
      </c>
      <c r="C509">
        <v>6</v>
      </c>
      <c r="D509">
        <v>25.215</v>
      </c>
      <c r="E509">
        <v>529.51499999999999</v>
      </c>
      <c r="F509" s="1">
        <v>43494</v>
      </c>
      <c r="G509" s="2">
        <v>0.45</v>
      </c>
      <c r="H509" t="s">
        <v>33</v>
      </c>
      <c r="I509">
        <v>504.3</v>
      </c>
      <c r="J509">
        <v>4.7619047620000003</v>
      </c>
      <c r="K509">
        <v>25.215</v>
      </c>
      <c r="L509">
        <v>7.7</v>
      </c>
    </row>
    <row r="510" spans="1:12" x14ac:dyDescent="0.25">
      <c r="A510" t="s">
        <v>544</v>
      </c>
      <c r="B510">
        <v>61.29</v>
      </c>
      <c r="C510">
        <v>5</v>
      </c>
      <c r="D510">
        <v>15.3225</v>
      </c>
      <c r="E510">
        <v>321.77249999999998</v>
      </c>
      <c r="F510" s="1">
        <v>43553</v>
      </c>
      <c r="G510" s="2">
        <v>0.60277777777777775</v>
      </c>
      <c r="H510" t="s">
        <v>29</v>
      </c>
      <c r="I510">
        <v>306.45</v>
      </c>
      <c r="J510">
        <v>4.7619047620000003</v>
      </c>
      <c r="K510">
        <v>15.3225</v>
      </c>
      <c r="L510">
        <v>7</v>
      </c>
    </row>
    <row r="511" spans="1:12" x14ac:dyDescent="0.25">
      <c r="A511" t="s">
        <v>545</v>
      </c>
      <c r="B511">
        <v>15.95</v>
      </c>
      <c r="C511">
        <v>6</v>
      </c>
      <c r="D511">
        <v>4.7850000000000001</v>
      </c>
      <c r="E511">
        <v>100.485</v>
      </c>
      <c r="F511" s="1">
        <v>43505</v>
      </c>
      <c r="G511" s="2">
        <v>0.71875</v>
      </c>
      <c r="H511" t="s">
        <v>33</v>
      </c>
      <c r="I511">
        <v>95.7</v>
      </c>
      <c r="J511">
        <v>4.7619047620000003</v>
      </c>
      <c r="K511">
        <v>4.7850000000000001</v>
      </c>
      <c r="L511">
        <v>5.0999999999999996</v>
      </c>
    </row>
    <row r="512" spans="1:12" x14ac:dyDescent="0.25">
      <c r="A512" t="s">
        <v>546</v>
      </c>
      <c r="B512">
        <v>90.74</v>
      </c>
      <c r="C512">
        <v>7</v>
      </c>
      <c r="D512">
        <v>31.759</v>
      </c>
      <c r="E512">
        <v>666.93899999999996</v>
      </c>
      <c r="F512" s="1">
        <v>43481</v>
      </c>
      <c r="G512" s="2">
        <v>0.75208333333333333</v>
      </c>
      <c r="H512" t="s">
        <v>33</v>
      </c>
      <c r="I512">
        <v>635.17999999999995</v>
      </c>
      <c r="J512">
        <v>4.7619047620000003</v>
      </c>
      <c r="K512">
        <v>31.759</v>
      </c>
      <c r="L512">
        <v>6.2</v>
      </c>
    </row>
    <row r="513" spans="1:12" x14ac:dyDescent="0.25">
      <c r="A513" t="s">
        <v>547</v>
      </c>
      <c r="B513">
        <v>42.91</v>
      </c>
      <c r="C513">
        <v>5</v>
      </c>
      <c r="D513">
        <v>10.727499999999999</v>
      </c>
      <c r="E513">
        <v>225.2775</v>
      </c>
      <c r="F513" s="1">
        <v>43470</v>
      </c>
      <c r="G513" s="2">
        <v>0.7284722222222223</v>
      </c>
      <c r="H513" t="s">
        <v>23</v>
      </c>
      <c r="I513">
        <v>214.55</v>
      </c>
      <c r="J513">
        <v>4.7619047620000003</v>
      </c>
      <c r="K513">
        <v>10.727499999999999</v>
      </c>
      <c r="L513">
        <v>6.1</v>
      </c>
    </row>
    <row r="514" spans="1:12" x14ac:dyDescent="0.25">
      <c r="A514" t="s">
        <v>548</v>
      </c>
      <c r="B514">
        <v>54.28</v>
      </c>
      <c r="C514">
        <v>7</v>
      </c>
      <c r="D514">
        <v>18.998000000000001</v>
      </c>
      <c r="E514">
        <v>398.95800000000003</v>
      </c>
      <c r="F514" s="1">
        <v>43492</v>
      </c>
      <c r="G514" s="2">
        <v>0.75347222222222221</v>
      </c>
      <c r="H514" t="s">
        <v>23</v>
      </c>
      <c r="I514">
        <v>379.96</v>
      </c>
      <c r="J514">
        <v>4.7619047620000003</v>
      </c>
      <c r="K514">
        <v>18.998000000000001</v>
      </c>
      <c r="L514">
        <v>9.3000000000000007</v>
      </c>
    </row>
    <row r="515" spans="1:12" x14ac:dyDescent="0.25">
      <c r="A515" t="s">
        <v>549</v>
      </c>
      <c r="B515">
        <v>99.55</v>
      </c>
      <c r="C515">
        <v>7</v>
      </c>
      <c r="D515">
        <v>34.842500000000001</v>
      </c>
      <c r="E515">
        <v>731.6925</v>
      </c>
      <c r="F515" s="1">
        <v>43538</v>
      </c>
      <c r="G515" s="2">
        <v>0.50486111111111109</v>
      </c>
      <c r="H515" t="s">
        <v>29</v>
      </c>
      <c r="I515">
        <v>696.85</v>
      </c>
      <c r="J515">
        <v>4.7619047620000003</v>
      </c>
      <c r="K515">
        <v>34.842500000000001</v>
      </c>
      <c r="L515">
        <v>7.6</v>
      </c>
    </row>
    <row r="516" spans="1:12" x14ac:dyDescent="0.25">
      <c r="A516" t="s">
        <v>550</v>
      </c>
      <c r="B516">
        <v>58.39</v>
      </c>
      <c r="C516">
        <v>7</v>
      </c>
      <c r="D516">
        <v>20.436499999999999</v>
      </c>
      <c r="E516">
        <v>429.16649999999998</v>
      </c>
      <c r="F516" s="1">
        <v>43519</v>
      </c>
      <c r="G516" s="2">
        <v>0.8256944444444444</v>
      </c>
      <c r="H516" t="s">
        <v>33</v>
      </c>
      <c r="I516">
        <v>408.73</v>
      </c>
      <c r="J516">
        <v>4.7619047620000003</v>
      </c>
      <c r="K516">
        <v>20.436499999999999</v>
      </c>
      <c r="L516">
        <v>8.1999999999999993</v>
      </c>
    </row>
    <row r="517" spans="1:12" x14ac:dyDescent="0.25">
      <c r="A517" t="s">
        <v>551</v>
      </c>
      <c r="B517">
        <v>51.47</v>
      </c>
      <c r="C517">
        <v>1</v>
      </c>
      <c r="D517">
        <v>2.5735000000000001</v>
      </c>
      <c r="E517">
        <v>54.043500000000002</v>
      </c>
      <c r="F517" s="1">
        <v>43542</v>
      </c>
      <c r="G517" s="2">
        <v>0.66111111111111109</v>
      </c>
      <c r="H517" t="s">
        <v>23</v>
      </c>
      <c r="I517">
        <v>51.47</v>
      </c>
      <c r="J517">
        <v>4.7619047620000003</v>
      </c>
      <c r="K517">
        <v>2.5735000000000001</v>
      </c>
      <c r="L517">
        <v>8.5</v>
      </c>
    </row>
    <row r="518" spans="1:12" x14ac:dyDescent="0.25">
      <c r="A518" t="s">
        <v>552</v>
      </c>
      <c r="B518">
        <v>54.86</v>
      </c>
      <c r="C518">
        <v>5</v>
      </c>
      <c r="D518">
        <v>13.715</v>
      </c>
      <c r="E518">
        <v>288.01499999999999</v>
      </c>
      <c r="F518" s="1">
        <v>43553</v>
      </c>
      <c r="G518" s="2">
        <v>0.70000000000000007</v>
      </c>
      <c r="H518" t="s">
        <v>23</v>
      </c>
      <c r="I518">
        <v>274.3</v>
      </c>
      <c r="J518">
        <v>4.7619047620000003</v>
      </c>
      <c r="K518">
        <v>13.715</v>
      </c>
      <c r="L518">
        <v>9.8000000000000007</v>
      </c>
    </row>
    <row r="519" spans="1:12" x14ac:dyDescent="0.25">
      <c r="A519" t="s">
        <v>553</v>
      </c>
      <c r="B519">
        <v>39.39</v>
      </c>
      <c r="C519">
        <v>5</v>
      </c>
      <c r="D519">
        <v>9.8475000000000001</v>
      </c>
      <c r="E519">
        <v>206.79750000000001</v>
      </c>
      <c r="F519" s="1">
        <v>43487</v>
      </c>
      <c r="G519" s="2">
        <v>0.8652777777777777</v>
      </c>
      <c r="H519" t="s">
        <v>33</v>
      </c>
      <c r="I519">
        <v>196.95</v>
      </c>
      <c r="J519">
        <v>4.7619047620000003</v>
      </c>
      <c r="K519">
        <v>9.8475000000000001</v>
      </c>
      <c r="L519">
        <v>8.6999999999999993</v>
      </c>
    </row>
    <row r="520" spans="1:12" x14ac:dyDescent="0.25">
      <c r="A520" t="s">
        <v>554</v>
      </c>
      <c r="B520">
        <v>34.729999999999997</v>
      </c>
      <c r="C520">
        <v>2</v>
      </c>
      <c r="D520">
        <v>3.4729999999999999</v>
      </c>
      <c r="E520">
        <v>72.933000000000007</v>
      </c>
      <c r="F520" s="1">
        <v>43525</v>
      </c>
      <c r="G520" s="2">
        <v>0.7597222222222223</v>
      </c>
      <c r="H520" t="s">
        <v>23</v>
      </c>
      <c r="I520">
        <v>69.459999999999994</v>
      </c>
      <c r="J520">
        <v>4.7619047620000003</v>
      </c>
      <c r="K520">
        <v>3.4729999999999999</v>
      </c>
      <c r="L520">
        <v>9.6999999999999993</v>
      </c>
    </row>
    <row r="521" spans="1:12" x14ac:dyDescent="0.25">
      <c r="A521" t="s">
        <v>555</v>
      </c>
      <c r="B521">
        <v>71.92</v>
      </c>
      <c r="C521">
        <v>5</v>
      </c>
      <c r="D521">
        <v>17.98</v>
      </c>
      <c r="E521">
        <v>377.58</v>
      </c>
      <c r="F521" s="1">
        <v>43482</v>
      </c>
      <c r="G521" s="2">
        <v>0.62847222222222221</v>
      </c>
      <c r="H521" t="s">
        <v>33</v>
      </c>
      <c r="I521">
        <v>359.6</v>
      </c>
      <c r="J521">
        <v>4.7619047620000003</v>
      </c>
      <c r="K521">
        <v>17.98</v>
      </c>
      <c r="L521">
        <v>4.3</v>
      </c>
    </row>
    <row r="522" spans="1:12" x14ac:dyDescent="0.25">
      <c r="A522" t="s">
        <v>556</v>
      </c>
      <c r="B522">
        <v>45.71</v>
      </c>
      <c r="C522">
        <v>3</v>
      </c>
      <c r="D522">
        <v>6.8564999999999996</v>
      </c>
      <c r="E522">
        <v>143.98650000000001</v>
      </c>
      <c r="F522" s="1">
        <v>43550</v>
      </c>
      <c r="G522" s="2">
        <v>0.44027777777777777</v>
      </c>
      <c r="H522" t="s">
        <v>33</v>
      </c>
      <c r="I522">
        <v>137.13</v>
      </c>
      <c r="J522">
        <v>4.7619047620000003</v>
      </c>
      <c r="K522">
        <v>6.8564999999999996</v>
      </c>
      <c r="L522">
        <v>7.7</v>
      </c>
    </row>
    <row r="523" spans="1:12" x14ac:dyDescent="0.25">
      <c r="A523" t="s">
        <v>557</v>
      </c>
      <c r="B523">
        <v>83.17</v>
      </c>
      <c r="C523">
        <v>6</v>
      </c>
      <c r="D523">
        <v>24.951000000000001</v>
      </c>
      <c r="E523">
        <v>523.971</v>
      </c>
      <c r="F523" s="1">
        <v>43544</v>
      </c>
      <c r="G523" s="2">
        <v>0.47430555555555554</v>
      </c>
      <c r="H523" t="s">
        <v>29</v>
      </c>
      <c r="I523">
        <v>499.02</v>
      </c>
      <c r="J523">
        <v>4.7619047620000003</v>
      </c>
      <c r="K523">
        <v>24.951000000000001</v>
      </c>
      <c r="L523">
        <v>7.3</v>
      </c>
    </row>
    <row r="524" spans="1:12" x14ac:dyDescent="0.25">
      <c r="A524" t="s">
        <v>558</v>
      </c>
      <c r="B524">
        <v>37.44</v>
      </c>
      <c r="C524">
        <v>6</v>
      </c>
      <c r="D524">
        <v>11.231999999999999</v>
      </c>
      <c r="E524">
        <v>235.87200000000001</v>
      </c>
      <c r="F524" s="1">
        <v>43502</v>
      </c>
      <c r="G524" s="2">
        <v>0.57986111111111105</v>
      </c>
      <c r="H524" t="s">
        <v>33</v>
      </c>
      <c r="I524">
        <v>224.64</v>
      </c>
      <c r="J524">
        <v>4.7619047620000003</v>
      </c>
      <c r="K524">
        <v>11.231999999999999</v>
      </c>
      <c r="L524">
        <v>5.9</v>
      </c>
    </row>
    <row r="525" spans="1:12" x14ac:dyDescent="0.25">
      <c r="A525" t="s">
        <v>559</v>
      </c>
      <c r="B525">
        <v>62.87</v>
      </c>
      <c r="C525">
        <v>2</v>
      </c>
      <c r="D525">
        <v>6.2869999999999999</v>
      </c>
      <c r="E525">
        <v>132.02699999999999</v>
      </c>
      <c r="F525" s="1">
        <v>43466</v>
      </c>
      <c r="G525" s="2">
        <v>0.48819444444444443</v>
      </c>
      <c r="H525" t="s">
        <v>29</v>
      </c>
      <c r="I525">
        <v>125.74</v>
      </c>
      <c r="J525">
        <v>4.7619047620000003</v>
      </c>
      <c r="K525">
        <v>6.2869999999999999</v>
      </c>
      <c r="L525">
        <v>5</v>
      </c>
    </row>
    <row r="526" spans="1:12" x14ac:dyDescent="0.25">
      <c r="A526" t="s">
        <v>560</v>
      </c>
      <c r="B526">
        <v>81.709999999999994</v>
      </c>
      <c r="C526">
        <v>6</v>
      </c>
      <c r="D526">
        <v>24.513000000000002</v>
      </c>
      <c r="E526">
        <v>514.77300000000002</v>
      </c>
      <c r="F526" s="1">
        <v>43492</v>
      </c>
      <c r="G526" s="2">
        <v>0.60833333333333328</v>
      </c>
      <c r="H526" t="s">
        <v>33</v>
      </c>
      <c r="I526">
        <v>490.26</v>
      </c>
      <c r="J526">
        <v>4.7619047620000003</v>
      </c>
      <c r="K526">
        <v>24.513000000000002</v>
      </c>
      <c r="L526">
        <v>8</v>
      </c>
    </row>
    <row r="527" spans="1:12" x14ac:dyDescent="0.25">
      <c r="A527" t="s">
        <v>561</v>
      </c>
      <c r="B527">
        <v>91.41</v>
      </c>
      <c r="C527">
        <v>5</v>
      </c>
      <c r="D527">
        <v>22.852499999999999</v>
      </c>
      <c r="E527">
        <v>479.90249999999997</v>
      </c>
      <c r="F527" s="1">
        <v>43521</v>
      </c>
      <c r="G527" s="2">
        <v>0.66875000000000007</v>
      </c>
      <c r="H527" t="s">
        <v>23</v>
      </c>
      <c r="I527">
        <v>457.05</v>
      </c>
      <c r="J527">
        <v>4.7619047620000003</v>
      </c>
      <c r="K527">
        <v>22.852499999999999</v>
      </c>
      <c r="L527">
        <v>7.1</v>
      </c>
    </row>
    <row r="528" spans="1:12" x14ac:dyDescent="0.25">
      <c r="A528" t="s">
        <v>562</v>
      </c>
      <c r="B528">
        <v>39.21</v>
      </c>
      <c r="C528">
        <v>4</v>
      </c>
      <c r="D528">
        <v>7.8419999999999996</v>
      </c>
      <c r="E528">
        <v>164.68199999999999</v>
      </c>
      <c r="F528" s="1">
        <v>43481</v>
      </c>
      <c r="G528" s="2">
        <v>0.8354166666666667</v>
      </c>
      <c r="H528" t="s">
        <v>33</v>
      </c>
      <c r="I528">
        <v>156.84</v>
      </c>
      <c r="J528">
        <v>4.7619047620000003</v>
      </c>
      <c r="K528">
        <v>7.8419999999999996</v>
      </c>
      <c r="L528">
        <v>9</v>
      </c>
    </row>
    <row r="529" spans="1:12" x14ac:dyDescent="0.25">
      <c r="A529" t="s">
        <v>563</v>
      </c>
      <c r="B529">
        <v>59.86</v>
      </c>
      <c r="C529">
        <v>2</v>
      </c>
      <c r="D529">
        <v>5.9859999999999998</v>
      </c>
      <c r="E529">
        <v>125.706</v>
      </c>
      <c r="F529" s="1">
        <v>43478</v>
      </c>
      <c r="G529" s="2">
        <v>0.62152777777777779</v>
      </c>
      <c r="H529" t="s">
        <v>23</v>
      </c>
      <c r="I529">
        <v>119.72</v>
      </c>
      <c r="J529">
        <v>4.7619047620000003</v>
      </c>
      <c r="K529">
        <v>5.9859999999999998</v>
      </c>
      <c r="L529">
        <v>6.7</v>
      </c>
    </row>
    <row r="530" spans="1:12" x14ac:dyDescent="0.25">
      <c r="A530" t="s">
        <v>564</v>
      </c>
      <c r="B530">
        <v>54.36</v>
      </c>
      <c r="C530">
        <v>10</v>
      </c>
      <c r="D530">
        <v>27.18</v>
      </c>
      <c r="E530">
        <v>570.78</v>
      </c>
      <c r="F530" s="1">
        <v>43503</v>
      </c>
      <c r="G530" s="2">
        <v>0.4777777777777778</v>
      </c>
      <c r="H530" t="s">
        <v>33</v>
      </c>
      <c r="I530">
        <v>543.6</v>
      </c>
      <c r="J530">
        <v>4.7619047620000003</v>
      </c>
      <c r="K530">
        <v>27.18</v>
      </c>
      <c r="L530">
        <v>6.1</v>
      </c>
    </row>
    <row r="531" spans="1:12" x14ac:dyDescent="0.25">
      <c r="A531" t="s">
        <v>565</v>
      </c>
      <c r="B531">
        <v>98.09</v>
      </c>
      <c r="C531">
        <v>9</v>
      </c>
      <c r="D531">
        <v>44.140500000000003</v>
      </c>
      <c r="E531">
        <v>926.95050000000003</v>
      </c>
      <c r="F531" s="1">
        <v>43513</v>
      </c>
      <c r="G531" s="2">
        <v>0.82013888888888886</v>
      </c>
      <c r="H531" t="s">
        <v>29</v>
      </c>
      <c r="I531">
        <v>882.81</v>
      </c>
      <c r="J531">
        <v>4.7619047620000003</v>
      </c>
      <c r="K531">
        <v>44.140500000000003</v>
      </c>
      <c r="L531">
        <v>9.3000000000000007</v>
      </c>
    </row>
    <row r="532" spans="1:12" x14ac:dyDescent="0.25">
      <c r="A532" t="s">
        <v>566</v>
      </c>
      <c r="B532">
        <v>25.43</v>
      </c>
      <c r="C532">
        <v>6</v>
      </c>
      <c r="D532">
        <v>7.6289999999999996</v>
      </c>
      <c r="E532">
        <v>160.209</v>
      </c>
      <c r="F532" s="1">
        <v>43508</v>
      </c>
      <c r="G532" s="2">
        <v>0.79236111111111107</v>
      </c>
      <c r="H532" t="s">
        <v>23</v>
      </c>
      <c r="I532">
        <v>152.58000000000001</v>
      </c>
      <c r="J532">
        <v>4.7619047620000003</v>
      </c>
      <c r="K532">
        <v>7.6289999999999996</v>
      </c>
      <c r="L532">
        <v>7</v>
      </c>
    </row>
    <row r="533" spans="1:12" x14ac:dyDescent="0.25">
      <c r="A533" t="s">
        <v>567</v>
      </c>
      <c r="B533">
        <v>86.68</v>
      </c>
      <c r="C533">
        <v>8</v>
      </c>
      <c r="D533">
        <v>34.671999999999997</v>
      </c>
      <c r="E533">
        <v>728.11199999999997</v>
      </c>
      <c r="F533" s="1">
        <v>43489</v>
      </c>
      <c r="G533" s="2">
        <v>0.75277777777777777</v>
      </c>
      <c r="H533" t="s">
        <v>33</v>
      </c>
      <c r="I533">
        <v>693.44</v>
      </c>
      <c r="J533">
        <v>4.7619047620000003</v>
      </c>
      <c r="K533">
        <v>34.671999999999997</v>
      </c>
      <c r="L533">
        <v>7.2</v>
      </c>
    </row>
    <row r="534" spans="1:12" x14ac:dyDescent="0.25">
      <c r="A534" t="s">
        <v>568</v>
      </c>
      <c r="B534">
        <v>22.95</v>
      </c>
      <c r="C534">
        <v>10</v>
      </c>
      <c r="D534">
        <v>11.475</v>
      </c>
      <c r="E534">
        <v>240.97499999999999</v>
      </c>
      <c r="F534" s="1">
        <v>43502</v>
      </c>
      <c r="G534" s="2">
        <v>0.80555555555555547</v>
      </c>
      <c r="H534" t="s">
        <v>23</v>
      </c>
      <c r="I534">
        <v>229.5</v>
      </c>
      <c r="J534">
        <v>4.7619047620000003</v>
      </c>
      <c r="K534">
        <v>11.475</v>
      </c>
      <c r="L534">
        <v>8.1999999999999993</v>
      </c>
    </row>
    <row r="535" spans="1:12" x14ac:dyDescent="0.25">
      <c r="A535" t="s">
        <v>569</v>
      </c>
      <c r="B535">
        <v>16.309999999999999</v>
      </c>
      <c r="C535">
        <v>9</v>
      </c>
      <c r="D535">
        <v>7.3395000000000001</v>
      </c>
      <c r="E535">
        <v>154.12950000000001</v>
      </c>
      <c r="F535" s="1">
        <v>43550</v>
      </c>
      <c r="G535" s="2">
        <v>0.4381944444444445</v>
      </c>
      <c r="H535" t="s">
        <v>23</v>
      </c>
      <c r="I535">
        <v>146.79</v>
      </c>
      <c r="J535">
        <v>4.7619047620000003</v>
      </c>
      <c r="K535">
        <v>7.3395000000000001</v>
      </c>
      <c r="L535">
        <v>8.4</v>
      </c>
    </row>
    <row r="536" spans="1:12" x14ac:dyDescent="0.25">
      <c r="A536" t="s">
        <v>570</v>
      </c>
      <c r="B536">
        <v>28.32</v>
      </c>
      <c r="C536">
        <v>5</v>
      </c>
      <c r="D536">
        <v>7.08</v>
      </c>
      <c r="E536">
        <v>148.68</v>
      </c>
      <c r="F536" s="1">
        <v>43535</v>
      </c>
      <c r="G536" s="2">
        <v>0.56111111111111112</v>
      </c>
      <c r="H536" t="s">
        <v>23</v>
      </c>
      <c r="I536">
        <v>141.6</v>
      </c>
      <c r="J536">
        <v>4.7619047620000003</v>
      </c>
      <c r="K536">
        <v>7.08</v>
      </c>
      <c r="L536">
        <v>6.2</v>
      </c>
    </row>
    <row r="537" spans="1:12" x14ac:dyDescent="0.25">
      <c r="A537" t="s">
        <v>571</v>
      </c>
      <c r="B537">
        <v>16.670000000000002</v>
      </c>
      <c r="C537">
        <v>7</v>
      </c>
      <c r="D537">
        <v>5.8345000000000002</v>
      </c>
      <c r="E537">
        <v>122.5245</v>
      </c>
      <c r="F537" s="1">
        <v>43503</v>
      </c>
      <c r="G537" s="2">
        <v>0.48333333333333334</v>
      </c>
      <c r="H537" t="s">
        <v>23</v>
      </c>
      <c r="I537">
        <v>116.69</v>
      </c>
      <c r="J537">
        <v>4.7619047620000003</v>
      </c>
      <c r="K537">
        <v>5.8345000000000002</v>
      </c>
      <c r="L537">
        <v>7.4</v>
      </c>
    </row>
    <row r="538" spans="1:12" x14ac:dyDescent="0.25">
      <c r="A538" t="s">
        <v>572</v>
      </c>
      <c r="B538">
        <v>73.959999999999994</v>
      </c>
      <c r="C538">
        <v>1</v>
      </c>
      <c r="D538">
        <v>3.698</v>
      </c>
      <c r="E538">
        <v>77.658000000000001</v>
      </c>
      <c r="F538" s="1">
        <v>43470</v>
      </c>
      <c r="G538" s="2">
        <v>0.48055555555555557</v>
      </c>
      <c r="H538" t="s">
        <v>33</v>
      </c>
      <c r="I538">
        <v>73.959999999999994</v>
      </c>
      <c r="J538">
        <v>4.7619047620000003</v>
      </c>
      <c r="K538">
        <v>3.698</v>
      </c>
      <c r="L538">
        <v>5</v>
      </c>
    </row>
    <row r="539" spans="1:12" x14ac:dyDescent="0.25">
      <c r="A539" t="s">
        <v>573</v>
      </c>
      <c r="B539">
        <v>97.94</v>
      </c>
      <c r="C539">
        <v>1</v>
      </c>
      <c r="D539">
        <v>4.8970000000000002</v>
      </c>
      <c r="E539">
        <v>102.837</v>
      </c>
      <c r="F539" s="1">
        <v>43531</v>
      </c>
      <c r="G539" s="2">
        <v>0.48888888888888887</v>
      </c>
      <c r="H539" t="s">
        <v>23</v>
      </c>
      <c r="I539">
        <v>97.94</v>
      </c>
      <c r="J539">
        <v>4.7619047620000003</v>
      </c>
      <c r="K539">
        <v>4.8970000000000002</v>
      </c>
      <c r="L539">
        <v>6.9</v>
      </c>
    </row>
    <row r="540" spans="1:12" x14ac:dyDescent="0.25">
      <c r="A540" t="s">
        <v>574</v>
      </c>
      <c r="B540">
        <v>73.05</v>
      </c>
      <c r="C540">
        <v>4</v>
      </c>
      <c r="D540">
        <v>14.61</v>
      </c>
      <c r="E540">
        <v>306.81</v>
      </c>
      <c r="F540" s="1">
        <v>43521</v>
      </c>
      <c r="G540" s="2">
        <v>0.71944444444444444</v>
      </c>
      <c r="H540" t="s">
        <v>33</v>
      </c>
      <c r="I540">
        <v>292.2</v>
      </c>
      <c r="J540">
        <v>4.7619047620000003</v>
      </c>
      <c r="K540">
        <v>14.61</v>
      </c>
      <c r="L540">
        <v>4.9000000000000004</v>
      </c>
    </row>
    <row r="541" spans="1:12" x14ac:dyDescent="0.25">
      <c r="A541" t="s">
        <v>575</v>
      </c>
      <c r="B541">
        <v>87.48</v>
      </c>
      <c r="C541">
        <v>6</v>
      </c>
      <c r="D541">
        <v>26.244</v>
      </c>
      <c r="E541">
        <v>551.12400000000002</v>
      </c>
      <c r="F541" s="1">
        <v>43497</v>
      </c>
      <c r="G541" s="2">
        <v>0.77986111111111101</v>
      </c>
      <c r="H541" t="s">
        <v>23</v>
      </c>
      <c r="I541">
        <v>524.88</v>
      </c>
      <c r="J541">
        <v>4.7619047620000003</v>
      </c>
      <c r="K541">
        <v>26.244</v>
      </c>
      <c r="L541">
        <v>5.0999999999999996</v>
      </c>
    </row>
    <row r="542" spans="1:12" x14ac:dyDescent="0.25">
      <c r="A542" t="s">
        <v>576</v>
      </c>
      <c r="B542">
        <v>30.68</v>
      </c>
      <c r="C542">
        <v>3</v>
      </c>
      <c r="D542">
        <v>4.6020000000000003</v>
      </c>
      <c r="E542">
        <v>96.641999999999996</v>
      </c>
      <c r="F542" s="1">
        <v>43487</v>
      </c>
      <c r="G542" s="2">
        <v>0.45833333333333331</v>
      </c>
      <c r="H542" t="s">
        <v>23</v>
      </c>
      <c r="I542">
        <v>92.04</v>
      </c>
      <c r="J542">
        <v>4.7619047620000003</v>
      </c>
      <c r="K542">
        <v>4.6020000000000003</v>
      </c>
      <c r="L542">
        <v>9.1</v>
      </c>
    </row>
    <row r="543" spans="1:12" x14ac:dyDescent="0.25">
      <c r="A543" t="s">
        <v>577</v>
      </c>
      <c r="B543">
        <v>75.88</v>
      </c>
      <c r="C543">
        <v>1</v>
      </c>
      <c r="D543">
        <v>3.794</v>
      </c>
      <c r="E543">
        <v>79.674000000000007</v>
      </c>
      <c r="F543" s="1">
        <v>43468</v>
      </c>
      <c r="G543" s="2">
        <v>0.4375</v>
      </c>
      <c r="H543" t="s">
        <v>33</v>
      </c>
      <c r="I543">
        <v>75.88</v>
      </c>
      <c r="J543">
        <v>4.7619047620000003</v>
      </c>
      <c r="K543">
        <v>3.794</v>
      </c>
      <c r="L543">
        <v>7.1</v>
      </c>
    </row>
    <row r="544" spans="1:12" x14ac:dyDescent="0.25">
      <c r="A544" t="s">
        <v>578</v>
      </c>
      <c r="B544">
        <v>20.18</v>
      </c>
      <c r="C544">
        <v>4</v>
      </c>
      <c r="D544">
        <v>4.0359999999999996</v>
      </c>
      <c r="E544">
        <v>84.756</v>
      </c>
      <c r="F544" s="1">
        <v>43509</v>
      </c>
      <c r="G544" s="2">
        <v>0.50972222222222219</v>
      </c>
      <c r="H544" t="s">
        <v>33</v>
      </c>
      <c r="I544">
        <v>80.72</v>
      </c>
      <c r="J544">
        <v>4.7619047620000003</v>
      </c>
      <c r="K544">
        <v>4.0359999999999996</v>
      </c>
      <c r="L544">
        <v>5</v>
      </c>
    </row>
    <row r="545" spans="1:12" x14ac:dyDescent="0.25">
      <c r="A545" t="s">
        <v>579</v>
      </c>
      <c r="B545">
        <v>18.77</v>
      </c>
      <c r="C545">
        <v>6</v>
      </c>
      <c r="D545">
        <v>5.6310000000000002</v>
      </c>
      <c r="E545">
        <v>118.251</v>
      </c>
      <c r="F545" s="1">
        <v>43493</v>
      </c>
      <c r="G545" s="2">
        <v>0.69652777777777775</v>
      </c>
      <c r="H545" t="s">
        <v>33</v>
      </c>
      <c r="I545">
        <v>112.62</v>
      </c>
      <c r="J545">
        <v>4.7619047620000003</v>
      </c>
      <c r="K545">
        <v>5.6310000000000002</v>
      </c>
      <c r="L545">
        <v>5.5</v>
      </c>
    </row>
    <row r="546" spans="1:12" x14ac:dyDescent="0.25">
      <c r="A546" t="s">
        <v>580</v>
      </c>
      <c r="B546">
        <v>71.2</v>
      </c>
      <c r="C546">
        <v>1</v>
      </c>
      <c r="D546">
        <v>3.56</v>
      </c>
      <c r="E546">
        <v>74.760000000000005</v>
      </c>
      <c r="F546" s="1">
        <v>43470</v>
      </c>
      <c r="G546" s="2">
        <v>0.86111111111111116</v>
      </c>
      <c r="H546" t="s">
        <v>33</v>
      </c>
      <c r="I546">
        <v>71.2</v>
      </c>
      <c r="J546">
        <v>4.7619047620000003</v>
      </c>
      <c r="K546">
        <v>3.56</v>
      </c>
      <c r="L546">
        <v>9.1999999999999993</v>
      </c>
    </row>
    <row r="547" spans="1:12" x14ac:dyDescent="0.25">
      <c r="A547" t="s">
        <v>581</v>
      </c>
      <c r="B547">
        <v>38.81</v>
      </c>
      <c r="C547">
        <v>4</v>
      </c>
      <c r="D547">
        <v>7.7619999999999996</v>
      </c>
      <c r="E547">
        <v>163.00200000000001</v>
      </c>
      <c r="F547" s="1">
        <v>43543</v>
      </c>
      <c r="G547" s="2">
        <v>0.56944444444444442</v>
      </c>
      <c r="H547" t="s">
        <v>23</v>
      </c>
      <c r="I547">
        <v>155.24</v>
      </c>
      <c r="J547">
        <v>4.7619047620000003</v>
      </c>
      <c r="K547">
        <v>7.7619999999999996</v>
      </c>
      <c r="L547">
        <v>4.9000000000000004</v>
      </c>
    </row>
    <row r="548" spans="1:12" x14ac:dyDescent="0.25">
      <c r="A548" t="s">
        <v>582</v>
      </c>
      <c r="B548">
        <v>29.42</v>
      </c>
      <c r="C548">
        <v>10</v>
      </c>
      <c r="D548">
        <v>14.71</v>
      </c>
      <c r="E548">
        <v>308.91000000000003</v>
      </c>
      <c r="F548" s="1">
        <v>43477</v>
      </c>
      <c r="G548" s="2">
        <v>0.68263888888888891</v>
      </c>
      <c r="H548" t="s">
        <v>23</v>
      </c>
      <c r="I548">
        <v>294.2</v>
      </c>
      <c r="J548">
        <v>4.7619047620000003</v>
      </c>
      <c r="K548">
        <v>14.71</v>
      </c>
      <c r="L548">
        <v>8.9</v>
      </c>
    </row>
    <row r="549" spans="1:12" x14ac:dyDescent="0.25">
      <c r="A549" t="s">
        <v>583</v>
      </c>
      <c r="B549">
        <v>60.95</v>
      </c>
      <c r="C549">
        <v>9</v>
      </c>
      <c r="D549">
        <v>27.427499999999998</v>
      </c>
      <c r="E549">
        <v>575.97749999999996</v>
      </c>
      <c r="F549" s="1">
        <v>43472</v>
      </c>
      <c r="G549" s="2">
        <v>0.50555555555555554</v>
      </c>
      <c r="H549" t="s">
        <v>33</v>
      </c>
      <c r="I549">
        <v>548.54999999999995</v>
      </c>
      <c r="J549">
        <v>4.7619047620000003</v>
      </c>
      <c r="K549">
        <v>27.427499999999998</v>
      </c>
      <c r="L549">
        <v>6</v>
      </c>
    </row>
    <row r="550" spans="1:12" x14ac:dyDescent="0.25">
      <c r="A550" t="s">
        <v>584</v>
      </c>
      <c r="B550">
        <v>51.54</v>
      </c>
      <c r="C550">
        <v>5</v>
      </c>
      <c r="D550">
        <v>12.885</v>
      </c>
      <c r="E550">
        <v>270.58499999999998</v>
      </c>
      <c r="F550" s="1">
        <v>43491</v>
      </c>
      <c r="G550" s="2">
        <v>0.73958333333333337</v>
      </c>
      <c r="H550" t="s">
        <v>29</v>
      </c>
      <c r="I550">
        <v>257.7</v>
      </c>
      <c r="J550">
        <v>4.7619047620000003</v>
      </c>
      <c r="K550">
        <v>12.885</v>
      </c>
      <c r="L550">
        <v>4.2</v>
      </c>
    </row>
    <row r="551" spans="1:12" x14ac:dyDescent="0.25">
      <c r="A551" t="s">
        <v>585</v>
      </c>
      <c r="B551">
        <v>66.06</v>
      </c>
      <c r="C551">
        <v>6</v>
      </c>
      <c r="D551">
        <v>19.818000000000001</v>
      </c>
      <c r="E551">
        <v>416.178</v>
      </c>
      <c r="F551" s="1">
        <v>43488</v>
      </c>
      <c r="G551" s="2">
        <v>0.43611111111111112</v>
      </c>
      <c r="H551" t="s">
        <v>29</v>
      </c>
      <c r="I551">
        <v>396.36</v>
      </c>
      <c r="J551">
        <v>4.7619047620000003</v>
      </c>
      <c r="K551">
        <v>19.818000000000001</v>
      </c>
      <c r="L551">
        <v>7.3</v>
      </c>
    </row>
    <row r="552" spans="1:12" x14ac:dyDescent="0.25">
      <c r="A552" t="s">
        <v>586</v>
      </c>
      <c r="B552">
        <v>57.27</v>
      </c>
      <c r="C552">
        <v>3</v>
      </c>
      <c r="D552">
        <v>8.5905000000000005</v>
      </c>
      <c r="E552">
        <v>180.40049999999999</v>
      </c>
      <c r="F552" s="1">
        <v>43505</v>
      </c>
      <c r="G552" s="2">
        <v>0.85486111111111107</v>
      </c>
      <c r="H552" t="s">
        <v>23</v>
      </c>
      <c r="I552">
        <v>171.81</v>
      </c>
      <c r="J552">
        <v>4.7619047620000003</v>
      </c>
      <c r="K552">
        <v>8.5905000000000005</v>
      </c>
      <c r="L552">
        <v>6.5</v>
      </c>
    </row>
    <row r="553" spans="1:12" x14ac:dyDescent="0.25">
      <c r="A553" t="s">
        <v>587</v>
      </c>
      <c r="B553">
        <v>54.31</v>
      </c>
      <c r="C553">
        <v>9</v>
      </c>
      <c r="D553">
        <v>24.439499999999999</v>
      </c>
      <c r="E553">
        <v>513.22950000000003</v>
      </c>
      <c r="F553" s="1">
        <v>43518</v>
      </c>
      <c r="G553" s="2">
        <v>0.45069444444444445</v>
      </c>
      <c r="H553" t="s">
        <v>29</v>
      </c>
      <c r="I553">
        <v>488.79</v>
      </c>
      <c r="J553">
        <v>4.7619047620000003</v>
      </c>
      <c r="K553">
        <v>24.439499999999999</v>
      </c>
      <c r="L553">
        <v>8.9</v>
      </c>
    </row>
    <row r="554" spans="1:12" x14ac:dyDescent="0.25">
      <c r="A554" t="s">
        <v>588</v>
      </c>
      <c r="B554">
        <v>58.24</v>
      </c>
      <c r="C554">
        <v>9</v>
      </c>
      <c r="D554">
        <v>26.207999999999998</v>
      </c>
      <c r="E554">
        <v>550.36800000000005</v>
      </c>
      <c r="F554" s="1">
        <v>43501</v>
      </c>
      <c r="G554" s="2">
        <v>0.52361111111111114</v>
      </c>
      <c r="H554" t="s">
        <v>29</v>
      </c>
      <c r="I554">
        <v>524.16</v>
      </c>
      <c r="J554">
        <v>4.7619047620000003</v>
      </c>
      <c r="K554">
        <v>26.207999999999998</v>
      </c>
      <c r="L554">
        <v>9.6999999999999993</v>
      </c>
    </row>
    <row r="555" spans="1:12" x14ac:dyDescent="0.25">
      <c r="A555" t="s">
        <v>589</v>
      </c>
      <c r="B555">
        <v>22.21</v>
      </c>
      <c r="C555">
        <v>6</v>
      </c>
      <c r="D555">
        <v>6.6630000000000003</v>
      </c>
      <c r="E555">
        <v>139.923</v>
      </c>
      <c r="F555" s="1">
        <v>43531</v>
      </c>
      <c r="G555" s="2">
        <v>0.43263888888888885</v>
      </c>
      <c r="H555" t="s">
        <v>33</v>
      </c>
      <c r="I555">
        <v>133.26</v>
      </c>
      <c r="J555">
        <v>4.7619047620000003</v>
      </c>
      <c r="K555">
        <v>6.6630000000000003</v>
      </c>
      <c r="L555">
        <v>8.6</v>
      </c>
    </row>
    <row r="556" spans="1:12" x14ac:dyDescent="0.25">
      <c r="A556" t="s">
        <v>590</v>
      </c>
      <c r="B556">
        <v>19.32</v>
      </c>
      <c r="C556">
        <v>7</v>
      </c>
      <c r="D556">
        <v>6.7619999999999996</v>
      </c>
      <c r="E556">
        <v>142.00200000000001</v>
      </c>
      <c r="F556" s="1">
        <v>43549</v>
      </c>
      <c r="G556" s="2">
        <v>0.78541666666666676</v>
      </c>
      <c r="H556" t="s">
        <v>29</v>
      </c>
      <c r="I556">
        <v>135.24</v>
      </c>
      <c r="J556">
        <v>4.7619047620000003</v>
      </c>
      <c r="K556">
        <v>6.7619999999999996</v>
      </c>
      <c r="L556">
        <v>6.9</v>
      </c>
    </row>
    <row r="557" spans="1:12" x14ac:dyDescent="0.25">
      <c r="A557" t="s">
        <v>591</v>
      </c>
      <c r="B557">
        <v>37.479999999999997</v>
      </c>
      <c r="C557">
        <v>3</v>
      </c>
      <c r="D557">
        <v>5.6219999999999999</v>
      </c>
      <c r="E557">
        <v>118.062</v>
      </c>
      <c r="F557" s="1">
        <v>43485</v>
      </c>
      <c r="G557" s="2">
        <v>0.57291666666666663</v>
      </c>
      <c r="H557" t="s">
        <v>33</v>
      </c>
      <c r="I557">
        <v>112.44</v>
      </c>
      <c r="J557">
        <v>4.7619047620000003</v>
      </c>
      <c r="K557">
        <v>5.6219999999999999</v>
      </c>
      <c r="L557">
        <v>7.7</v>
      </c>
    </row>
    <row r="558" spans="1:12" x14ac:dyDescent="0.25">
      <c r="A558" t="s">
        <v>592</v>
      </c>
      <c r="B558">
        <v>72.040000000000006</v>
      </c>
      <c r="C558">
        <v>2</v>
      </c>
      <c r="D558">
        <v>7.2039999999999997</v>
      </c>
      <c r="E558">
        <v>151.28399999999999</v>
      </c>
      <c r="F558" s="1">
        <v>43500</v>
      </c>
      <c r="G558" s="2">
        <v>0.81805555555555554</v>
      </c>
      <c r="H558" t="s">
        <v>29</v>
      </c>
      <c r="I558">
        <v>144.08000000000001</v>
      </c>
      <c r="J558">
        <v>4.7619047620000003</v>
      </c>
      <c r="K558">
        <v>7.2039999999999997</v>
      </c>
      <c r="L558">
        <v>9.5</v>
      </c>
    </row>
    <row r="559" spans="1:12" x14ac:dyDescent="0.25">
      <c r="A559" t="s">
        <v>593</v>
      </c>
      <c r="B559">
        <v>98.52</v>
      </c>
      <c r="C559">
        <v>10</v>
      </c>
      <c r="D559">
        <v>49.26</v>
      </c>
      <c r="E559">
        <v>1034.46</v>
      </c>
      <c r="F559" s="1">
        <v>43495</v>
      </c>
      <c r="G559" s="2">
        <v>0.84930555555555554</v>
      </c>
      <c r="H559" t="s">
        <v>23</v>
      </c>
      <c r="I559">
        <v>985.2</v>
      </c>
      <c r="J559">
        <v>4.7619047620000003</v>
      </c>
      <c r="K559">
        <v>49.26</v>
      </c>
      <c r="L559">
        <v>4.5</v>
      </c>
    </row>
    <row r="560" spans="1:12" x14ac:dyDescent="0.25">
      <c r="A560" t="s">
        <v>594</v>
      </c>
      <c r="B560">
        <v>41.66</v>
      </c>
      <c r="C560">
        <v>6</v>
      </c>
      <c r="D560">
        <v>12.497999999999999</v>
      </c>
      <c r="E560">
        <v>262.45800000000003</v>
      </c>
      <c r="F560" s="1">
        <v>43467</v>
      </c>
      <c r="G560" s="2">
        <v>0.64166666666666672</v>
      </c>
      <c r="H560" t="s">
        <v>23</v>
      </c>
      <c r="I560">
        <v>249.96</v>
      </c>
      <c r="J560">
        <v>4.7619047620000003</v>
      </c>
      <c r="K560">
        <v>12.497999999999999</v>
      </c>
      <c r="L560">
        <v>5.6</v>
      </c>
    </row>
    <row r="561" spans="1:12" x14ac:dyDescent="0.25">
      <c r="A561" t="s">
        <v>595</v>
      </c>
      <c r="B561">
        <v>72.42</v>
      </c>
      <c r="C561">
        <v>3</v>
      </c>
      <c r="D561">
        <v>10.863</v>
      </c>
      <c r="E561">
        <v>228.12299999999999</v>
      </c>
      <c r="F561" s="1">
        <v>43553</v>
      </c>
      <c r="G561" s="2">
        <v>0.70416666666666661</v>
      </c>
      <c r="H561" t="s">
        <v>23</v>
      </c>
      <c r="I561">
        <v>217.26</v>
      </c>
      <c r="J561">
        <v>4.7619047620000003</v>
      </c>
      <c r="K561">
        <v>10.863</v>
      </c>
      <c r="L561">
        <v>8.1999999999999993</v>
      </c>
    </row>
    <row r="562" spans="1:12" x14ac:dyDescent="0.25">
      <c r="A562" t="s">
        <v>596</v>
      </c>
      <c r="B562">
        <v>21.58</v>
      </c>
      <c r="C562">
        <v>9</v>
      </c>
      <c r="D562">
        <v>9.7110000000000003</v>
      </c>
      <c r="E562">
        <v>203.93100000000001</v>
      </c>
      <c r="F562" s="1">
        <v>43538</v>
      </c>
      <c r="G562" s="2">
        <v>0.52222222222222225</v>
      </c>
      <c r="H562" t="s">
        <v>29</v>
      </c>
      <c r="I562">
        <v>194.22</v>
      </c>
      <c r="J562">
        <v>4.7619047620000003</v>
      </c>
      <c r="K562">
        <v>9.7110000000000003</v>
      </c>
      <c r="L562">
        <v>7.3</v>
      </c>
    </row>
    <row r="563" spans="1:12" x14ac:dyDescent="0.25">
      <c r="A563" t="s">
        <v>597</v>
      </c>
      <c r="B563">
        <v>89.2</v>
      </c>
      <c r="C563">
        <v>10</v>
      </c>
      <c r="D563">
        <v>44.6</v>
      </c>
      <c r="E563">
        <v>936.6</v>
      </c>
      <c r="F563" s="1">
        <v>43507</v>
      </c>
      <c r="G563" s="2">
        <v>0.65416666666666667</v>
      </c>
      <c r="H563" t="s">
        <v>33</v>
      </c>
      <c r="I563">
        <v>892</v>
      </c>
      <c r="J563">
        <v>4.7619047620000003</v>
      </c>
      <c r="K563">
        <v>44.6</v>
      </c>
      <c r="L563">
        <v>4.4000000000000004</v>
      </c>
    </row>
    <row r="564" spans="1:12" x14ac:dyDescent="0.25">
      <c r="A564" t="s">
        <v>598</v>
      </c>
      <c r="B564">
        <v>42.42</v>
      </c>
      <c r="C564">
        <v>8</v>
      </c>
      <c r="D564">
        <v>16.968</v>
      </c>
      <c r="E564">
        <v>356.32799999999997</v>
      </c>
      <c r="F564" s="1">
        <v>43495</v>
      </c>
      <c r="G564" s="2">
        <v>0.58194444444444449</v>
      </c>
      <c r="H564" t="s">
        <v>23</v>
      </c>
      <c r="I564">
        <v>339.36</v>
      </c>
      <c r="J564">
        <v>4.7619047620000003</v>
      </c>
      <c r="K564">
        <v>16.968</v>
      </c>
      <c r="L564">
        <v>5.7</v>
      </c>
    </row>
    <row r="565" spans="1:12" x14ac:dyDescent="0.25">
      <c r="A565" t="s">
        <v>599</v>
      </c>
      <c r="B565">
        <v>74.510000000000005</v>
      </c>
      <c r="C565">
        <v>6</v>
      </c>
      <c r="D565">
        <v>22.353000000000002</v>
      </c>
      <c r="E565">
        <v>469.41300000000001</v>
      </c>
      <c r="F565" s="1">
        <v>43544</v>
      </c>
      <c r="G565" s="2">
        <v>0.63055555555555554</v>
      </c>
      <c r="H565" t="s">
        <v>23</v>
      </c>
      <c r="I565">
        <v>447.06</v>
      </c>
      <c r="J565">
        <v>4.7619047620000003</v>
      </c>
      <c r="K565">
        <v>22.353000000000002</v>
      </c>
      <c r="L565">
        <v>5</v>
      </c>
    </row>
    <row r="566" spans="1:12" x14ac:dyDescent="0.25">
      <c r="A566" t="s">
        <v>600</v>
      </c>
      <c r="B566">
        <v>99.25</v>
      </c>
      <c r="C566">
        <v>2</v>
      </c>
      <c r="D566">
        <v>9.9250000000000007</v>
      </c>
      <c r="E566">
        <v>208.42500000000001</v>
      </c>
      <c r="F566" s="1">
        <v>43544</v>
      </c>
      <c r="G566" s="2">
        <v>0.54305555555555551</v>
      </c>
      <c r="H566" t="s">
        <v>29</v>
      </c>
      <c r="I566">
        <v>198.5</v>
      </c>
      <c r="J566">
        <v>4.7619047620000003</v>
      </c>
      <c r="K566">
        <v>9.9250000000000007</v>
      </c>
      <c r="L566">
        <v>9</v>
      </c>
    </row>
    <row r="567" spans="1:12" x14ac:dyDescent="0.25">
      <c r="A567" t="s">
        <v>601</v>
      </c>
      <c r="B567">
        <v>81.209999999999994</v>
      </c>
      <c r="C567">
        <v>10</v>
      </c>
      <c r="D567">
        <v>40.604999999999997</v>
      </c>
      <c r="E567">
        <v>852.70500000000004</v>
      </c>
      <c r="F567" s="1">
        <v>43482</v>
      </c>
      <c r="G567" s="2">
        <v>0.54236111111111118</v>
      </c>
      <c r="H567" t="s">
        <v>33</v>
      </c>
      <c r="I567">
        <v>812.1</v>
      </c>
      <c r="J567">
        <v>4.7619047620000003</v>
      </c>
      <c r="K567">
        <v>40.604999999999997</v>
      </c>
      <c r="L567">
        <v>6.3</v>
      </c>
    </row>
    <row r="568" spans="1:12" x14ac:dyDescent="0.25">
      <c r="A568" t="s">
        <v>602</v>
      </c>
      <c r="B568">
        <v>49.33</v>
      </c>
      <c r="C568">
        <v>10</v>
      </c>
      <c r="D568">
        <v>24.664999999999999</v>
      </c>
      <c r="E568">
        <v>517.96500000000003</v>
      </c>
      <c r="F568" s="1">
        <v>43499</v>
      </c>
      <c r="G568" s="2">
        <v>0.69444444444444453</v>
      </c>
      <c r="H568" t="s">
        <v>33</v>
      </c>
      <c r="I568">
        <v>493.3</v>
      </c>
      <c r="J568">
        <v>4.7619047620000003</v>
      </c>
      <c r="K568">
        <v>24.664999999999999</v>
      </c>
      <c r="L568">
        <v>9.4</v>
      </c>
    </row>
    <row r="569" spans="1:12" x14ac:dyDescent="0.25">
      <c r="A569" t="s">
        <v>603</v>
      </c>
      <c r="B569">
        <v>65.739999999999995</v>
      </c>
      <c r="C569">
        <v>9</v>
      </c>
      <c r="D569">
        <v>29.582999999999998</v>
      </c>
      <c r="E569">
        <v>621.24300000000005</v>
      </c>
      <c r="F569" s="1">
        <v>43466</v>
      </c>
      <c r="G569" s="2">
        <v>0.57986111111111105</v>
      </c>
      <c r="H569" t="s">
        <v>29</v>
      </c>
      <c r="I569">
        <v>591.66</v>
      </c>
      <c r="J569">
        <v>4.7619047620000003</v>
      </c>
      <c r="K569">
        <v>29.582999999999998</v>
      </c>
      <c r="L569">
        <v>7.7</v>
      </c>
    </row>
    <row r="570" spans="1:12" x14ac:dyDescent="0.25">
      <c r="A570" t="s">
        <v>604</v>
      </c>
      <c r="B570">
        <v>79.86</v>
      </c>
      <c r="C570">
        <v>7</v>
      </c>
      <c r="D570">
        <v>27.951000000000001</v>
      </c>
      <c r="E570">
        <v>586.971</v>
      </c>
      <c r="F570" s="1">
        <v>43475</v>
      </c>
      <c r="G570" s="2">
        <v>0.43958333333333338</v>
      </c>
      <c r="H570" t="s">
        <v>33</v>
      </c>
      <c r="I570">
        <v>559.02</v>
      </c>
      <c r="J570">
        <v>4.7619047620000003</v>
      </c>
      <c r="K570">
        <v>27.951000000000001</v>
      </c>
      <c r="L570">
        <v>5.5</v>
      </c>
    </row>
    <row r="571" spans="1:12" x14ac:dyDescent="0.25">
      <c r="A571" t="s">
        <v>605</v>
      </c>
      <c r="B571">
        <v>73.98</v>
      </c>
      <c r="C571">
        <v>7</v>
      </c>
      <c r="D571">
        <v>25.893000000000001</v>
      </c>
      <c r="E571">
        <v>543.75300000000004</v>
      </c>
      <c r="F571" s="1">
        <v>43526</v>
      </c>
      <c r="G571" s="2">
        <v>0.6958333333333333</v>
      </c>
      <c r="H571" t="s">
        <v>23</v>
      </c>
      <c r="I571">
        <v>517.86</v>
      </c>
      <c r="J571">
        <v>4.7619047620000003</v>
      </c>
      <c r="K571">
        <v>25.893000000000001</v>
      </c>
      <c r="L571">
        <v>4.0999999999999996</v>
      </c>
    </row>
    <row r="572" spans="1:12" x14ac:dyDescent="0.25">
      <c r="A572" t="s">
        <v>606</v>
      </c>
      <c r="B572">
        <v>82.04</v>
      </c>
      <c r="C572">
        <v>5</v>
      </c>
      <c r="D572">
        <v>20.51</v>
      </c>
      <c r="E572">
        <v>430.71</v>
      </c>
      <c r="F572" s="1">
        <v>43521</v>
      </c>
      <c r="G572" s="2">
        <v>0.71944444444444444</v>
      </c>
      <c r="H572" t="s">
        <v>33</v>
      </c>
      <c r="I572">
        <v>410.2</v>
      </c>
      <c r="J572">
        <v>4.7619047620000003</v>
      </c>
      <c r="K572">
        <v>20.51</v>
      </c>
      <c r="L572">
        <v>7.6</v>
      </c>
    </row>
    <row r="573" spans="1:12" x14ac:dyDescent="0.25">
      <c r="A573" t="s">
        <v>607</v>
      </c>
      <c r="B573">
        <v>26.67</v>
      </c>
      <c r="C573">
        <v>10</v>
      </c>
      <c r="D573">
        <v>13.335000000000001</v>
      </c>
      <c r="E573">
        <v>280.03500000000003</v>
      </c>
      <c r="F573" s="1">
        <v>43494</v>
      </c>
      <c r="G573" s="2">
        <v>0.4916666666666667</v>
      </c>
      <c r="H573" t="s">
        <v>29</v>
      </c>
      <c r="I573">
        <v>266.7</v>
      </c>
      <c r="J573">
        <v>4.7619047620000003</v>
      </c>
      <c r="K573">
        <v>13.335000000000001</v>
      </c>
      <c r="L573">
        <v>8.6</v>
      </c>
    </row>
    <row r="574" spans="1:12" x14ac:dyDescent="0.25">
      <c r="A574" t="s">
        <v>608</v>
      </c>
      <c r="B574">
        <v>10.130000000000001</v>
      </c>
      <c r="C574">
        <v>7</v>
      </c>
      <c r="D574">
        <v>3.5455000000000001</v>
      </c>
      <c r="E574">
        <v>74.455500000000001</v>
      </c>
      <c r="F574" s="1">
        <v>43534</v>
      </c>
      <c r="G574" s="2">
        <v>0.81597222222222221</v>
      </c>
      <c r="H574" t="s">
        <v>23</v>
      </c>
      <c r="I574">
        <v>70.91</v>
      </c>
      <c r="J574">
        <v>4.7619047620000003</v>
      </c>
      <c r="K574">
        <v>3.5455000000000001</v>
      </c>
      <c r="L574">
        <v>8.3000000000000007</v>
      </c>
    </row>
    <row r="575" spans="1:12" x14ac:dyDescent="0.25">
      <c r="A575" t="s">
        <v>609</v>
      </c>
      <c r="B575">
        <v>72.39</v>
      </c>
      <c r="C575">
        <v>2</v>
      </c>
      <c r="D575">
        <v>7.2389999999999999</v>
      </c>
      <c r="E575">
        <v>152.01900000000001</v>
      </c>
      <c r="F575" s="1">
        <v>43478</v>
      </c>
      <c r="G575" s="2">
        <v>0.82986111111111116</v>
      </c>
      <c r="H575" t="s">
        <v>33</v>
      </c>
      <c r="I575">
        <v>144.78</v>
      </c>
      <c r="J575">
        <v>4.7619047620000003</v>
      </c>
      <c r="K575">
        <v>7.2389999999999999</v>
      </c>
      <c r="L575">
        <v>8.1</v>
      </c>
    </row>
    <row r="576" spans="1:12" x14ac:dyDescent="0.25">
      <c r="A576" t="s">
        <v>610</v>
      </c>
      <c r="B576">
        <v>85.91</v>
      </c>
      <c r="C576">
        <v>5</v>
      </c>
      <c r="D576">
        <v>21.477499999999999</v>
      </c>
      <c r="E576">
        <v>451.02749999999997</v>
      </c>
      <c r="F576" s="1">
        <v>43546</v>
      </c>
      <c r="G576" s="2">
        <v>0.60625000000000007</v>
      </c>
      <c r="H576" t="s">
        <v>33</v>
      </c>
      <c r="I576">
        <v>429.55</v>
      </c>
      <c r="J576">
        <v>4.7619047620000003</v>
      </c>
      <c r="K576">
        <v>21.477499999999999</v>
      </c>
      <c r="L576">
        <v>8.6</v>
      </c>
    </row>
    <row r="577" spans="1:12" x14ac:dyDescent="0.25">
      <c r="A577" t="s">
        <v>611</v>
      </c>
      <c r="B577">
        <v>81.31</v>
      </c>
      <c r="C577">
        <v>7</v>
      </c>
      <c r="D577">
        <v>28.458500000000001</v>
      </c>
      <c r="E577">
        <v>597.62850000000003</v>
      </c>
      <c r="F577" s="1">
        <v>43525</v>
      </c>
      <c r="G577" s="2">
        <v>0.8256944444444444</v>
      </c>
      <c r="H577" t="s">
        <v>23</v>
      </c>
      <c r="I577">
        <v>569.16999999999996</v>
      </c>
      <c r="J577">
        <v>4.7619047620000003</v>
      </c>
      <c r="K577">
        <v>28.458500000000001</v>
      </c>
      <c r="L577">
        <v>6.3</v>
      </c>
    </row>
    <row r="578" spans="1:12" x14ac:dyDescent="0.25">
      <c r="A578" t="s">
        <v>612</v>
      </c>
      <c r="B578">
        <v>60.3</v>
      </c>
      <c r="C578">
        <v>4</v>
      </c>
      <c r="D578">
        <v>12.06</v>
      </c>
      <c r="E578">
        <v>253.26</v>
      </c>
      <c r="F578" s="1">
        <v>43516</v>
      </c>
      <c r="G578" s="2">
        <v>0.77986111111111101</v>
      </c>
      <c r="H578" t="s">
        <v>29</v>
      </c>
      <c r="I578">
        <v>241.2</v>
      </c>
      <c r="J578">
        <v>4.7619047620000003</v>
      </c>
      <c r="K578">
        <v>12.06</v>
      </c>
      <c r="L578">
        <v>5.8</v>
      </c>
    </row>
    <row r="579" spans="1:12" x14ac:dyDescent="0.25">
      <c r="A579" t="s">
        <v>613</v>
      </c>
      <c r="B579">
        <v>31.77</v>
      </c>
      <c r="C579">
        <v>4</v>
      </c>
      <c r="D579">
        <v>6.3540000000000001</v>
      </c>
      <c r="E579">
        <v>133.434</v>
      </c>
      <c r="F579" s="1">
        <v>43479</v>
      </c>
      <c r="G579" s="2">
        <v>0.61319444444444449</v>
      </c>
      <c r="H579" t="s">
        <v>23</v>
      </c>
      <c r="I579">
        <v>127.08</v>
      </c>
      <c r="J579">
        <v>4.7619047620000003</v>
      </c>
      <c r="K579">
        <v>6.3540000000000001</v>
      </c>
      <c r="L579">
        <v>6.2</v>
      </c>
    </row>
    <row r="580" spans="1:12" x14ac:dyDescent="0.25">
      <c r="A580" t="s">
        <v>614</v>
      </c>
      <c r="B580">
        <v>64.27</v>
      </c>
      <c r="C580">
        <v>4</v>
      </c>
      <c r="D580">
        <v>12.853999999999999</v>
      </c>
      <c r="E580">
        <v>269.93400000000003</v>
      </c>
      <c r="F580" s="1">
        <v>43550</v>
      </c>
      <c r="G580" s="2">
        <v>0.57916666666666672</v>
      </c>
      <c r="H580" t="s">
        <v>29</v>
      </c>
      <c r="I580">
        <v>257.08</v>
      </c>
      <c r="J580">
        <v>4.7619047620000003</v>
      </c>
      <c r="K580">
        <v>12.853999999999999</v>
      </c>
      <c r="L580">
        <v>7.7</v>
      </c>
    </row>
    <row r="581" spans="1:12" x14ac:dyDescent="0.25">
      <c r="A581" t="s">
        <v>615</v>
      </c>
      <c r="B581">
        <v>69.510000000000005</v>
      </c>
      <c r="C581">
        <v>2</v>
      </c>
      <c r="D581">
        <v>6.9509999999999996</v>
      </c>
      <c r="E581">
        <v>145.971</v>
      </c>
      <c r="F581" s="1">
        <v>43525</v>
      </c>
      <c r="G581" s="2">
        <v>0.51041666666666663</v>
      </c>
      <c r="H581" t="s">
        <v>23</v>
      </c>
      <c r="I581">
        <v>139.02000000000001</v>
      </c>
      <c r="J581">
        <v>4.7619047620000003</v>
      </c>
      <c r="K581">
        <v>6.9509999999999996</v>
      </c>
      <c r="L581">
        <v>8.1</v>
      </c>
    </row>
    <row r="582" spans="1:12" x14ac:dyDescent="0.25">
      <c r="A582" t="s">
        <v>616</v>
      </c>
      <c r="B582">
        <v>27.22</v>
      </c>
      <c r="C582">
        <v>3</v>
      </c>
      <c r="D582">
        <v>4.0830000000000002</v>
      </c>
      <c r="E582">
        <v>85.742999999999995</v>
      </c>
      <c r="F582" s="1">
        <v>43472</v>
      </c>
      <c r="G582" s="2">
        <v>0.52569444444444446</v>
      </c>
      <c r="H582" t="s">
        <v>29</v>
      </c>
      <c r="I582">
        <v>81.66</v>
      </c>
      <c r="J582">
        <v>4.7619047620000003</v>
      </c>
      <c r="K582">
        <v>4.0830000000000002</v>
      </c>
      <c r="L582">
        <v>7.3</v>
      </c>
    </row>
    <row r="583" spans="1:12" x14ac:dyDescent="0.25">
      <c r="A583" t="s">
        <v>617</v>
      </c>
      <c r="B583">
        <v>77.680000000000007</v>
      </c>
      <c r="C583">
        <v>4</v>
      </c>
      <c r="D583">
        <v>15.536</v>
      </c>
      <c r="E583">
        <v>326.25599999999997</v>
      </c>
      <c r="F583" s="1">
        <v>43497</v>
      </c>
      <c r="G583" s="2">
        <v>0.82916666666666661</v>
      </c>
      <c r="H583" t="s">
        <v>29</v>
      </c>
      <c r="I583">
        <v>310.72000000000003</v>
      </c>
      <c r="J583">
        <v>4.7619047620000003</v>
      </c>
      <c r="K583">
        <v>15.536</v>
      </c>
      <c r="L583">
        <v>8.4</v>
      </c>
    </row>
    <row r="584" spans="1:12" x14ac:dyDescent="0.25">
      <c r="A584" t="s">
        <v>618</v>
      </c>
      <c r="B584">
        <v>92.98</v>
      </c>
      <c r="C584">
        <v>2</v>
      </c>
      <c r="D584">
        <v>9.298</v>
      </c>
      <c r="E584">
        <v>195.25800000000001</v>
      </c>
      <c r="F584" s="1">
        <v>43509</v>
      </c>
      <c r="G584" s="2">
        <v>0.62916666666666665</v>
      </c>
      <c r="H584" t="s">
        <v>33</v>
      </c>
      <c r="I584">
        <v>185.96</v>
      </c>
      <c r="J584">
        <v>4.7619047620000003</v>
      </c>
      <c r="K584">
        <v>9.298</v>
      </c>
      <c r="L584">
        <v>8</v>
      </c>
    </row>
    <row r="585" spans="1:12" x14ac:dyDescent="0.25">
      <c r="A585" t="s">
        <v>619</v>
      </c>
      <c r="B585">
        <v>18.079999999999998</v>
      </c>
      <c r="C585">
        <v>4</v>
      </c>
      <c r="D585">
        <v>3.6160000000000001</v>
      </c>
      <c r="E585">
        <v>75.936000000000007</v>
      </c>
      <c r="F585" s="1">
        <v>43479</v>
      </c>
      <c r="G585" s="2">
        <v>0.75208333333333333</v>
      </c>
      <c r="H585" t="s">
        <v>33</v>
      </c>
      <c r="I585">
        <v>72.319999999999993</v>
      </c>
      <c r="J585">
        <v>4.7619047620000003</v>
      </c>
      <c r="K585">
        <v>3.6160000000000001</v>
      </c>
      <c r="L585">
        <v>9.5</v>
      </c>
    </row>
    <row r="586" spans="1:12" x14ac:dyDescent="0.25">
      <c r="A586" t="s">
        <v>620</v>
      </c>
      <c r="B586">
        <v>63.06</v>
      </c>
      <c r="C586">
        <v>3</v>
      </c>
      <c r="D586">
        <v>9.4589999999999996</v>
      </c>
      <c r="E586">
        <v>198.63900000000001</v>
      </c>
      <c r="F586" s="1">
        <v>43484</v>
      </c>
      <c r="G586" s="2">
        <v>0.66527777777777775</v>
      </c>
      <c r="H586" t="s">
        <v>23</v>
      </c>
      <c r="I586">
        <v>189.18</v>
      </c>
      <c r="J586">
        <v>4.7619047620000003</v>
      </c>
      <c r="K586">
        <v>9.4589999999999996</v>
      </c>
      <c r="L586">
        <v>7</v>
      </c>
    </row>
    <row r="587" spans="1:12" x14ac:dyDescent="0.25">
      <c r="A587" t="s">
        <v>621</v>
      </c>
      <c r="B587">
        <v>51.71</v>
      </c>
      <c r="C587">
        <v>4</v>
      </c>
      <c r="D587">
        <v>10.342000000000001</v>
      </c>
      <c r="E587">
        <v>217.18199999999999</v>
      </c>
      <c r="F587" s="1">
        <v>43533</v>
      </c>
      <c r="G587" s="2">
        <v>0.57847222222222217</v>
      </c>
      <c r="H587" t="s">
        <v>33</v>
      </c>
      <c r="I587">
        <v>206.84</v>
      </c>
      <c r="J587">
        <v>4.7619047620000003</v>
      </c>
      <c r="K587">
        <v>10.342000000000001</v>
      </c>
      <c r="L587">
        <v>9.8000000000000007</v>
      </c>
    </row>
    <row r="588" spans="1:12" x14ac:dyDescent="0.25">
      <c r="A588" t="s">
        <v>622</v>
      </c>
      <c r="B588">
        <v>52.34</v>
      </c>
      <c r="C588">
        <v>3</v>
      </c>
      <c r="D588">
        <v>7.851</v>
      </c>
      <c r="E588">
        <v>164.87100000000001</v>
      </c>
      <c r="F588" s="1">
        <v>43551</v>
      </c>
      <c r="G588" s="2">
        <v>0.5854166666666667</v>
      </c>
      <c r="H588" t="s">
        <v>29</v>
      </c>
      <c r="I588">
        <v>157.02000000000001</v>
      </c>
      <c r="J588">
        <v>4.7619047620000003</v>
      </c>
      <c r="K588">
        <v>7.851</v>
      </c>
      <c r="L588">
        <v>9.1999999999999993</v>
      </c>
    </row>
    <row r="589" spans="1:12" x14ac:dyDescent="0.25">
      <c r="A589" t="s">
        <v>623</v>
      </c>
      <c r="B589">
        <v>43.06</v>
      </c>
      <c r="C589">
        <v>5</v>
      </c>
      <c r="D589">
        <v>10.765000000000001</v>
      </c>
      <c r="E589">
        <v>226.065</v>
      </c>
      <c r="F589" s="1">
        <v>43500</v>
      </c>
      <c r="G589" s="2">
        <v>0.69305555555555554</v>
      </c>
      <c r="H589" t="s">
        <v>23</v>
      </c>
      <c r="I589">
        <v>215.3</v>
      </c>
      <c r="J589">
        <v>4.7619047620000003</v>
      </c>
      <c r="K589">
        <v>10.765000000000001</v>
      </c>
      <c r="L589">
        <v>7.7</v>
      </c>
    </row>
    <row r="590" spans="1:12" x14ac:dyDescent="0.25">
      <c r="A590" t="s">
        <v>624</v>
      </c>
      <c r="B590">
        <v>59.61</v>
      </c>
      <c r="C590">
        <v>10</v>
      </c>
      <c r="D590">
        <v>29.805</v>
      </c>
      <c r="E590">
        <v>625.90499999999997</v>
      </c>
      <c r="F590" s="1">
        <v>43538</v>
      </c>
      <c r="G590" s="2">
        <v>0.46319444444444446</v>
      </c>
      <c r="H590" t="s">
        <v>29</v>
      </c>
      <c r="I590">
        <v>596.1</v>
      </c>
      <c r="J590">
        <v>4.7619047620000003</v>
      </c>
      <c r="K590">
        <v>29.805</v>
      </c>
      <c r="L590">
        <v>5.3</v>
      </c>
    </row>
    <row r="591" spans="1:12" x14ac:dyDescent="0.25">
      <c r="A591" t="s">
        <v>625</v>
      </c>
      <c r="B591">
        <v>14.62</v>
      </c>
      <c r="C591">
        <v>5</v>
      </c>
      <c r="D591">
        <v>3.6549999999999998</v>
      </c>
      <c r="E591">
        <v>76.754999999999995</v>
      </c>
      <c r="F591" s="1">
        <v>43528</v>
      </c>
      <c r="G591" s="2">
        <v>0.51597222222222217</v>
      </c>
      <c r="H591" t="s">
        <v>29</v>
      </c>
      <c r="I591">
        <v>73.099999999999994</v>
      </c>
      <c r="J591">
        <v>4.7619047620000003</v>
      </c>
      <c r="K591">
        <v>3.6549999999999998</v>
      </c>
      <c r="L591">
        <v>4.4000000000000004</v>
      </c>
    </row>
    <row r="592" spans="1:12" x14ac:dyDescent="0.25">
      <c r="A592" t="s">
        <v>626</v>
      </c>
      <c r="B592">
        <v>46.53</v>
      </c>
      <c r="C592">
        <v>6</v>
      </c>
      <c r="D592">
        <v>13.959</v>
      </c>
      <c r="E592">
        <v>293.13900000000001</v>
      </c>
      <c r="F592" s="1">
        <v>43527</v>
      </c>
      <c r="G592" s="2">
        <v>0.45416666666666666</v>
      </c>
      <c r="H592" t="s">
        <v>33</v>
      </c>
      <c r="I592">
        <v>279.18</v>
      </c>
      <c r="J592">
        <v>4.7619047620000003</v>
      </c>
      <c r="K592">
        <v>13.959</v>
      </c>
      <c r="L592">
        <v>4.3</v>
      </c>
    </row>
    <row r="593" spans="1:12" x14ac:dyDescent="0.25">
      <c r="A593" t="s">
        <v>627</v>
      </c>
      <c r="B593">
        <v>24.24</v>
      </c>
      <c r="C593">
        <v>7</v>
      </c>
      <c r="D593">
        <v>8.484</v>
      </c>
      <c r="E593">
        <v>178.16399999999999</v>
      </c>
      <c r="F593" s="1">
        <v>43492</v>
      </c>
      <c r="G593" s="2">
        <v>0.73472222222222217</v>
      </c>
      <c r="H593" t="s">
        <v>23</v>
      </c>
      <c r="I593">
        <v>169.68</v>
      </c>
      <c r="J593">
        <v>4.7619047620000003</v>
      </c>
      <c r="K593">
        <v>8.484</v>
      </c>
      <c r="L593">
        <v>9.4</v>
      </c>
    </row>
    <row r="594" spans="1:12" x14ac:dyDescent="0.25">
      <c r="A594" t="s">
        <v>628</v>
      </c>
      <c r="B594">
        <v>45.58</v>
      </c>
      <c r="C594">
        <v>1</v>
      </c>
      <c r="D594">
        <v>2.2789999999999999</v>
      </c>
      <c r="E594">
        <v>47.859000000000002</v>
      </c>
      <c r="F594" s="1">
        <v>43503</v>
      </c>
      <c r="G594" s="2">
        <v>0.59236111111111112</v>
      </c>
      <c r="H594" t="s">
        <v>29</v>
      </c>
      <c r="I594">
        <v>45.58</v>
      </c>
      <c r="J594">
        <v>4.7619047620000003</v>
      </c>
      <c r="K594">
        <v>2.2789999999999999</v>
      </c>
      <c r="L594">
        <v>9.8000000000000007</v>
      </c>
    </row>
    <row r="595" spans="1:12" x14ac:dyDescent="0.25">
      <c r="A595" t="s">
        <v>629</v>
      </c>
      <c r="B595">
        <v>75.2</v>
      </c>
      <c r="C595">
        <v>3</v>
      </c>
      <c r="D595">
        <v>11.28</v>
      </c>
      <c r="E595">
        <v>236.88</v>
      </c>
      <c r="F595" s="1">
        <v>43501</v>
      </c>
      <c r="G595" s="2">
        <v>0.49374999999999997</v>
      </c>
      <c r="H595" t="s">
        <v>23</v>
      </c>
      <c r="I595">
        <v>225.6</v>
      </c>
      <c r="J595">
        <v>4.7619047620000003</v>
      </c>
      <c r="K595">
        <v>11.28</v>
      </c>
      <c r="L595">
        <v>4.8</v>
      </c>
    </row>
    <row r="596" spans="1:12" x14ac:dyDescent="0.25">
      <c r="A596" t="s">
        <v>630</v>
      </c>
      <c r="B596">
        <v>96.8</v>
      </c>
      <c r="C596">
        <v>3</v>
      </c>
      <c r="D596">
        <v>14.52</v>
      </c>
      <c r="E596">
        <v>304.92</v>
      </c>
      <c r="F596" s="1">
        <v>43539</v>
      </c>
      <c r="G596" s="2">
        <v>0.54513888888888895</v>
      </c>
      <c r="H596" t="s">
        <v>29</v>
      </c>
      <c r="I596">
        <v>290.39999999999998</v>
      </c>
      <c r="J596">
        <v>4.7619047620000003</v>
      </c>
      <c r="K596">
        <v>14.52</v>
      </c>
      <c r="L596">
        <v>5.3</v>
      </c>
    </row>
    <row r="597" spans="1:12" x14ac:dyDescent="0.25">
      <c r="A597" t="s">
        <v>631</v>
      </c>
      <c r="B597">
        <v>14.82</v>
      </c>
      <c r="C597">
        <v>3</v>
      </c>
      <c r="D597">
        <v>2.2229999999999999</v>
      </c>
      <c r="E597">
        <v>46.683</v>
      </c>
      <c r="F597" s="1">
        <v>43525</v>
      </c>
      <c r="G597" s="2">
        <v>0.47916666666666669</v>
      </c>
      <c r="H597" t="s">
        <v>33</v>
      </c>
      <c r="I597">
        <v>44.46</v>
      </c>
      <c r="J597">
        <v>4.7619047620000003</v>
      </c>
      <c r="K597">
        <v>2.2229999999999999</v>
      </c>
      <c r="L597">
        <v>8.6999999999999993</v>
      </c>
    </row>
    <row r="598" spans="1:12" x14ac:dyDescent="0.25">
      <c r="A598" t="s">
        <v>632</v>
      </c>
      <c r="B598">
        <v>52.2</v>
      </c>
      <c r="C598">
        <v>3</v>
      </c>
      <c r="D598">
        <v>7.83</v>
      </c>
      <c r="E598">
        <v>164.43</v>
      </c>
      <c r="F598" s="1">
        <v>43511</v>
      </c>
      <c r="G598" s="2">
        <v>0.5625</v>
      </c>
      <c r="H598" t="s">
        <v>33</v>
      </c>
      <c r="I598">
        <v>156.6</v>
      </c>
      <c r="J598">
        <v>4.7619047620000003</v>
      </c>
      <c r="K598">
        <v>7.83</v>
      </c>
      <c r="L598">
        <v>9.5</v>
      </c>
    </row>
    <row r="599" spans="1:12" x14ac:dyDescent="0.25">
      <c r="A599" t="s">
        <v>633</v>
      </c>
      <c r="B599">
        <v>46.66</v>
      </c>
      <c r="C599">
        <v>9</v>
      </c>
      <c r="D599">
        <v>20.997</v>
      </c>
      <c r="E599">
        <v>440.93700000000001</v>
      </c>
      <c r="F599" s="1">
        <v>43513</v>
      </c>
      <c r="G599" s="2">
        <v>0.7993055555555556</v>
      </c>
      <c r="H599" t="s">
        <v>23</v>
      </c>
      <c r="I599">
        <v>419.94</v>
      </c>
      <c r="J599">
        <v>4.7619047620000003</v>
      </c>
      <c r="K599">
        <v>20.997</v>
      </c>
      <c r="L599">
        <v>5.3</v>
      </c>
    </row>
    <row r="600" spans="1:12" x14ac:dyDescent="0.25">
      <c r="A600" t="s">
        <v>634</v>
      </c>
      <c r="B600">
        <v>36.85</v>
      </c>
      <c r="C600">
        <v>5</v>
      </c>
      <c r="D600">
        <v>9.2125000000000004</v>
      </c>
      <c r="E600">
        <v>193.46250000000001</v>
      </c>
      <c r="F600" s="1">
        <v>43491</v>
      </c>
      <c r="G600" s="2">
        <v>0.78680555555555554</v>
      </c>
      <c r="H600" t="s">
        <v>29</v>
      </c>
      <c r="I600">
        <v>184.25</v>
      </c>
      <c r="J600">
        <v>4.7619047620000003</v>
      </c>
      <c r="K600">
        <v>9.2125000000000004</v>
      </c>
      <c r="L600">
        <v>9.1999999999999993</v>
      </c>
    </row>
    <row r="601" spans="1:12" x14ac:dyDescent="0.25">
      <c r="A601" t="s">
        <v>635</v>
      </c>
      <c r="B601">
        <v>70.319999999999993</v>
      </c>
      <c r="C601">
        <v>2</v>
      </c>
      <c r="D601">
        <v>7.032</v>
      </c>
      <c r="E601">
        <v>147.672</v>
      </c>
      <c r="F601" s="1">
        <v>43548</v>
      </c>
      <c r="G601" s="2">
        <v>0.59861111111111109</v>
      </c>
      <c r="H601" t="s">
        <v>23</v>
      </c>
      <c r="I601">
        <v>140.63999999999999</v>
      </c>
      <c r="J601">
        <v>4.7619047620000003</v>
      </c>
      <c r="K601">
        <v>7.032</v>
      </c>
      <c r="L601">
        <v>9.6</v>
      </c>
    </row>
    <row r="602" spans="1:12" x14ac:dyDescent="0.25">
      <c r="A602" t="s">
        <v>636</v>
      </c>
      <c r="B602">
        <v>83.08</v>
      </c>
      <c r="C602">
        <v>1</v>
      </c>
      <c r="D602">
        <v>4.1539999999999999</v>
      </c>
      <c r="E602">
        <v>87.233999999999995</v>
      </c>
      <c r="F602" s="1">
        <v>43488</v>
      </c>
      <c r="G602" s="2">
        <v>0.71944444444444444</v>
      </c>
      <c r="H602" t="s">
        <v>23</v>
      </c>
      <c r="I602">
        <v>83.08</v>
      </c>
      <c r="J602">
        <v>4.7619047620000003</v>
      </c>
      <c r="K602">
        <v>4.1539999999999999</v>
      </c>
      <c r="L602">
        <v>6.4</v>
      </c>
    </row>
    <row r="603" spans="1:12" x14ac:dyDescent="0.25">
      <c r="A603" t="s">
        <v>637</v>
      </c>
      <c r="B603">
        <v>64.989999999999995</v>
      </c>
      <c r="C603">
        <v>1</v>
      </c>
      <c r="D603">
        <v>3.2494999999999998</v>
      </c>
      <c r="E603">
        <v>68.239500000000007</v>
      </c>
      <c r="F603" s="1">
        <v>43491</v>
      </c>
      <c r="G603" s="2">
        <v>0.42083333333333334</v>
      </c>
      <c r="H603" t="s">
        <v>33</v>
      </c>
      <c r="I603">
        <v>64.989999999999995</v>
      </c>
      <c r="J603">
        <v>4.7619047620000003</v>
      </c>
      <c r="K603">
        <v>3.2494999999999998</v>
      </c>
      <c r="L603">
        <v>4.5</v>
      </c>
    </row>
    <row r="604" spans="1:12" x14ac:dyDescent="0.25">
      <c r="A604" t="s">
        <v>638</v>
      </c>
      <c r="B604">
        <v>77.56</v>
      </c>
      <c r="C604">
        <v>10</v>
      </c>
      <c r="D604">
        <v>38.78</v>
      </c>
      <c r="E604">
        <v>814.38</v>
      </c>
      <c r="F604" s="1">
        <v>43538</v>
      </c>
      <c r="G604" s="2">
        <v>0.85763888888888884</v>
      </c>
      <c r="H604" t="s">
        <v>23</v>
      </c>
      <c r="I604">
        <v>775.6</v>
      </c>
      <c r="J604">
        <v>4.7619047620000003</v>
      </c>
      <c r="K604">
        <v>38.78</v>
      </c>
      <c r="L604">
        <v>6.9</v>
      </c>
    </row>
    <row r="605" spans="1:12" x14ac:dyDescent="0.25">
      <c r="A605" t="s">
        <v>639</v>
      </c>
      <c r="B605">
        <v>54.51</v>
      </c>
      <c r="C605">
        <v>6</v>
      </c>
      <c r="D605">
        <v>16.353000000000002</v>
      </c>
      <c r="E605">
        <v>343.41300000000001</v>
      </c>
      <c r="F605" s="1">
        <v>43541</v>
      </c>
      <c r="G605" s="2">
        <v>0.57916666666666672</v>
      </c>
      <c r="H605" t="s">
        <v>23</v>
      </c>
      <c r="I605">
        <v>327.06</v>
      </c>
      <c r="J605">
        <v>4.7619047620000003</v>
      </c>
      <c r="K605">
        <v>16.353000000000002</v>
      </c>
      <c r="L605">
        <v>7.8</v>
      </c>
    </row>
    <row r="606" spans="1:12" x14ac:dyDescent="0.25">
      <c r="A606" t="s">
        <v>640</v>
      </c>
      <c r="B606">
        <v>51.89</v>
      </c>
      <c r="C606">
        <v>7</v>
      </c>
      <c r="D606">
        <v>18.1615</v>
      </c>
      <c r="E606">
        <v>381.39150000000001</v>
      </c>
      <c r="F606" s="1">
        <v>43473</v>
      </c>
      <c r="G606" s="2">
        <v>0.83888888888888891</v>
      </c>
      <c r="H606" t="s">
        <v>29</v>
      </c>
      <c r="I606">
        <v>363.23</v>
      </c>
      <c r="J606">
        <v>4.7619047620000003</v>
      </c>
      <c r="K606">
        <v>18.1615</v>
      </c>
      <c r="L606">
        <v>4.5</v>
      </c>
    </row>
    <row r="607" spans="1:12" x14ac:dyDescent="0.25">
      <c r="A607" t="s">
        <v>641</v>
      </c>
      <c r="B607">
        <v>31.75</v>
      </c>
      <c r="C607">
        <v>4</v>
      </c>
      <c r="D607">
        <v>6.35</v>
      </c>
      <c r="E607">
        <v>133.35</v>
      </c>
      <c r="F607" s="1">
        <v>43504</v>
      </c>
      <c r="G607" s="2">
        <v>0.6430555555555556</v>
      </c>
      <c r="H607" t="s">
        <v>29</v>
      </c>
      <c r="I607">
        <v>127</v>
      </c>
      <c r="J607">
        <v>4.7619047620000003</v>
      </c>
      <c r="K607">
        <v>6.35</v>
      </c>
      <c r="L607">
        <v>8.6</v>
      </c>
    </row>
    <row r="608" spans="1:12" x14ac:dyDescent="0.25">
      <c r="A608" t="s">
        <v>642</v>
      </c>
      <c r="B608">
        <v>53.65</v>
      </c>
      <c r="C608">
        <v>7</v>
      </c>
      <c r="D608">
        <v>18.7775</v>
      </c>
      <c r="E608">
        <v>394.32749999999999</v>
      </c>
      <c r="F608" s="1">
        <v>43506</v>
      </c>
      <c r="G608" s="2">
        <v>0.53888888888888886</v>
      </c>
      <c r="H608" t="s">
        <v>23</v>
      </c>
      <c r="I608">
        <v>375.55</v>
      </c>
      <c r="J608">
        <v>4.7619047620000003</v>
      </c>
      <c r="K608">
        <v>18.7775</v>
      </c>
      <c r="L608">
        <v>5.2</v>
      </c>
    </row>
    <row r="609" spans="1:12" x14ac:dyDescent="0.25">
      <c r="A609" t="s">
        <v>643</v>
      </c>
      <c r="B609">
        <v>49.79</v>
      </c>
      <c r="C609">
        <v>4</v>
      </c>
      <c r="D609">
        <v>9.9580000000000002</v>
      </c>
      <c r="E609">
        <v>209.11799999999999</v>
      </c>
      <c r="F609" s="1">
        <v>43552</v>
      </c>
      <c r="G609" s="2">
        <v>0.8027777777777777</v>
      </c>
      <c r="H609" t="s">
        <v>33</v>
      </c>
      <c r="I609">
        <v>199.16</v>
      </c>
      <c r="J609">
        <v>4.7619047620000003</v>
      </c>
      <c r="K609">
        <v>9.9580000000000002</v>
      </c>
      <c r="L609">
        <v>6.4</v>
      </c>
    </row>
    <row r="610" spans="1:12" x14ac:dyDescent="0.25">
      <c r="A610" t="s">
        <v>644</v>
      </c>
      <c r="B610">
        <v>30.61</v>
      </c>
      <c r="C610">
        <v>1</v>
      </c>
      <c r="D610">
        <v>1.5305</v>
      </c>
      <c r="E610">
        <v>32.140500000000003</v>
      </c>
      <c r="F610" s="1">
        <v>43488</v>
      </c>
      <c r="G610" s="2">
        <v>0.51388888888888895</v>
      </c>
      <c r="H610" t="s">
        <v>23</v>
      </c>
      <c r="I610">
        <v>30.61</v>
      </c>
      <c r="J610">
        <v>4.7619047620000003</v>
      </c>
      <c r="K610">
        <v>1.5305</v>
      </c>
      <c r="L610">
        <v>5.2</v>
      </c>
    </row>
    <row r="611" spans="1:12" x14ac:dyDescent="0.25">
      <c r="A611" t="s">
        <v>645</v>
      </c>
      <c r="B611">
        <v>57.89</v>
      </c>
      <c r="C611">
        <v>2</v>
      </c>
      <c r="D611">
        <v>5.7889999999999997</v>
      </c>
      <c r="E611">
        <v>121.569</v>
      </c>
      <c r="F611" s="1">
        <v>43482</v>
      </c>
      <c r="G611" s="2">
        <v>0.44236111111111115</v>
      </c>
      <c r="H611" t="s">
        <v>23</v>
      </c>
      <c r="I611">
        <v>115.78</v>
      </c>
      <c r="J611">
        <v>4.7619047620000003</v>
      </c>
      <c r="K611">
        <v>5.7889999999999997</v>
      </c>
      <c r="L611">
        <v>8.9</v>
      </c>
    </row>
    <row r="612" spans="1:12" x14ac:dyDescent="0.25">
      <c r="A612" t="s">
        <v>646</v>
      </c>
      <c r="B612">
        <v>28.96</v>
      </c>
      <c r="C612">
        <v>1</v>
      </c>
      <c r="D612">
        <v>1.448</v>
      </c>
      <c r="E612">
        <v>30.408000000000001</v>
      </c>
      <c r="F612" s="1">
        <v>43503</v>
      </c>
      <c r="G612" s="2">
        <v>0.4291666666666667</v>
      </c>
      <c r="H612" t="s">
        <v>33</v>
      </c>
      <c r="I612">
        <v>28.96</v>
      </c>
      <c r="J612">
        <v>4.7619047620000003</v>
      </c>
      <c r="K612">
        <v>1.448</v>
      </c>
      <c r="L612">
        <v>6.2</v>
      </c>
    </row>
    <row r="613" spans="1:12" x14ac:dyDescent="0.25">
      <c r="A613" t="s">
        <v>647</v>
      </c>
      <c r="B613">
        <v>98.97</v>
      </c>
      <c r="C613">
        <v>9</v>
      </c>
      <c r="D613">
        <v>44.536499999999997</v>
      </c>
      <c r="E613">
        <v>935.26649999999995</v>
      </c>
      <c r="F613" s="1">
        <v>43533</v>
      </c>
      <c r="G613" s="2">
        <v>0.47430555555555554</v>
      </c>
      <c r="H613" t="s">
        <v>29</v>
      </c>
      <c r="I613">
        <v>890.73</v>
      </c>
      <c r="J613">
        <v>4.7619047620000003</v>
      </c>
      <c r="K613">
        <v>44.536499999999997</v>
      </c>
      <c r="L613">
        <v>6.7</v>
      </c>
    </row>
    <row r="614" spans="1:12" x14ac:dyDescent="0.25">
      <c r="A614" t="s">
        <v>648</v>
      </c>
      <c r="B614">
        <v>93.22</v>
      </c>
      <c r="C614">
        <v>3</v>
      </c>
      <c r="D614">
        <v>13.983000000000001</v>
      </c>
      <c r="E614">
        <v>293.64299999999997</v>
      </c>
      <c r="F614" s="1">
        <v>43489</v>
      </c>
      <c r="G614" s="2">
        <v>0.48958333333333331</v>
      </c>
      <c r="H614" t="s">
        <v>29</v>
      </c>
      <c r="I614">
        <v>279.66000000000003</v>
      </c>
      <c r="J614">
        <v>4.7619047620000003</v>
      </c>
      <c r="K614">
        <v>13.983000000000001</v>
      </c>
      <c r="L614">
        <v>7.2</v>
      </c>
    </row>
    <row r="615" spans="1:12" x14ac:dyDescent="0.25">
      <c r="A615" t="s">
        <v>649</v>
      </c>
      <c r="B615">
        <v>80.930000000000007</v>
      </c>
      <c r="C615">
        <v>1</v>
      </c>
      <c r="D615">
        <v>4.0465</v>
      </c>
      <c r="E615">
        <v>84.976500000000001</v>
      </c>
      <c r="F615" s="1">
        <v>43484</v>
      </c>
      <c r="G615" s="2">
        <v>0.67222222222222217</v>
      </c>
      <c r="H615" t="s">
        <v>33</v>
      </c>
      <c r="I615">
        <v>80.930000000000007</v>
      </c>
      <c r="J615">
        <v>4.7619047620000003</v>
      </c>
      <c r="K615">
        <v>4.0465</v>
      </c>
      <c r="L615">
        <v>9</v>
      </c>
    </row>
    <row r="616" spans="1:12" x14ac:dyDescent="0.25">
      <c r="A616" t="s">
        <v>650</v>
      </c>
      <c r="B616">
        <v>67.45</v>
      </c>
      <c r="C616">
        <v>10</v>
      </c>
      <c r="D616">
        <v>33.725000000000001</v>
      </c>
      <c r="E616">
        <v>708.22500000000002</v>
      </c>
      <c r="F616" s="1">
        <v>43499</v>
      </c>
      <c r="G616" s="2">
        <v>0.47569444444444442</v>
      </c>
      <c r="H616" t="s">
        <v>23</v>
      </c>
      <c r="I616">
        <v>674.5</v>
      </c>
      <c r="J616">
        <v>4.7619047620000003</v>
      </c>
      <c r="K616">
        <v>33.725000000000001</v>
      </c>
      <c r="L616">
        <v>4.2</v>
      </c>
    </row>
    <row r="617" spans="1:12" x14ac:dyDescent="0.25">
      <c r="A617" t="s">
        <v>651</v>
      </c>
      <c r="B617">
        <v>38.72</v>
      </c>
      <c r="C617">
        <v>9</v>
      </c>
      <c r="D617">
        <v>17.423999999999999</v>
      </c>
      <c r="E617">
        <v>365.904</v>
      </c>
      <c r="F617" s="1">
        <v>43544</v>
      </c>
      <c r="G617" s="2">
        <v>0.51666666666666672</v>
      </c>
      <c r="H617" t="s">
        <v>23</v>
      </c>
      <c r="I617">
        <v>348.48</v>
      </c>
      <c r="J617">
        <v>4.7619047620000003</v>
      </c>
      <c r="K617">
        <v>17.423999999999999</v>
      </c>
      <c r="L617">
        <v>4.2</v>
      </c>
    </row>
    <row r="618" spans="1:12" x14ac:dyDescent="0.25">
      <c r="A618" t="s">
        <v>652</v>
      </c>
      <c r="B618">
        <v>72.599999999999994</v>
      </c>
      <c r="C618">
        <v>6</v>
      </c>
      <c r="D618">
        <v>21.78</v>
      </c>
      <c r="E618">
        <v>457.38</v>
      </c>
      <c r="F618" s="1">
        <v>43478</v>
      </c>
      <c r="G618" s="2">
        <v>0.82708333333333339</v>
      </c>
      <c r="H618" t="s">
        <v>29</v>
      </c>
      <c r="I618">
        <v>435.6</v>
      </c>
      <c r="J618">
        <v>4.7619047620000003</v>
      </c>
      <c r="K618">
        <v>21.78</v>
      </c>
      <c r="L618">
        <v>6.9</v>
      </c>
    </row>
    <row r="619" spans="1:12" x14ac:dyDescent="0.25">
      <c r="A619" t="s">
        <v>653</v>
      </c>
      <c r="B619">
        <v>87.91</v>
      </c>
      <c r="C619">
        <v>5</v>
      </c>
      <c r="D619">
        <v>21.977499999999999</v>
      </c>
      <c r="E619">
        <v>461.52749999999997</v>
      </c>
      <c r="F619" s="1">
        <v>43538</v>
      </c>
      <c r="G619" s="2">
        <v>0.75694444444444453</v>
      </c>
      <c r="H619" t="s">
        <v>23</v>
      </c>
      <c r="I619">
        <v>439.55</v>
      </c>
      <c r="J619">
        <v>4.7619047620000003</v>
      </c>
      <c r="K619">
        <v>21.977499999999999</v>
      </c>
      <c r="L619">
        <v>4.4000000000000004</v>
      </c>
    </row>
    <row r="620" spans="1:12" x14ac:dyDescent="0.25">
      <c r="A620" t="s">
        <v>654</v>
      </c>
      <c r="B620">
        <v>98.53</v>
      </c>
      <c r="C620">
        <v>6</v>
      </c>
      <c r="D620">
        <v>29.559000000000001</v>
      </c>
      <c r="E620">
        <v>620.73900000000003</v>
      </c>
      <c r="F620" s="1">
        <v>43488</v>
      </c>
      <c r="G620" s="2">
        <v>0.47361111111111115</v>
      </c>
      <c r="H620" t="s">
        <v>33</v>
      </c>
      <c r="I620">
        <v>591.17999999999995</v>
      </c>
      <c r="J620">
        <v>4.7619047620000003</v>
      </c>
      <c r="K620">
        <v>29.559000000000001</v>
      </c>
      <c r="L620">
        <v>4</v>
      </c>
    </row>
    <row r="621" spans="1:12" x14ac:dyDescent="0.25">
      <c r="A621" t="s">
        <v>655</v>
      </c>
      <c r="B621">
        <v>43.46</v>
      </c>
      <c r="C621">
        <v>6</v>
      </c>
      <c r="D621">
        <v>13.038</v>
      </c>
      <c r="E621">
        <v>273.798</v>
      </c>
      <c r="F621" s="1">
        <v>43503</v>
      </c>
      <c r="G621" s="2">
        <v>0.74652777777777779</v>
      </c>
      <c r="H621" t="s">
        <v>23</v>
      </c>
      <c r="I621">
        <v>260.76</v>
      </c>
      <c r="J621">
        <v>4.7619047620000003</v>
      </c>
      <c r="K621">
        <v>13.038</v>
      </c>
      <c r="L621">
        <v>8.5</v>
      </c>
    </row>
    <row r="622" spans="1:12" x14ac:dyDescent="0.25">
      <c r="A622" t="s">
        <v>656</v>
      </c>
      <c r="B622">
        <v>71.680000000000007</v>
      </c>
      <c r="C622">
        <v>3</v>
      </c>
      <c r="D622">
        <v>10.752000000000001</v>
      </c>
      <c r="E622">
        <v>225.792</v>
      </c>
      <c r="F622" s="1">
        <v>43552</v>
      </c>
      <c r="G622" s="2">
        <v>0.64583333333333337</v>
      </c>
      <c r="H622" t="s">
        <v>33</v>
      </c>
      <c r="I622">
        <v>215.04</v>
      </c>
      <c r="J622">
        <v>4.7619047620000003</v>
      </c>
      <c r="K622">
        <v>10.752000000000001</v>
      </c>
      <c r="L622">
        <v>9.1999999999999993</v>
      </c>
    </row>
    <row r="623" spans="1:12" x14ac:dyDescent="0.25">
      <c r="A623" t="s">
        <v>657</v>
      </c>
      <c r="B623">
        <v>91.61</v>
      </c>
      <c r="C623">
        <v>1</v>
      </c>
      <c r="D623">
        <v>4.5804999999999998</v>
      </c>
      <c r="E623">
        <v>96.1905</v>
      </c>
      <c r="F623" s="1">
        <v>43544</v>
      </c>
      <c r="G623" s="2">
        <v>0.8222222222222223</v>
      </c>
      <c r="H623" t="s">
        <v>29</v>
      </c>
      <c r="I623">
        <v>91.61</v>
      </c>
      <c r="J623">
        <v>4.7619047620000003</v>
      </c>
      <c r="K623">
        <v>4.5804999999999998</v>
      </c>
      <c r="L623">
        <v>9.8000000000000007</v>
      </c>
    </row>
    <row r="624" spans="1:12" x14ac:dyDescent="0.25">
      <c r="A624" t="s">
        <v>658</v>
      </c>
      <c r="B624">
        <v>94.59</v>
      </c>
      <c r="C624">
        <v>7</v>
      </c>
      <c r="D624">
        <v>33.106499999999997</v>
      </c>
      <c r="E624">
        <v>695.23649999999998</v>
      </c>
      <c r="F624" s="1">
        <v>43482</v>
      </c>
      <c r="G624" s="2">
        <v>0.64374999999999993</v>
      </c>
      <c r="H624" t="s">
        <v>33</v>
      </c>
      <c r="I624">
        <v>662.13</v>
      </c>
      <c r="J624">
        <v>4.7619047620000003</v>
      </c>
      <c r="K624">
        <v>33.106499999999997</v>
      </c>
      <c r="L624">
        <v>4.9000000000000004</v>
      </c>
    </row>
    <row r="625" spans="1:12" x14ac:dyDescent="0.25">
      <c r="A625" t="s">
        <v>659</v>
      </c>
      <c r="B625">
        <v>83.25</v>
      </c>
      <c r="C625">
        <v>10</v>
      </c>
      <c r="D625">
        <v>41.625</v>
      </c>
      <c r="E625">
        <v>874.125</v>
      </c>
      <c r="F625" s="1">
        <v>43477</v>
      </c>
      <c r="G625" s="2">
        <v>0.47569444444444442</v>
      </c>
      <c r="H625" t="s">
        <v>33</v>
      </c>
      <c r="I625">
        <v>832.5</v>
      </c>
      <c r="J625">
        <v>4.7619047620000003</v>
      </c>
      <c r="K625">
        <v>41.625</v>
      </c>
      <c r="L625">
        <v>4.4000000000000004</v>
      </c>
    </row>
    <row r="626" spans="1:12" x14ac:dyDescent="0.25">
      <c r="A626" t="s">
        <v>660</v>
      </c>
      <c r="B626">
        <v>91.35</v>
      </c>
      <c r="C626">
        <v>1</v>
      </c>
      <c r="D626">
        <v>4.5674999999999999</v>
      </c>
      <c r="E626">
        <v>95.917500000000004</v>
      </c>
      <c r="F626" s="1">
        <v>43512</v>
      </c>
      <c r="G626" s="2">
        <v>0.65416666666666667</v>
      </c>
      <c r="H626" t="s">
        <v>29</v>
      </c>
      <c r="I626">
        <v>91.35</v>
      </c>
      <c r="J626">
        <v>4.7619047620000003</v>
      </c>
      <c r="K626">
        <v>4.5674999999999999</v>
      </c>
      <c r="L626">
        <v>6.8</v>
      </c>
    </row>
    <row r="627" spans="1:12" x14ac:dyDescent="0.25">
      <c r="A627" t="s">
        <v>661</v>
      </c>
      <c r="B627">
        <v>78.88</v>
      </c>
      <c r="C627">
        <v>2</v>
      </c>
      <c r="D627">
        <v>7.8879999999999999</v>
      </c>
      <c r="E627">
        <v>165.648</v>
      </c>
      <c r="F627" s="1">
        <v>43491</v>
      </c>
      <c r="G627" s="2">
        <v>0.6694444444444444</v>
      </c>
      <c r="H627" t="s">
        <v>29</v>
      </c>
      <c r="I627">
        <v>157.76</v>
      </c>
      <c r="J627">
        <v>4.7619047620000003</v>
      </c>
      <c r="K627">
        <v>7.8879999999999999</v>
      </c>
      <c r="L627">
        <v>9.1</v>
      </c>
    </row>
    <row r="628" spans="1:12" x14ac:dyDescent="0.25">
      <c r="A628" t="s">
        <v>662</v>
      </c>
      <c r="B628">
        <v>60.87</v>
      </c>
      <c r="C628">
        <v>2</v>
      </c>
      <c r="D628">
        <v>6.0869999999999997</v>
      </c>
      <c r="E628">
        <v>127.827</v>
      </c>
      <c r="F628" s="1">
        <v>43533</v>
      </c>
      <c r="G628" s="2">
        <v>0.52569444444444446</v>
      </c>
      <c r="H628" t="s">
        <v>23</v>
      </c>
      <c r="I628">
        <v>121.74</v>
      </c>
      <c r="J628">
        <v>4.7619047620000003</v>
      </c>
      <c r="K628">
        <v>6.0869999999999997</v>
      </c>
      <c r="L628">
        <v>8.6999999999999993</v>
      </c>
    </row>
    <row r="629" spans="1:12" x14ac:dyDescent="0.25">
      <c r="A629" t="s">
        <v>663</v>
      </c>
      <c r="B629">
        <v>82.58</v>
      </c>
      <c r="C629">
        <v>10</v>
      </c>
      <c r="D629">
        <v>41.29</v>
      </c>
      <c r="E629">
        <v>867.09</v>
      </c>
      <c r="F629" s="1">
        <v>43538</v>
      </c>
      <c r="G629" s="2">
        <v>0.6118055555555556</v>
      </c>
      <c r="H629" t="s">
        <v>29</v>
      </c>
      <c r="I629">
        <v>825.8</v>
      </c>
      <c r="J629">
        <v>4.7619047620000003</v>
      </c>
      <c r="K629">
        <v>41.29</v>
      </c>
      <c r="L629">
        <v>5</v>
      </c>
    </row>
    <row r="630" spans="1:12" x14ac:dyDescent="0.25">
      <c r="A630" t="s">
        <v>664</v>
      </c>
      <c r="B630">
        <v>53.3</v>
      </c>
      <c r="C630">
        <v>3</v>
      </c>
      <c r="D630">
        <v>7.9950000000000001</v>
      </c>
      <c r="E630">
        <v>167.89500000000001</v>
      </c>
      <c r="F630" s="1">
        <v>43490</v>
      </c>
      <c r="G630" s="2">
        <v>0.59652777777777777</v>
      </c>
      <c r="H630" t="s">
        <v>23</v>
      </c>
      <c r="I630">
        <v>159.9</v>
      </c>
      <c r="J630">
        <v>4.7619047620000003</v>
      </c>
      <c r="K630">
        <v>7.9950000000000001</v>
      </c>
      <c r="L630">
        <v>7.5</v>
      </c>
    </row>
    <row r="631" spans="1:12" x14ac:dyDescent="0.25">
      <c r="A631" t="s">
        <v>665</v>
      </c>
      <c r="B631">
        <v>12.09</v>
      </c>
      <c r="C631">
        <v>1</v>
      </c>
      <c r="D631">
        <v>0.60450000000000004</v>
      </c>
      <c r="E631">
        <v>12.6945</v>
      </c>
      <c r="F631" s="1">
        <v>43491</v>
      </c>
      <c r="G631" s="2">
        <v>0.7631944444444444</v>
      </c>
      <c r="H631" t="s">
        <v>33</v>
      </c>
      <c r="I631">
        <v>12.09</v>
      </c>
      <c r="J631">
        <v>4.7619047620000003</v>
      </c>
      <c r="K631">
        <v>0.60450000000000004</v>
      </c>
      <c r="L631">
        <v>8.1999999999999993</v>
      </c>
    </row>
    <row r="632" spans="1:12" x14ac:dyDescent="0.25">
      <c r="A632" t="s">
        <v>666</v>
      </c>
      <c r="B632">
        <v>64.19</v>
      </c>
      <c r="C632">
        <v>10</v>
      </c>
      <c r="D632">
        <v>32.094999999999999</v>
      </c>
      <c r="E632">
        <v>673.995</v>
      </c>
      <c r="F632" s="1">
        <v>43484</v>
      </c>
      <c r="G632" s="2">
        <v>0.58888888888888891</v>
      </c>
      <c r="H632" t="s">
        <v>33</v>
      </c>
      <c r="I632">
        <v>641.9</v>
      </c>
      <c r="J632">
        <v>4.7619047620000003</v>
      </c>
      <c r="K632">
        <v>32.094999999999999</v>
      </c>
      <c r="L632">
        <v>6.7</v>
      </c>
    </row>
    <row r="633" spans="1:12" x14ac:dyDescent="0.25">
      <c r="A633" t="s">
        <v>667</v>
      </c>
      <c r="B633">
        <v>78.31</v>
      </c>
      <c r="C633">
        <v>3</v>
      </c>
      <c r="D633">
        <v>11.746499999999999</v>
      </c>
      <c r="E633">
        <v>246.6765</v>
      </c>
      <c r="F633" s="1">
        <v>43529</v>
      </c>
      <c r="G633" s="2">
        <v>0.69305555555555554</v>
      </c>
      <c r="H633" t="s">
        <v>23</v>
      </c>
      <c r="I633">
        <v>234.93</v>
      </c>
      <c r="J633">
        <v>4.7619047620000003</v>
      </c>
      <c r="K633">
        <v>11.746499999999999</v>
      </c>
      <c r="L633">
        <v>5.4</v>
      </c>
    </row>
    <row r="634" spans="1:12" x14ac:dyDescent="0.25">
      <c r="A634" t="s">
        <v>668</v>
      </c>
      <c r="B634">
        <v>83.77</v>
      </c>
      <c r="C634">
        <v>2</v>
      </c>
      <c r="D634">
        <v>8.3770000000000007</v>
      </c>
      <c r="E634">
        <v>175.917</v>
      </c>
      <c r="F634" s="1">
        <v>43480</v>
      </c>
      <c r="G634" s="2">
        <v>0.45416666666666666</v>
      </c>
      <c r="H634" t="s">
        <v>33</v>
      </c>
      <c r="I634">
        <v>167.54</v>
      </c>
      <c r="J634">
        <v>4.7619047620000003</v>
      </c>
      <c r="K634">
        <v>8.3770000000000007</v>
      </c>
      <c r="L634">
        <v>7</v>
      </c>
    </row>
    <row r="635" spans="1:12" x14ac:dyDescent="0.25">
      <c r="A635" t="s">
        <v>669</v>
      </c>
      <c r="B635">
        <v>99.7</v>
      </c>
      <c r="C635">
        <v>3</v>
      </c>
      <c r="D635">
        <v>14.955</v>
      </c>
      <c r="E635">
        <v>314.05500000000001</v>
      </c>
      <c r="F635" s="1">
        <v>43542</v>
      </c>
      <c r="G635" s="2">
        <v>0.47847222222222219</v>
      </c>
      <c r="H635" t="s">
        <v>23</v>
      </c>
      <c r="I635">
        <v>299.10000000000002</v>
      </c>
      <c r="J635">
        <v>4.7619047620000003</v>
      </c>
      <c r="K635">
        <v>14.955</v>
      </c>
      <c r="L635">
        <v>4.7</v>
      </c>
    </row>
    <row r="636" spans="1:12" x14ac:dyDescent="0.25">
      <c r="A636" t="s">
        <v>670</v>
      </c>
      <c r="B636">
        <v>79.91</v>
      </c>
      <c r="C636">
        <v>3</v>
      </c>
      <c r="D636">
        <v>11.986499999999999</v>
      </c>
      <c r="E636">
        <v>251.7165</v>
      </c>
      <c r="F636" s="1">
        <v>43544</v>
      </c>
      <c r="G636" s="2">
        <v>0.81111111111111101</v>
      </c>
      <c r="H636" t="s">
        <v>33</v>
      </c>
      <c r="I636">
        <v>239.73</v>
      </c>
      <c r="J636">
        <v>4.7619047620000003</v>
      </c>
      <c r="K636">
        <v>11.986499999999999</v>
      </c>
      <c r="L636">
        <v>5</v>
      </c>
    </row>
    <row r="637" spans="1:12" x14ac:dyDescent="0.25">
      <c r="A637" t="s">
        <v>671</v>
      </c>
      <c r="B637">
        <v>66.47</v>
      </c>
      <c r="C637">
        <v>10</v>
      </c>
      <c r="D637">
        <v>33.234999999999999</v>
      </c>
      <c r="E637">
        <v>697.93499999999995</v>
      </c>
      <c r="F637" s="1">
        <v>43480</v>
      </c>
      <c r="G637" s="2">
        <v>0.62569444444444444</v>
      </c>
      <c r="H637" t="s">
        <v>33</v>
      </c>
      <c r="I637">
        <v>664.7</v>
      </c>
      <c r="J637">
        <v>4.7619047620000003</v>
      </c>
      <c r="K637">
        <v>33.234999999999999</v>
      </c>
      <c r="L637">
        <v>5</v>
      </c>
    </row>
    <row r="638" spans="1:12" x14ac:dyDescent="0.25">
      <c r="A638" t="s">
        <v>672</v>
      </c>
      <c r="B638">
        <v>28.95</v>
      </c>
      <c r="C638">
        <v>7</v>
      </c>
      <c r="D638">
        <v>10.1325</v>
      </c>
      <c r="E638">
        <v>212.7825</v>
      </c>
      <c r="F638" s="1">
        <v>43527</v>
      </c>
      <c r="G638" s="2">
        <v>0.85486111111111107</v>
      </c>
      <c r="H638" t="s">
        <v>33</v>
      </c>
      <c r="I638">
        <v>202.65</v>
      </c>
      <c r="J638">
        <v>4.7619047620000003</v>
      </c>
      <c r="K638">
        <v>10.1325</v>
      </c>
      <c r="L638">
        <v>6</v>
      </c>
    </row>
    <row r="639" spans="1:12" x14ac:dyDescent="0.25">
      <c r="A639" t="s">
        <v>673</v>
      </c>
      <c r="B639">
        <v>46.2</v>
      </c>
      <c r="C639">
        <v>1</v>
      </c>
      <c r="D639">
        <v>2.31</v>
      </c>
      <c r="E639">
        <v>48.51</v>
      </c>
      <c r="F639" s="1">
        <v>43543</v>
      </c>
      <c r="G639" s="2">
        <v>0.51111111111111118</v>
      </c>
      <c r="H639" t="s">
        <v>29</v>
      </c>
      <c r="I639">
        <v>46.2</v>
      </c>
      <c r="J639">
        <v>4.7619047620000003</v>
      </c>
      <c r="K639">
        <v>2.31</v>
      </c>
      <c r="L639">
        <v>6.3</v>
      </c>
    </row>
    <row r="640" spans="1:12" x14ac:dyDescent="0.25">
      <c r="A640" t="s">
        <v>674</v>
      </c>
      <c r="B640">
        <v>17.63</v>
      </c>
      <c r="C640">
        <v>5</v>
      </c>
      <c r="D640">
        <v>4.4074999999999998</v>
      </c>
      <c r="E640">
        <v>92.557500000000005</v>
      </c>
      <c r="F640" s="1">
        <v>43532</v>
      </c>
      <c r="G640" s="2">
        <v>0.64374999999999993</v>
      </c>
      <c r="H640" t="s">
        <v>29</v>
      </c>
      <c r="I640">
        <v>88.15</v>
      </c>
      <c r="J640">
        <v>4.7619047620000003</v>
      </c>
      <c r="K640">
        <v>4.4074999999999998</v>
      </c>
      <c r="L640">
        <v>8.5</v>
      </c>
    </row>
    <row r="641" spans="1:12" x14ac:dyDescent="0.25">
      <c r="A641" t="s">
        <v>675</v>
      </c>
      <c r="B641">
        <v>52.42</v>
      </c>
      <c r="C641">
        <v>3</v>
      </c>
      <c r="D641">
        <v>7.8630000000000004</v>
      </c>
      <c r="E641">
        <v>165.12299999999999</v>
      </c>
      <c r="F641" s="1">
        <v>43523</v>
      </c>
      <c r="G641" s="2">
        <v>0.73333333333333339</v>
      </c>
      <c r="H641" t="s">
        <v>23</v>
      </c>
      <c r="I641">
        <v>157.26</v>
      </c>
      <c r="J641">
        <v>4.7619047620000003</v>
      </c>
      <c r="K641">
        <v>7.8630000000000004</v>
      </c>
      <c r="L641">
        <v>7.5</v>
      </c>
    </row>
    <row r="642" spans="1:12" x14ac:dyDescent="0.25">
      <c r="A642" t="s">
        <v>676</v>
      </c>
      <c r="B642">
        <v>98.79</v>
      </c>
      <c r="C642">
        <v>3</v>
      </c>
      <c r="D642">
        <v>14.8185</v>
      </c>
      <c r="E642">
        <v>311.18849999999998</v>
      </c>
      <c r="F642" s="1">
        <v>43519</v>
      </c>
      <c r="G642" s="2">
        <v>0.83333333333333337</v>
      </c>
      <c r="H642" t="s">
        <v>23</v>
      </c>
      <c r="I642">
        <v>296.37</v>
      </c>
      <c r="J642">
        <v>4.7619047620000003</v>
      </c>
      <c r="K642">
        <v>14.8185</v>
      </c>
      <c r="L642">
        <v>6.4</v>
      </c>
    </row>
    <row r="643" spans="1:12" x14ac:dyDescent="0.25">
      <c r="A643" t="s">
        <v>677</v>
      </c>
      <c r="B643">
        <v>88.55</v>
      </c>
      <c r="C643">
        <v>8</v>
      </c>
      <c r="D643">
        <v>35.42</v>
      </c>
      <c r="E643">
        <v>743.82</v>
      </c>
      <c r="F643" s="1">
        <v>43543</v>
      </c>
      <c r="G643" s="2">
        <v>0.64513888888888882</v>
      </c>
      <c r="H643" t="s">
        <v>23</v>
      </c>
      <c r="I643">
        <v>708.4</v>
      </c>
      <c r="J643">
        <v>4.7619047620000003</v>
      </c>
      <c r="K643">
        <v>35.42</v>
      </c>
      <c r="L643">
        <v>4.7</v>
      </c>
    </row>
    <row r="644" spans="1:12" x14ac:dyDescent="0.25">
      <c r="A644" t="s">
        <v>678</v>
      </c>
      <c r="B644">
        <v>55.67</v>
      </c>
      <c r="C644">
        <v>2</v>
      </c>
      <c r="D644">
        <v>5.5670000000000002</v>
      </c>
      <c r="E644">
        <v>116.907</v>
      </c>
      <c r="F644" s="1">
        <v>43551</v>
      </c>
      <c r="G644" s="2">
        <v>0.63055555555555554</v>
      </c>
      <c r="H644" t="s">
        <v>23</v>
      </c>
      <c r="I644">
        <v>111.34</v>
      </c>
      <c r="J644">
        <v>4.7619047620000003</v>
      </c>
      <c r="K644">
        <v>5.5670000000000002</v>
      </c>
      <c r="L644">
        <v>6</v>
      </c>
    </row>
    <row r="645" spans="1:12" x14ac:dyDescent="0.25">
      <c r="A645" t="s">
        <v>679</v>
      </c>
      <c r="B645">
        <v>72.52</v>
      </c>
      <c r="C645">
        <v>8</v>
      </c>
      <c r="D645">
        <v>29.007999999999999</v>
      </c>
      <c r="E645">
        <v>609.16800000000001</v>
      </c>
      <c r="F645" s="1">
        <v>43554</v>
      </c>
      <c r="G645" s="2">
        <v>0.80972222222222223</v>
      </c>
      <c r="H645" t="s">
        <v>33</v>
      </c>
      <c r="I645">
        <v>580.16</v>
      </c>
      <c r="J645">
        <v>4.7619047620000003</v>
      </c>
      <c r="K645">
        <v>29.007999999999999</v>
      </c>
      <c r="L645">
        <v>4</v>
      </c>
    </row>
    <row r="646" spans="1:12" x14ac:dyDescent="0.25">
      <c r="A646" t="s">
        <v>680</v>
      </c>
      <c r="B646">
        <v>12.05</v>
      </c>
      <c r="C646">
        <v>5</v>
      </c>
      <c r="D646">
        <v>3.0125000000000002</v>
      </c>
      <c r="E646">
        <v>63.262500000000003</v>
      </c>
      <c r="F646" s="1">
        <v>43512</v>
      </c>
      <c r="G646" s="2">
        <v>0.66180555555555554</v>
      </c>
      <c r="H646" t="s">
        <v>23</v>
      </c>
      <c r="I646">
        <v>60.25</v>
      </c>
      <c r="J646">
        <v>4.7619047620000003</v>
      </c>
      <c r="K646">
        <v>3.0125000000000002</v>
      </c>
      <c r="L646">
        <v>5.5</v>
      </c>
    </row>
    <row r="647" spans="1:12" x14ac:dyDescent="0.25">
      <c r="A647" t="s">
        <v>681</v>
      </c>
      <c r="B647">
        <v>19.36</v>
      </c>
      <c r="C647">
        <v>9</v>
      </c>
      <c r="D647">
        <v>8.7119999999999997</v>
      </c>
      <c r="E647">
        <v>182.952</v>
      </c>
      <c r="F647" s="1">
        <v>43483</v>
      </c>
      <c r="G647" s="2">
        <v>0.77986111111111101</v>
      </c>
      <c r="H647" t="s">
        <v>23</v>
      </c>
      <c r="I647">
        <v>174.24</v>
      </c>
      <c r="J647">
        <v>4.7619047620000003</v>
      </c>
      <c r="K647">
        <v>8.7119999999999997</v>
      </c>
      <c r="L647">
        <v>8.6999999999999993</v>
      </c>
    </row>
    <row r="648" spans="1:12" x14ac:dyDescent="0.25">
      <c r="A648" t="s">
        <v>682</v>
      </c>
      <c r="B648">
        <v>70.209999999999994</v>
      </c>
      <c r="C648">
        <v>6</v>
      </c>
      <c r="D648">
        <v>21.062999999999999</v>
      </c>
      <c r="E648">
        <v>442.32299999999998</v>
      </c>
      <c r="F648" s="1">
        <v>43554</v>
      </c>
      <c r="G648" s="2">
        <v>0.62361111111111112</v>
      </c>
      <c r="H648" t="s">
        <v>29</v>
      </c>
      <c r="I648">
        <v>421.26</v>
      </c>
      <c r="J648">
        <v>4.7619047620000003</v>
      </c>
      <c r="K648">
        <v>21.062999999999999</v>
      </c>
      <c r="L648">
        <v>7.4</v>
      </c>
    </row>
    <row r="649" spans="1:12" x14ac:dyDescent="0.25">
      <c r="A649" t="s">
        <v>683</v>
      </c>
      <c r="B649">
        <v>33.630000000000003</v>
      </c>
      <c r="C649">
        <v>1</v>
      </c>
      <c r="D649">
        <v>1.6815</v>
      </c>
      <c r="E649">
        <v>35.311500000000002</v>
      </c>
      <c r="F649" s="1">
        <v>43544</v>
      </c>
      <c r="G649" s="2">
        <v>0.82986111111111116</v>
      </c>
      <c r="H649" t="s">
        <v>29</v>
      </c>
      <c r="I649">
        <v>33.630000000000003</v>
      </c>
      <c r="J649">
        <v>4.7619047620000003</v>
      </c>
      <c r="K649">
        <v>1.6815</v>
      </c>
      <c r="L649">
        <v>5.6</v>
      </c>
    </row>
    <row r="650" spans="1:12" x14ac:dyDescent="0.25">
      <c r="A650" t="s">
        <v>684</v>
      </c>
      <c r="B650">
        <v>15.49</v>
      </c>
      <c r="C650">
        <v>2</v>
      </c>
      <c r="D650">
        <v>1.5489999999999999</v>
      </c>
      <c r="E650">
        <v>32.529000000000003</v>
      </c>
      <c r="F650" s="1">
        <v>43481</v>
      </c>
      <c r="G650" s="2">
        <v>0.63194444444444442</v>
      </c>
      <c r="H650" t="s">
        <v>29</v>
      </c>
      <c r="I650">
        <v>30.98</v>
      </c>
      <c r="J650">
        <v>4.7619047620000003</v>
      </c>
      <c r="K650">
        <v>1.5489999999999999</v>
      </c>
      <c r="L650">
        <v>6.3</v>
      </c>
    </row>
    <row r="651" spans="1:12" x14ac:dyDescent="0.25">
      <c r="A651" t="s">
        <v>685</v>
      </c>
      <c r="B651">
        <v>24.74</v>
      </c>
      <c r="C651">
        <v>10</v>
      </c>
      <c r="D651">
        <v>12.37</v>
      </c>
      <c r="E651">
        <v>259.77</v>
      </c>
      <c r="F651" s="1">
        <v>43520</v>
      </c>
      <c r="G651" s="2">
        <v>0.6972222222222223</v>
      </c>
      <c r="H651" t="s">
        <v>29</v>
      </c>
      <c r="I651">
        <v>247.4</v>
      </c>
      <c r="J651">
        <v>4.7619047620000003</v>
      </c>
      <c r="K651">
        <v>12.37</v>
      </c>
      <c r="L651">
        <v>7.1</v>
      </c>
    </row>
    <row r="652" spans="1:12" x14ac:dyDescent="0.25">
      <c r="A652" t="s">
        <v>686</v>
      </c>
      <c r="B652">
        <v>75.66</v>
      </c>
      <c r="C652">
        <v>5</v>
      </c>
      <c r="D652">
        <v>18.914999999999999</v>
      </c>
      <c r="E652">
        <v>397.21499999999997</v>
      </c>
      <c r="F652" s="1">
        <v>43480</v>
      </c>
      <c r="G652" s="2">
        <v>0.76527777777777783</v>
      </c>
      <c r="H652" t="s">
        <v>23</v>
      </c>
      <c r="I652">
        <v>378.3</v>
      </c>
      <c r="J652">
        <v>4.7619047620000003</v>
      </c>
      <c r="K652">
        <v>18.914999999999999</v>
      </c>
      <c r="L652">
        <v>7.8</v>
      </c>
    </row>
    <row r="653" spans="1:12" x14ac:dyDescent="0.25">
      <c r="A653" t="s">
        <v>687</v>
      </c>
      <c r="B653">
        <v>55.81</v>
      </c>
      <c r="C653">
        <v>6</v>
      </c>
      <c r="D653">
        <v>16.742999999999999</v>
      </c>
      <c r="E653">
        <v>351.60300000000001</v>
      </c>
      <c r="F653" s="1">
        <v>43487</v>
      </c>
      <c r="G653" s="2">
        <v>0.49444444444444446</v>
      </c>
      <c r="H653" t="s">
        <v>29</v>
      </c>
      <c r="I653">
        <v>334.86</v>
      </c>
      <c r="J653">
        <v>4.7619047620000003</v>
      </c>
      <c r="K653">
        <v>16.742999999999999</v>
      </c>
      <c r="L653">
        <v>9.9</v>
      </c>
    </row>
    <row r="654" spans="1:12" x14ac:dyDescent="0.25">
      <c r="A654" t="s">
        <v>688</v>
      </c>
      <c r="B654">
        <v>72.78</v>
      </c>
      <c r="C654">
        <v>10</v>
      </c>
      <c r="D654">
        <v>36.39</v>
      </c>
      <c r="E654">
        <v>764.19</v>
      </c>
      <c r="F654" s="1">
        <v>43499</v>
      </c>
      <c r="G654" s="2">
        <v>0.72499999999999998</v>
      </c>
      <c r="H654" t="s">
        <v>29</v>
      </c>
      <c r="I654">
        <v>727.8</v>
      </c>
      <c r="J654">
        <v>4.7619047620000003</v>
      </c>
      <c r="K654">
        <v>36.39</v>
      </c>
      <c r="L654">
        <v>7.3</v>
      </c>
    </row>
    <row r="655" spans="1:12" x14ac:dyDescent="0.25">
      <c r="A655" t="s">
        <v>689</v>
      </c>
      <c r="B655">
        <v>37.32</v>
      </c>
      <c r="C655">
        <v>9</v>
      </c>
      <c r="D655">
        <v>16.794</v>
      </c>
      <c r="E655">
        <v>352.67399999999998</v>
      </c>
      <c r="F655" s="1">
        <v>43530</v>
      </c>
      <c r="G655" s="2">
        <v>0.64652777777777781</v>
      </c>
      <c r="H655" t="s">
        <v>23</v>
      </c>
      <c r="I655">
        <v>335.88</v>
      </c>
      <c r="J655">
        <v>4.7619047620000003</v>
      </c>
      <c r="K655">
        <v>16.794</v>
      </c>
      <c r="L655">
        <v>5.0999999999999996</v>
      </c>
    </row>
    <row r="656" spans="1:12" x14ac:dyDescent="0.25">
      <c r="A656" t="s">
        <v>690</v>
      </c>
      <c r="B656">
        <v>60.18</v>
      </c>
      <c r="C656">
        <v>4</v>
      </c>
      <c r="D656">
        <v>12.036</v>
      </c>
      <c r="E656">
        <v>252.756</v>
      </c>
      <c r="F656" s="1">
        <v>43512</v>
      </c>
      <c r="G656" s="2">
        <v>0.75277777777777777</v>
      </c>
      <c r="H656" t="s">
        <v>33</v>
      </c>
      <c r="I656">
        <v>240.72</v>
      </c>
      <c r="J656">
        <v>4.7619047620000003</v>
      </c>
      <c r="K656">
        <v>12.036</v>
      </c>
      <c r="L656">
        <v>9.4</v>
      </c>
    </row>
    <row r="657" spans="1:12" x14ac:dyDescent="0.25">
      <c r="A657" t="s">
        <v>691</v>
      </c>
      <c r="B657">
        <v>15.69</v>
      </c>
      <c r="C657">
        <v>3</v>
      </c>
      <c r="D657">
        <v>2.3534999999999999</v>
      </c>
      <c r="E657">
        <v>49.423499999999997</v>
      </c>
      <c r="F657" s="1">
        <v>43538</v>
      </c>
      <c r="G657" s="2">
        <v>0.59236111111111112</v>
      </c>
      <c r="H657" t="s">
        <v>33</v>
      </c>
      <c r="I657">
        <v>47.07</v>
      </c>
      <c r="J657">
        <v>4.7619047620000003</v>
      </c>
      <c r="K657">
        <v>2.3534999999999999</v>
      </c>
      <c r="L657">
        <v>5.8</v>
      </c>
    </row>
    <row r="658" spans="1:12" x14ac:dyDescent="0.25">
      <c r="A658" t="s">
        <v>692</v>
      </c>
      <c r="B658">
        <v>99.69</v>
      </c>
      <c r="C658">
        <v>1</v>
      </c>
      <c r="D658">
        <v>4.9844999999999997</v>
      </c>
      <c r="E658">
        <v>104.67449999999999</v>
      </c>
      <c r="F658" s="1">
        <v>43523</v>
      </c>
      <c r="G658" s="2">
        <v>0.43263888888888885</v>
      </c>
      <c r="H658" t="s">
        <v>33</v>
      </c>
      <c r="I658">
        <v>99.69</v>
      </c>
      <c r="J658">
        <v>4.7619047620000003</v>
      </c>
      <c r="K658">
        <v>4.9844999999999997</v>
      </c>
      <c r="L658">
        <v>8</v>
      </c>
    </row>
    <row r="659" spans="1:12" x14ac:dyDescent="0.25">
      <c r="A659" t="s">
        <v>693</v>
      </c>
      <c r="B659">
        <v>88.15</v>
      </c>
      <c r="C659">
        <v>3</v>
      </c>
      <c r="D659">
        <v>13.2225</v>
      </c>
      <c r="E659">
        <v>277.67250000000001</v>
      </c>
      <c r="F659" s="1">
        <v>43483</v>
      </c>
      <c r="G659" s="2">
        <v>0.42430555555555555</v>
      </c>
      <c r="H659" t="s">
        <v>23</v>
      </c>
      <c r="I659">
        <v>264.45</v>
      </c>
      <c r="J659">
        <v>4.7619047620000003</v>
      </c>
      <c r="K659">
        <v>13.2225</v>
      </c>
      <c r="L659">
        <v>7.9</v>
      </c>
    </row>
    <row r="660" spans="1:12" x14ac:dyDescent="0.25">
      <c r="A660" t="s">
        <v>694</v>
      </c>
      <c r="B660">
        <v>27.93</v>
      </c>
      <c r="C660">
        <v>5</v>
      </c>
      <c r="D660">
        <v>6.9824999999999999</v>
      </c>
      <c r="E660">
        <v>146.63249999999999</v>
      </c>
      <c r="F660" s="1">
        <v>43494</v>
      </c>
      <c r="G660" s="2">
        <v>0.65833333333333333</v>
      </c>
      <c r="H660" t="s">
        <v>29</v>
      </c>
      <c r="I660">
        <v>139.65</v>
      </c>
      <c r="J660">
        <v>4.7619047620000003</v>
      </c>
      <c r="K660">
        <v>6.9824999999999999</v>
      </c>
      <c r="L660">
        <v>5.9</v>
      </c>
    </row>
    <row r="661" spans="1:12" x14ac:dyDescent="0.25">
      <c r="A661" t="s">
        <v>695</v>
      </c>
      <c r="B661">
        <v>55.45</v>
      </c>
      <c r="C661">
        <v>1</v>
      </c>
      <c r="D661">
        <v>2.7725</v>
      </c>
      <c r="E661">
        <v>58.222499999999997</v>
      </c>
      <c r="F661" s="1">
        <v>43522</v>
      </c>
      <c r="G661" s="2">
        <v>0.7402777777777777</v>
      </c>
      <c r="H661" t="s">
        <v>33</v>
      </c>
      <c r="I661">
        <v>55.45</v>
      </c>
      <c r="J661">
        <v>4.7619047620000003</v>
      </c>
      <c r="K661">
        <v>2.7725</v>
      </c>
      <c r="L661">
        <v>4.9000000000000004</v>
      </c>
    </row>
    <row r="662" spans="1:12" x14ac:dyDescent="0.25">
      <c r="A662" t="s">
        <v>696</v>
      </c>
      <c r="B662">
        <v>42.97</v>
      </c>
      <c r="C662">
        <v>3</v>
      </c>
      <c r="D662">
        <v>6.4455</v>
      </c>
      <c r="E662">
        <v>135.35550000000001</v>
      </c>
      <c r="F662" s="1">
        <v>43499</v>
      </c>
      <c r="G662" s="2">
        <v>0.49027777777777781</v>
      </c>
      <c r="H662" t="s">
        <v>29</v>
      </c>
      <c r="I662">
        <v>128.91</v>
      </c>
      <c r="J662">
        <v>4.7619047620000003</v>
      </c>
      <c r="K662">
        <v>6.4455</v>
      </c>
      <c r="L662">
        <v>9.3000000000000007</v>
      </c>
    </row>
    <row r="663" spans="1:12" x14ac:dyDescent="0.25">
      <c r="A663" t="s">
        <v>697</v>
      </c>
      <c r="B663">
        <v>17.14</v>
      </c>
      <c r="C663">
        <v>7</v>
      </c>
      <c r="D663">
        <v>5.9989999999999997</v>
      </c>
      <c r="E663">
        <v>125.979</v>
      </c>
      <c r="F663" s="1">
        <v>43481</v>
      </c>
      <c r="G663" s="2">
        <v>0.50486111111111109</v>
      </c>
      <c r="H663" t="s">
        <v>33</v>
      </c>
      <c r="I663">
        <v>119.98</v>
      </c>
      <c r="J663">
        <v>4.7619047620000003</v>
      </c>
      <c r="K663">
        <v>5.9989999999999997</v>
      </c>
      <c r="L663">
        <v>7.9</v>
      </c>
    </row>
    <row r="664" spans="1:12" x14ac:dyDescent="0.25">
      <c r="A664" t="s">
        <v>698</v>
      </c>
      <c r="B664">
        <v>58.75</v>
      </c>
      <c r="C664">
        <v>6</v>
      </c>
      <c r="D664">
        <v>17.625</v>
      </c>
      <c r="E664">
        <v>370.125</v>
      </c>
      <c r="F664" s="1">
        <v>43548</v>
      </c>
      <c r="G664" s="2">
        <v>0.7597222222222223</v>
      </c>
      <c r="H664" t="s">
        <v>33</v>
      </c>
      <c r="I664">
        <v>352.5</v>
      </c>
      <c r="J664">
        <v>4.7619047620000003</v>
      </c>
      <c r="K664">
        <v>17.625</v>
      </c>
      <c r="L664">
        <v>5.9</v>
      </c>
    </row>
    <row r="665" spans="1:12" x14ac:dyDescent="0.25">
      <c r="A665" t="s">
        <v>699</v>
      </c>
      <c r="B665">
        <v>87.1</v>
      </c>
      <c r="C665">
        <v>10</v>
      </c>
      <c r="D665">
        <v>43.55</v>
      </c>
      <c r="E665">
        <v>914.55</v>
      </c>
      <c r="F665" s="1">
        <v>43508</v>
      </c>
      <c r="G665" s="2">
        <v>0.61458333333333337</v>
      </c>
      <c r="H665" t="s">
        <v>33</v>
      </c>
      <c r="I665">
        <v>871</v>
      </c>
      <c r="J665">
        <v>4.7619047620000003</v>
      </c>
      <c r="K665">
        <v>43.55</v>
      </c>
      <c r="L665">
        <v>9.9</v>
      </c>
    </row>
    <row r="666" spans="1:12" x14ac:dyDescent="0.25">
      <c r="A666" t="s">
        <v>700</v>
      </c>
      <c r="B666">
        <v>98.8</v>
      </c>
      <c r="C666">
        <v>2</v>
      </c>
      <c r="D666">
        <v>9.8800000000000008</v>
      </c>
      <c r="E666">
        <v>207.48</v>
      </c>
      <c r="F666" s="1">
        <v>43517</v>
      </c>
      <c r="G666" s="2">
        <v>0.48541666666666666</v>
      </c>
      <c r="H666" t="s">
        <v>29</v>
      </c>
      <c r="I666">
        <v>197.6</v>
      </c>
      <c r="J666">
        <v>4.7619047620000003</v>
      </c>
      <c r="K666">
        <v>9.8800000000000008</v>
      </c>
      <c r="L666">
        <v>7.7</v>
      </c>
    </row>
    <row r="667" spans="1:12" x14ac:dyDescent="0.25">
      <c r="A667" t="s">
        <v>701</v>
      </c>
      <c r="B667">
        <v>48.63</v>
      </c>
      <c r="C667">
        <v>4</v>
      </c>
      <c r="D667">
        <v>9.7260000000000009</v>
      </c>
      <c r="E667">
        <v>204.24600000000001</v>
      </c>
      <c r="F667" s="1">
        <v>43500</v>
      </c>
      <c r="G667" s="2">
        <v>0.65555555555555556</v>
      </c>
      <c r="H667" t="s">
        <v>23</v>
      </c>
      <c r="I667">
        <v>194.52</v>
      </c>
      <c r="J667">
        <v>4.7619047620000003</v>
      </c>
      <c r="K667">
        <v>9.7260000000000009</v>
      </c>
      <c r="L667">
        <v>7.6</v>
      </c>
    </row>
    <row r="668" spans="1:12" x14ac:dyDescent="0.25">
      <c r="A668" t="s">
        <v>702</v>
      </c>
      <c r="B668">
        <v>57.74</v>
      </c>
      <c r="C668">
        <v>3</v>
      </c>
      <c r="D668">
        <v>8.6609999999999996</v>
      </c>
      <c r="E668">
        <v>181.881</v>
      </c>
      <c r="F668" s="1">
        <v>43516</v>
      </c>
      <c r="G668" s="2">
        <v>0.54583333333333328</v>
      </c>
      <c r="H668" t="s">
        <v>23</v>
      </c>
      <c r="I668">
        <v>173.22</v>
      </c>
      <c r="J668">
        <v>4.7619047620000003</v>
      </c>
      <c r="K668">
        <v>8.6609999999999996</v>
      </c>
      <c r="L668">
        <v>7.7</v>
      </c>
    </row>
    <row r="669" spans="1:12" x14ac:dyDescent="0.25">
      <c r="A669" t="s">
        <v>703</v>
      </c>
      <c r="B669">
        <v>17.97</v>
      </c>
      <c r="C669">
        <v>4</v>
      </c>
      <c r="D669">
        <v>3.5939999999999999</v>
      </c>
      <c r="E669">
        <v>75.474000000000004</v>
      </c>
      <c r="F669" s="1">
        <v>43519</v>
      </c>
      <c r="G669" s="2">
        <v>0.86319444444444438</v>
      </c>
      <c r="H669" t="s">
        <v>23</v>
      </c>
      <c r="I669">
        <v>71.88</v>
      </c>
      <c r="J669">
        <v>4.7619047620000003</v>
      </c>
      <c r="K669">
        <v>3.5939999999999999</v>
      </c>
      <c r="L669">
        <v>6.4</v>
      </c>
    </row>
    <row r="670" spans="1:12" x14ac:dyDescent="0.25">
      <c r="A670" t="s">
        <v>704</v>
      </c>
      <c r="B670">
        <v>47.71</v>
      </c>
      <c r="C670">
        <v>6</v>
      </c>
      <c r="D670">
        <v>14.313000000000001</v>
      </c>
      <c r="E670">
        <v>300.57299999999998</v>
      </c>
      <c r="F670" s="1">
        <v>43512</v>
      </c>
      <c r="G670" s="2">
        <v>0.59652777777777777</v>
      </c>
      <c r="H670" t="s">
        <v>23</v>
      </c>
      <c r="I670">
        <v>286.26</v>
      </c>
      <c r="J670">
        <v>4.7619047620000003</v>
      </c>
      <c r="K670">
        <v>14.313000000000001</v>
      </c>
      <c r="L670">
        <v>4.4000000000000004</v>
      </c>
    </row>
    <row r="671" spans="1:12" x14ac:dyDescent="0.25">
      <c r="A671" t="s">
        <v>705</v>
      </c>
      <c r="B671">
        <v>40.619999999999997</v>
      </c>
      <c r="C671">
        <v>2</v>
      </c>
      <c r="D671">
        <v>4.0620000000000003</v>
      </c>
      <c r="E671">
        <v>85.302000000000007</v>
      </c>
      <c r="F671" s="1">
        <v>43482</v>
      </c>
      <c r="G671" s="2">
        <v>0.41736111111111113</v>
      </c>
      <c r="H671" t="s">
        <v>33</v>
      </c>
      <c r="I671">
        <v>81.239999999999995</v>
      </c>
      <c r="J671">
        <v>4.7619047620000003</v>
      </c>
      <c r="K671">
        <v>4.0620000000000003</v>
      </c>
      <c r="L671">
        <v>4.0999999999999996</v>
      </c>
    </row>
    <row r="672" spans="1:12" x14ac:dyDescent="0.25">
      <c r="A672" t="s">
        <v>706</v>
      </c>
      <c r="B672">
        <v>56.04</v>
      </c>
      <c r="C672">
        <v>10</v>
      </c>
      <c r="D672">
        <v>28.02</v>
      </c>
      <c r="E672">
        <v>588.41999999999996</v>
      </c>
      <c r="F672" s="1">
        <v>43479</v>
      </c>
      <c r="G672" s="2">
        <v>0.8125</v>
      </c>
      <c r="H672" t="s">
        <v>23</v>
      </c>
      <c r="I672">
        <v>560.4</v>
      </c>
      <c r="J672">
        <v>4.7619047620000003</v>
      </c>
      <c r="K672">
        <v>28.02</v>
      </c>
      <c r="L672">
        <v>4.4000000000000004</v>
      </c>
    </row>
    <row r="673" spans="1:12" x14ac:dyDescent="0.25">
      <c r="A673" t="s">
        <v>707</v>
      </c>
      <c r="B673">
        <v>93.4</v>
      </c>
      <c r="C673">
        <v>2</v>
      </c>
      <c r="D673">
        <v>9.34</v>
      </c>
      <c r="E673">
        <v>196.14</v>
      </c>
      <c r="F673" s="1">
        <v>43554</v>
      </c>
      <c r="G673" s="2">
        <v>0.69027777777777777</v>
      </c>
      <c r="H673" t="s">
        <v>29</v>
      </c>
      <c r="I673">
        <v>186.8</v>
      </c>
      <c r="J673">
        <v>4.7619047620000003</v>
      </c>
      <c r="K673">
        <v>9.34</v>
      </c>
      <c r="L673">
        <v>5.5</v>
      </c>
    </row>
    <row r="674" spans="1:12" x14ac:dyDescent="0.25">
      <c r="A674" t="s">
        <v>708</v>
      </c>
      <c r="B674">
        <v>73.41</v>
      </c>
      <c r="C674">
        <v>3</v>
      </c>
      <c r="D674">
        <v>11.0115</v>
      </c>
      <c r="E674">
        <v>231.2415</v>
      </c>
      <c r="F674" s="1">
        <v>43526</v>
      </c>
      <c r="G674" s="2">
        <v>0.54861111111111105</v>
      </c>
      <c r="H674" t="s">
        <v>23</v>
      </c>
      <c r="I674">
        <v>220.23</v>
      </c>
      <c r="J674">
        <v>4.7619047620000003</v>
      </c>
      <c r="K674">
        <v>11.0115</v>
      </c>
      <c r="L674">
        <v>4</v>
      </c>
    </row>
    <row r="675" spans="1:12" x14ac:dyDescent="0.25">
      <c r="A675" t="s">
        <v>709</v>
      </c>
      <c r="B675">
        <v>33.64</v>
      </c>
      <c r="C675">
        <v>8</v>
      </c>
      <c r="D675">
        <v>13.456</v>
      </c>
      <c r="E675">
        <v>282.57600000000002</v>
      </c>
      <c r="F675" s="1">
        <v>43511</v>
      </c>
      <c r="G675" s="2">
        <v>0.71527777777777779</v>
      </c>
      <c r="H675" t="s">
        <v>33</v>
      </c>
      <c r="I675">
        <v>269.12</v>
      </c>
      <c r="J675">
        <v>4.7619047620000003</v>
      </c>
      <c r="K675">
        <v>13.456</v>
      </c>
      <c r="L675">
        <v>9.3000000000000007</v>
      </c>
    </row>
    <row r="676" spans="1:12" x14ac:dyDescent="0.25">
      <c r="A676" t="s">
        <v>710</v>
      </c>
      <c r="B676">
        <v>45.48</v>
      </c>
      <c r="C676">
        <v>10</v>
      </c>
      <c r="D676">
        <v>22.74</v>
      </c>
      <c r="E676">
        <v>477.54</v>
      </c>
      <c r="F676" s="1">
        <v>43525</v>
      </c>
      <c r="G676" s="2">
        <v>0.43194444444444446</v>
      </c>
      <c r="H676" t="s">
        <v>33</v>
      </c>
      <c r="I676">
        <v>454.8</v>
      </c>
      <c r="J676">
        <v>4.7619047620000003</v>
      </c>
      <c r="K676">
        <v>22.74</v>
      </c>
      <c r="L676">
        <v>4.8</v>
      </c>
    </row>
    <row r="677" spans="1:12" x14ac:dyDescent="0.25">
      <c r="A677" t="s">
        <v>711</v>
      </c>
      <c r="B677">
        <v>83.77</v>
      </c>
      <c r="C677">
        <v>2</v>
      </c>
      <c r="D677">
        <v>8.3770000000000007</v>
      </c>
      <c r="E677">
        <v>175.917</v>
      </c>
      <c r="F677" s="1">
        <v>43520</v>
      </c>
      <c r="G677" s="2">
        <v>0.83124999999999993</v>
      </c>
      <c r="H677" t="s">
        <v>29</v>
      </c>
      <c r="I677">
        <v>167.54</v>
      </c>
      <c r="J677">
        <v>4.7619047620000003</v>
      </c>
      <c r="K677">
        <v>8.3770000000000007</v>
      </c>
      <c r="L677">
        <v>4.5999999999999996</v>
      </c>
    </row>
    <row r="678" spans="1:12" x14ac:dyDescent="0.25">
      <c r="A678" t="s">
        <v>712</v>
      </c>
      <c r="B678">
        <v>64.08</v>
      </c>
      <c r="C678">
        <v>7</v>
      </c>
      <c r="D678">
        <v>22.428000000000001</v>
      </c>
      <c r="E678">
        <v>470.988</v>
      </c>
      <c r="F678" s="1">
        <v>43515</v>
      </c>
      <c r="G678" s="2">
        <v>0.81180555555555556</v>
      </c>
      <c r="H678" t="s">
        <v>33</v>
      </c>
      <c r="I678">
        <v>448.56</v>
      </c>
      <c r="J678">
        <v>4.7619047620000003</v>
      </c>
      <c r="K678">
        <v>22.428000000000001</v>
      </c>
      <c r="L678">
        <v>7.3</v>
      </c>
    </row>
    <row r="679" spans="1:12" x14ac:dyDescent="0.25">
      <c r="A679" t="s">
        <v>713</v>
      </c>
      <c r="B679">
        <v>73.47</v>
      </c>
      <c r="C679">
        <v>4</v>
      </c>
      <c r="D679">
        <v>14.694000000000001</v>
      </c>
      <c r="E679">
        <v>308.57400000000001</v>
      </c>
      <c r="F679" s="1">
        <v>43519</v>
      </c>
      <c r="G679" s="2">
        <v>0.77083333333333337</v>
      </c>
      <c r="H679" t="s">
        <v>29</v>
      </c>
      <c r="I679">
        <v>293.88</v>
      </c>
      <c r="J679">
        <v>4.7619047620000003</v>
      </c>
      <c r="K679">
        <v>14.694000000000001</v>
      </c>
      <c r="L679">
        <v>6</v>
      </c>
    </row>
    <row r="680" spans="1:12" x14ac:dyDescent="0.25">
      <c r="A680" t="s">
        <v>714</v>
      </c>
      <c r="B680">
        <v>58.95</v>
      </c>
      <c r="C680">
        <v>10</v>
      </c>
      <c r="D680">
        <v>29.475000000000001</v>
      </c>
      <c r="E680">
        <v>618.97500000000002</v>
      </c>
      <c r="F680" s="1">
        <v>43503</v>
      </c>
      <c r="G680" s="2">
        <v>0.6020833333333333</v>
      </c>
      <c r="H680" t="s">
        <v>23</v>
      </c>
      <c r="I680">
        <v>589.5</v>
      </c>
      <c r="J680">
        <v>4.7619047620000003</v>
      </c>
      <c r="K680">
        <v>29.475000000000001</v>
      </c>
      <c r="L680">
        <v>8.1</v>
      </c>
    </row>
    <row r="681" spans="1:12" x14ac:dyDescent="0.25">
      <c r="A681" t="s">
        <v>715</v>
      </c>
      <c r="B681">
        <v>48.5</v>
      </c>
      <c r="C681">
        <v>6</v>
      </c>
      <c r="D681">
        <v>14.55</v>
      </c>
      <c r="E681">
        <v>305.55</v>
      </c>
      <c r="F681" s="1">
        <v>43476</v>
      </c>
      <c r="G681" s="2">
        <v>0.58124999999999993</v>
      </c>
      <c r="H681" t="s">
        <v>23</v>
      </c>
      <c r="I681">
        <v>291</v>
      </c>
      <c r="J681">
        <v>4.7619047620000003</v>
      </c>
      <c r="K681">
        <v>14.55</v>
      </c>
      <c r="L681">
        <v>9.4</v>
      </c>
    </row>
    <row r="682" spans="1:12" x14ac:dyDescent="0.25">
      <c r="A682" t="s">
        <v>716</v>
      </c>
      <c r="B682">
        <v>39.479999999999997</v>
      </c>
      <c r="C682">
        <v>1</v>
      </c>
      <c r="D682">
        <v>1.974</v>
      </c>
      <c r="E682">
        <v>41.454000000000001</v>
      </c>
      <c r="F682" s="1">
        <v>43508</v>
      </c>
      <c r="G682" s="2">
        <v>0.82152777777777775</v>
      </c>
      <c r="H682" t="s">
        <v>29</v>
      </c>
      <c r="I682">
        <v>39.479999999999997</v>
      </c>
      <c r="J682">
        <v>4.7619047620000003</v>
      </c>
      <c r="K682">
        <v>1.974</v>
      </c>
      <c r="L682">
        <v>6.5</v>
      </c>
    </row>
    <row r="683" spans="1:12" x14ac:dyDescent="0.25">
      <c r="A683" t="s">
        <v>717</v>
      </c>
      <c r="B683">
        <v>34.81</v>
      </c>
      <c r="C683">
        <v>1</v>
      </c>
      <c r="D683">
        <v>1.7404999999999999</v>
      </c>
      <c r="E683">
        <v>36.5505</v>
      </c>
      <c r="F683" s="1">
        <v>43479</v>
      </c>
      <c r="G683" s="2">
        <v>0.42430555555555555</v>
      </c>
      <c r="H683" t="s">
        <v>33</v>
      </c>
      <c r="I683">
        <v>34.81</v>
      </c>
      <c r="J683">
        <v>4.7619047620000003</v>
      </c>
      <c r="K683">
        <v>1.7404999999999999</v>
      </c>
      <c r="L683">
        <v>7</v>
      </c>
    </row>
    <row r="684" spans="1:12" x14ac:dyDescent="0.25">
      <c r="A684" t="s">
        <v>718</v>
      </c>
      <c r="B684">
        <v>49.32</v>
      </c>
      <c r="C684">
        <v>6</v>
      </c>
      <c r="D684">
        <v>14.795999999999999</v>
      </c>
      <c r="E684">
        <v>310.71600000000001</v>
      </c>
      <c r="F684" s="1">
        <v>43474</v>
      </c>
      <c r="G684" s="2">
        <v>0.57361111111111118</v>
      </c>
      <c r="H684" t="s">
        <v>23</v>
      </c>
      <c r="I684">
        <v>295.92</v>
      </c>
      <c r="J684">
        <v>4.7619047620000003</v>
      </c>
      <c r="K684">
        <v>14.795999999999999</v>
      </c>
      <c r="L684">
        <v>7.1</v>
      </c>
    </row>
    <row r="685" spans="1:12" x14ac:dyDescent="0.25">
      <c r="A685" t="s">
        <v>719</v>
      </c>
      <c r="B685">
        <v>21.48</v>
      </c>
      <c r="C685">
        <v>2</v>
      </c>
      <c r="D685">
        <v>2.1480000000000001</v>
      </c>
      <c r="E685">
        <v>45.107999999999997</v>
      </c>
      <c r="F685" s="1">
        <v>43523</v>
      </c>
      <c r="G685" s="2">
        <v>0.51527777777777783</v>
      </c>
      <c r="H685" t="s">
        <v>23</v>
      </c>
      <c r="I685">
        <v>42.96</v>
      </c>
      <c r="J685">
        <v>4.7619047620000003</v>
      </c>
      <c r="K685">
        <v>2.1480000000000001</v>
      </c>
      <c r="L685">
        <v>6.6</v>
      </c>
    </row>
    <row r="686" spans="1:12" x14ac:dyDescent="0.25">
      <c r="A686" t="s">
        <v>720</v>
      </c>
      <c r="B686">
        <v>23.08</v>
      </c>
      <c r="C686">
        <v>6</v>
      </c>
      <c r="D686">
        <v>6.9240000000000004</v>
      </c>
      <c r="E686">
        <v>145.404</v>
      </c>
      <c r="F686" s="1">
        <v>43489</v>
      </c>
      <c r="G686" s="2">
        <v>0.80555555555555547</v>
      </c>
      <c r="H686" t="s">
        <v>23</v>
      </c>
      <c r="I686">
        <v>138.47999999999999</v>
      </c>
      <c r="J686">
        <v>4.7619047620000003</v>
      </c>
      <c r="K686">
        <v>6.9240000000000004</v>
      </c>
      <c r="L686">
        <v>4.9000000000000004</v>
      </c>
    </row>
    <row r="687" spans="1:12" x14ac:dyDescent="0.25">
      <c r="A687" t="s">
        <v>721</v>
      </c>
      <c r="B687">
        <v>49.1</v>
      </c>
      <c r="C687">
        <v>2</v>
      </c>
      <c r="D687">
        <v>4.91</v>
      </c>
      <c r="E687">
        <v>103.11</v>
      </c>
      <c r="F687" s="1">
        <v>43473</v>
      </c>
      <c r="G687" s="2">
        <v>0.54027777777777775</v>
      </c>
      <c r="H687" t="s">
        <v>33</v>
      </c>
      <c r="I687">
        <v>98.2</v>
      </c>
      <c r="J687">
        <v>4.7619047620000003</v>
      </c>
      <c r="K687">
        <v>4.91</v>
      </c>
      <c r="L687">
        <v>6.4</v>
      </c>
    </row>
    <row r="688" spans="1:12" x14ac:dyDescent="0.25">
      <c r="A688" t="s">
        <v>722</v>
      </c>
      <c r="B688">
        <v>64.83</v>
      </c>
      <c r="C688">
        <v>2</v>
      </c>
      <c r="D688">
        <v>6.4829999999999997</v>
      </c>
      <c r="E688">
        <v>136.143</v>
      </c>
      <c r="F688" s="1">
        <v>43473</v>
      </c>
      <c r="G688" s="2">
        <v>0.4993055555555555</v>
      </c>
      <c r="H688" t="s">
        <v>33</v>
      </c>
      <c r="I688">
        <v>129.66</v>
      </c>
      <c r="J688">
        <v>4.7619047620000003</v>
      </c>
      <c r="K688">
        <v>6.4829999999999997</v>
      </c>
      <c r="L688">
        <v>8</v>
      </c>
    </row>
    <row r="689" spans="1:12" x14ac:dyDescent="0.25">
      <c r="A689" t="s">
        <v>723</v>
      </c>
      <c r="B689">
        <v>63.56</v>
      </c>
      <c r="C689">
        <v>10</v>
      </c>
      <c r="D689">
        <v>31.78</v>
      </c>
      <c r="E689">
        <v>667.38</v>
      </c>
      <c r="F689" s="1">
        <v>43481</v>
      </c>
      <c r="G689" s="2">
        <v>0.74930555555555556</v>
      </c>
      <c r="H689" t="s">
        <v>29</v>
      </c>
      <c r="I689">
        <v>635.6</v>
      </c>
      <c r="J689">
        <v>4.7619047620000003</v>
      </c>
      <c r="K689">
        <v>31.78</v>
      </c>
      <c r="L689">
        <v>4.3</v>
      </c>
    </row>
    <row r="690" spans="1:12" x14ac:dyDescent="0.25">
      <c r="A690" t="s">
        <v>724</v>
      </c>
      <c r="B690">
        <v>72.88</v>
      </c>
      <c r="C690">
        <v>2</v>
      </c>
      <c r="D690">
        <v>7.2880000000000003</v>
      </c>
      <c r="E690">
        <v>153.048</v>
      </c>
      <c r="F690" s="1">
        <v>43537</v>
      </c>
      <c r="G690" s="2">
        <v>0.53541666666666665</v>
      </c>
      <c r="H690" t="s">
        <v>29</v>
      </c>
      <c r="I690">
        <v>145.76</v>
      </c>
      <c r="J690">
        <v>4.7619047620000003</v>
      </c>
      <c r="K690">
        <v>7.2880000000000003</v>
      </c>
      <c r="L690">
        <v>6.1</v>
      </c>
    </row>
    <row r="691" spans="1:12" x14ac:dyDescent="0.25">
      <c r="A691" t="s">
        <v>725</v>
      </c>
      <c r="B691">
        <v>67.099999999999994</v>
      </c>
      <c r="C691">
        <v>3</v>
      </c>
      <c r="D691">
        <v>10.065</v>
      </c>
      <c r="E691">
        <v>211.36500000000001</v>
      </c>
      <c r="F691" s="1">
        <v>43511</v>
      </c>
      <c r="G691" s="2">
        <v>0.44166666666666665</v>
      </c>
      <c r="H691" t="s">
        <v>29</v>
      </c>
      <c r="I691">
        <v>201.3</v>
      </c>
      <c r="J691">
        <v>4.7619047620000003</v>
      </c>
      <c r="K691">
        <v>10.065</v>
      </c>
      <c r="L691">
        <v>7.5</v>
      </c>
    </row>
    <row r="692" spans="1:12" x14ac:dyDescent="0.25">
      <c r="A692" t="s">
        <v>726</v>
      </c>
      <c r="B692">
        <v>70.19</v>
      </c>
      <c r="C692">
        <v>9</v>
      </c>
      <c r="D692">
        <v>31.5855</v>
      </c>
      <c r="E692">
        <v>663.29549999999995</v>
      </c>
      <c r="F692" s="1">
        <v>43490</v>
      </c>
      <c r="G692" s="2">
        <v>0.56805555555555554</v>
      </c>
      <c r="H692" t="s">
        <v>29</v>
      </c>
      <c r="I692">
        <v>631.71</v>
      </c>
      <c r="J692">
        <v>4.7619047620000003</v>
      </c>
      <c r="K692">
        <v>31.5855</v>
      </c>
      <c r="L692">
        <v>6.7</v>
      </c>
    </row>
    <row r="693" spans="1:12" x14ac:dyDescent="0.25">
      <c r="A693" t="s">
        <v>727</v>
      </c>
      <c r="B693">
        <v>55.04</v>
      </c>
      <c r="C693">
        <v>7</v>
      </c>
      <c r="D693">
        <v>19.263999999999999</v>
      </c>
      <c r="E693">
        <v>404.54399999999998</v>
      </c>
      <c r="F693" s="1">
        <v>43536</v>
      </c>
      <c r="G693" s="2">
        <v>0.81874999999999998</v>
      </c>
      <c r="H693" t="s">
        <v>23</v>
      </c>
      <c r="I693">
        <v>385.28</v>
      </c>
      <c r="J693">
        <v>4.7619047620000003</v>
      </c>
      <c r="K693">
        <v>19.263999999999999</v>
      </c>
      <c r="L693">
        <v>5.2</v>
      </c>
    </row>
    <row r="694" spans="1:12" x14ac:dyDescent="0.25">
      <c r="A694" t="s">
        <v>728</v>
      </c>
      <c r="B694">
        <v>48.63</v>
      </c>
      <c r="C694">
        <v>10</v>
      </c>
      <c r="D694">
        <v>24.315000000000001</v>
      </c>
      <c r="E694">
        <v>510.61500000000001</v>
      </c>
      <c r="F694" s="1">
        <v>43528</v>
      </c>
      <c r="G694" s="2">
        <v>0.53055555555555556</v>
      </c>
      <c r="H694" t="s">
        <v>29</v>
      </c>
      <c r="I694">
        <v>486.3</v>
      </c>
      <c r="J694">
        <v>4.7619047620000003</v>
      </c>
      <c r="K694">
        <v>24.315000000000001</v>
      </c>
      <c r="L694">
        <v>8.8000000000000007</v>
      </c>
    </row>
    <row r="695" spans="1:12" x14ac:dyDescent="0.25">
      <c r="A695" t="s">
        <v>729</v>
      </c>
      <c r="B695">
        <v>73.38</v>
      </c>
      <c r="C695">
        <v>7</v>
      </c>
      <c r="D695">
        <v>25.683</v>
      </c>
      <c r="E695">
        <v>539.34299999999996</v>
      </c>
      <c r="F695" s="1">
        <v>43506</v>
      </c>
      <c r="G695" s="2">
        <v>0.5805555555555556</v>
      </c>
      <c r="H695" t="s">
        <v>29</v>
      </c>
      <c r="I695">
        <v>513.66</v>
      </c>
      <c r="J695">
        <v>4.7619047620000003</v>
      </c>
      <c r="K695">
        <v>25.683</v>
      </c>
      <c r="L695">
        <v>9.5</v>
      </c>
    </row>
    <row r="696" spans="1:12" x14ac:dyDescent="0.25">
      <c r="A696" t="s">
        <v>730</v>
      </c>
      <c r="B696">
        <v>52.6</v>
      </c>
      <c r="C696">
        <v>9</v>
      </c>
      <c r="D696">
        <v>23.67</v>
      </c>
      <c r="E696">
        <v>497.07</v>
      </c>
      <c r="F696" s="1">
        <v>43481</v>
      </c>
      <c r="G696" s="2">
        <v>0.61249999999999993</v>
      </c>
      <c r="H696" t="s">
        <v>29</v>
      </c>
      <c r="I696">
        <v>473.4</v>
      </c>
      <c r="J696">
        <v>4.7619047620000003</v>
      </c>
      <c r="K696">
        <v>23.67</v>
      </c>
      <c r="L696">
        <v>7.6</v>
      </c>
    </row>
    <row r="697" spans="1:12" x14ac:dyDescent="0.25">
      <c r="A697" t="s">
        <v>731</v>
      </c>
      <c r="B697">
        <v>87.37</v>
      </c>
      <c r="C697">
        <v>5</v>
      </c>
      <c r="D697">
        <v>21.842500000000001</v>
      </c>
      <c r="E697">
        <v>458.6925</v>
      </c>
      <c r="F697" s="1">
        <v>43494</v>
      </c>
      <c r="G697" s="2">
        <v>0.82291666666666663</v>
      </c>
      <c r="H697" t="s">
        <v>29</v>
      </c>
      <c r="I697">
        <v>436.85</v>
      </c>
      <c r="J697">
        <v>4.7619047620000003</v>
      </c>
      <c r="K697">
        <v>21.842500000000001</v>
      </c>
      <c r="L697">
        <v>6.6</v>
      </c>
    </row>
    <row r="698" spans="1:12" x14ac:dyDescent="0.25">
      <c r="A698" t="s">
        <v>732</v>
      </c>
      <c r="B698">
        <v>27.04</v>
      </c>
      <c r="C698">
        <v>4</v>
      </c>
      <c r="D698">
        <v>5.4080000000000004</v>
      </c>
      <c r="E698">
        <v>113.568</v>
      </c>
      <c r="F698" s="1">
        <v>43466</v>
      </c>
      <c r="G698" s="2">
        <v>0.85138888888888886</v>
      </c>
      <c r="H698" t="s">
        <v>23</v>
      </c>
      <c r="I698">
        <v>108.16</v>
      </c>
      <c r="J698">
        <v>4.7619047620000003</v>
      </c>
      <c r="K698">
        <v>5.4080000000000004</v>
      </c>
      <c r="L698">
        <v>6.9</v>
      </c>
    </row>
    <row r="699" spans="1:12" x14ac:dyDescent="0.25">
      <c r="A699" t="s">
        <v>733</v>
      </c>
      <c r="B699">
        <v>62.19</v>
      </c>
      <c r="C699">
        <v>4</v>
      </c>
      <c r="D699">
        <v>12.438000000000001</v>
      </c>
      <c r="E699">
        <v>261.19799999999998</v>
      </c>
      <c r="F699" s="1">
        <v>43471</v>
      </c>
      <c r="G699" s="2">
        <v>0.82361111111111107</v>
      </c>
      <c r="H699" t="s">
        <v>23</v>
      </c>
      <c r="I699">
        <v>248.76</v>
      </c>
      <c r="J699">
        <v>4.7619047620000003</v>
      </c>
      <c r="K699">
        <v>12.438000000000001</v>
      </c>
      <c r="L699">
        <v>4.3</v>
      </c>
    </row>
    <row r="700" spans="1:12" x14ac:dyDescent="0.25">
      <c r="A700" t="s">
        <v>734</v>
      </c>
      <c r="B700">
        <v>69.58</v>
      </c>
      <c r="C700">
        <v>9</v>
      </c>
      <c r="D700">
        <v>31.311</v>
      </c>
      <c r="E700">
        <v>657.53099999999995</v>
      </c>
      <c r="F700" s="1">
        <v>43515</v>
      </c>
      <c r="G700" s="2">
        <v>0.81805555555555554</v>
      </c>
      <c r="H700" t="s">
        <v>33</v>
      </c>
      <c r="I700">
        <v>626.22</v>
      </c>
      <c r="J700">
        <v>4.7619047620000003</v>
      </c>
      <c r="K700">
        <v>31.311</v>
      </c>
      <c r="L700">
        <v>7.8</v>
      </c>
    </row>
    <row r="701" spans="1:12" x14ac:dyDescent="0.25">
      <c r="A701" t="s">
        <v>735</v>
      </c>
      <c r="B701">
        <v>97.5</v>
      </c>
      <c r="C701">
        <v>10</v>
      </c>
      <c r="D701">
        <v>48.75</v>
      </c>
      <c r="E701">
        <v>1023.75</v>
      </c>
      <c r="F701" s="1">
        <v>43477</v>
      </c>
      <c r="G701" s="2">
        <v>0.6791666666666667</v>
      </c>
      <c r="H701" t="s">
        <v>23</v>
      </c>
      <c r="I701">
        <v>975</v>
      </c>
      <c r="J701">
        <v>4.7619047620000003</v>
      </c>
      <c r="K701">
        <v>48.75</v>
      </c>
      <c r="L701">
        <v>8</v>
      </c>
    </row>
    <row r="702" spans="1:12" x14ac:dyDescent="0.25">
      <c r="A702" t="s">
        <v>736</v>
      </c>
      <c r="B702">
        <v>60.41</v>
      </c>
      <c r="C702">
        <v>8</v>
      </c>
      <c r="D702">
        <v>24.164000000000001</v>
      </c>
      <c r="E702">
        <v>507.44400000000002</v>
      </c>
      <c r="F702" s="1">
        <v>43503</v>
      </c>
      <c r="G702" s="2">
        <v>0.51597222222222217</v>
      </c>
      <c r="H702" t="s">
        <v>23</v>
      </c>
      <c r="I702">
        <v>483.28</v>
      </c>
      <c r="J702">
        <v>4.7619047620000003</v>
      </c>
      <c r="K702">
        <v>24.164000000000001</v>
      </c>
      <c r="L702">
        <v>9.6</v>
      </c>
    </row>
    <row r="703" spans="1:12" x14ac:dyDescent="0.25">
      <c r="A703" t="s">
        <v>737</v>
      </c>
      <c r="B703">
        <v>32.32</v>
      </c>
      <c r="C703">
        <v>3</v>
      </c>
      <c r="D703">
        <v>4.8479999999999999</v>
      </c>
      <c r="E703">
        <v>101.80800000000001</v>
      </c>
      <c r="F703" s="1">
        <v>43551</v>
      </c>
      <c r="G703" s="2">
        <v>0.7993055555555556</v>
      </c>
      <c r="H703" t="s">
        <v>33</v>
      </c>
      <c r="I703">
        <v>96.96</v>
      </c>
      <c r="J703">
        <v>4.7619047620000003</v>
      </c>
      <c r="K703">
        <v>4.8479999999999999</v>
      </c>
      <c r="L703">
        <v>4.3</v>
      </c>
    </row>
    <row r="704" spans="1:12" x14ac:dyDescent="0.25">
      <c r="A704" t="s">
        <v>738</v>
      </c>
      <c r="B704">
        <v>19.77</v>
      </c>
      <c r="C704">
        <v>10</v>
      </c>
      <c r="D704">
        <v>9.8849999999999998</v>
      </c>
      <c r="E704">
        <v>207.58500000000001</v>
      </c>
      <c r="F704" s="1">
        <v>43523</v>
      </c>
      <c r="G704" s="2">
        <v>0.7895833333333333</v>
      </c>
      <c r="H704" t="s">
        <v>33</v>
      </c>
      <c r="I704">
        <v>197.7</v>
      </c>
      <c r="J704">
        <v>4.7619047620000003</v>
      </c>
      <c r="K704">
        <v>9.8849999999999998</v>
      </c>
      <c r="L704">
        <v>5</v>
      </c>
    </row>
    <row r="705" spans="1:12" x14ac:dyDescent="0.25">
      <c r="A705" t="s">
        <v>739</v>
      </c>
      <c r="B705">
        <v>80.47</v>
      </c>
      <c r="C705">
        <v>9</v>
      </c>
      <c r="D705">
        <v>36.211500000000001</v>
      </c>
      <c r="E705">
        <v>760.44150000000002</v>
      </c>
      <c r="F705" s="1">
        <v>43471</v>
      </c>
      <c r="G705" s="2">
        <v>0.47083333333333338</v>
      </c>
      <c r="H705" t="s">
        <v>29</v>
      </c>
      <c r="I705">
        <v>724.23</v>
      </c>
      <c r="J705">
        <v>4.7619047620000003</v>
      </c>
      <c r="K705">
        <v>36.211500000000001</v>
      </c>
      <c r="L705">
        <v>9.1999999999999993</v>
      </c>
    </row>
    <row r="706" spans="1:12" x14ac:dyDescent="0.25">
      <c r="A706" t="s">
        <v>740</v>
      </c>
      <c r="B706">
        <v>88.39</v>
      </c>
      <c r="C706">
        <v>9</v>
      </c>
      <c r="D706">
        <v>39.775500000000001</v>
      </c>
      <c r="E706">
        <v>835.28549999999996</v>
      </c>
      <c r="F706" s="1">
        <v>43526</v>
      </c>
      <c r="G706" s="2">
        <v>0.52777777777777779</v>
      </c>
      <c r="H706" t="s">
        <v>29</v>
      </c>
      <c r="I706">
        <v>795.51</v>
      </c>
      <c r="J706">
        <v>4.7619047620000003</v>
      </c>
      <c r="K706">
        <v>39.775500000000001</v>
      </c>
      <c r="L706">
        <v>6.3</v>
      </c>
    </row>
    <row r="707" spans="1:12" x14ac:dyDescent="0.25">
      <c r="A707" t="s">
        <v>741</v>
      </c>
      <c r="B707">
        <v>71.77</v>
      </c>
      <c r="C707">
        <v>7</v>
      </c>
      <c r="D707">
        <v>25.119499999999999</v>
      </c>
      <c r="E707">
        <v>527.5095</v>
      </c>
      <c r="F707" s="1">
        <v>43553</v>
      </c>
      <c r="G707" s="2">
        <v>0.58750000000000002</v>
      </c>
      <c r="H707" t="s">
        <v>29</v>
      </c>
      <c r="I707">
        <v>502.39</v>
      </c>
      <c r="J707">
        <v>4.7619047620000003</v>
      </c>
      <c r="K707">
        <v>25.119499999999999</v>
      </c>
      <c r="L707">
        <v>8.9</v>
      </c>
    </row>
    <row r="708" spans="1:12" x14ac:dyDescent="0.25">
      <c r="A708" t="s">
        <v>742</v>
      </c>
      <c r="B708">
        <v>43</v>
      </c>
      <c r="C708">
        <v>4</v>
      </c>
      <c r="D708">
        <v>8.6</v>
      </c>
      <c r="E708">
        <v>180.6</v>
      </c>
      <c r="F708" s="1">
        <v>43496</v>
      </c>
      <c r="G708" s="2">
        <v>0.8666666666666667</v>
      </c>
      <c r="H708" t="s">
        <v>23</v>
      </c>
      <c r="I708">
        <v>172</v>
      </c>
      <c r="J708">
        <v>4.7619047620000003</v>
      </c>
      <c r="K708">
        <v>8.6</v>
      </c>
      <c r="L708">
        <v>7.6</v>
      </c>
    </row>
    <row r="709" spans="1:12" x14ac:dyDescent="0.25">
      <c r="A709" t="s">
        <v>743</v>
      </c>
      <c r="B709">
        <v>68.98</v>
      </c>
      <c r="C709">
        <v>1</v>
      </c>
      <c r="D709">
        <v>3.4489999999999998</v>
      </c>
      <c r="E709">
        <v>72.429000000000002</v>
      </c>
      <c r="F709" s="1">
        <v>43486</v>
      </c>
      <c r="G709" s="2">
        <v>0.84236111111111101</v>
      </c>
      <c r="H709" t="s">
        <v>29</v>
      </c>
      <c r="I709">
        <v>68.98</v>
      </c>
      <c r="J709">
        <v>4.7619047620000003</v>
      </c>
      <c r="K709">
        <v>3.4489999999999998</v>
      </c>
      <c r="L709">
        <v>4.8</v>
      </c>
    </row>
    <row r="710" spans="1:12" x14ac:dyDescent="0.25">
      <c r="A710" t="s">
        <v>744</v>
      </c>
      <c r="B710">
        <v>15.62</v>
      </c>
      <c r="C710">
        <v>8</v>
      </c>
      <c r="D710">
        <v>6.2480000000000002</v>
      </c>
      <c r="E710">
        <v>131.208</v>
      </c>
      <c r="F710" s="1">
        <v>43485</v>
      </c>
      <c r="G710" s="2">
        <v>0.85902777777777783</v>
      </c>
      <c r="H710" t="s">
        <v>23</v>
      </c>
      <c r="I710">
        <v>124.96</v>
      </c>
      <c r="J710">
        <v>4.7619047620000003</v>
      </c>
      <c r="K710">
        <v>6.2480000000000002</v>
      </c>
      <c r="L710">
        <v>9.1</v>
      </c>
    </row>
    <row r="711" spans="1:12" x14ac:dyDescent="0.25">
      <c r="A711" t="s">
        <v>745</v>
      </c>
      <c r="B711">
        <v>25.7</v>
      </c>
      <c r="C711">
        <v>3</v>
      </c>
      <c r="D711">
        <v>3.855</v>
      </c>
      <c r="E711">
        <v>80.954999999999998</v>
      </c>
      <c r="F711" s="1">
        <v>43482</v>
      </c>
      <c r="G711" s="2">
        <v>0.74930555555555556</v>
      </c>
      <c r="H711" t="s">
        <v>23</v>
      </c>
      <c r="I711">
        <v>77.099999999999994</v>
      </c>
      <c r="J711">
        <v>4.7619047620000003</v>
      </c>
      <c r="K711">
        <v>3.855</v>
      </c>
      <c r="L711">
        <v>6.1</v>
      </c>
    </row>
    <row r="712" spans="1:12" x14ac:dyDescent="0.25">
      <c r="A712" t="s">
        <v>746</v>
      </c>
      <c r="B712">
        <v>80.62</v>
      </c>
      <c r="C712">
        <v>6</v>
      </c>
      <c r="D712">
        <v>24.186</v>
      </c>
      <c r="E712">
        <v>507.90600000000001</v>
      </c>
      <c r="F712" s="1">
        <v>43524</v>
      </c>
      <c r="G712" s="2">
        <v>0.84583333333333333</v>
      </c>
      <c r="H712" t="s">
        <v>29</v>
      </c>
      <c r="I712">
        <v>483.72</v>
      </c>
      <c r="J712">
        <v>4.7619047620000003</v>
      </c>
      <c r="K712">
        <v>24.186</v>
      </c>
      <c r="L712">
        <v>9.1</v>
      </c>
    </row>
    <row r="713" spans="1:12" x14ac:dyDescent="0.25">
      <c r="A713" t="s">
        <v>747</v>
      </c>
      <c r="B713">
        <v>75.53</v>
      </c>
      <c r="C713">
        <v>4</v>
      </c>
      <c r="D713">
        <v>15.106</v>
      </c>
      <c r="E713">
        <v>317.226</v>
      </c>
      <c r="F713" s="1">
        <v>43543</v>
      </c>
      <c r="G713" s="2">
        <v>0.66111111111111109</v>
      </c>
      <c r="H713" t="s">
        <v>23</v>
      </c>
      <c r="I713">
        <v>302.12</v>
      </c>
      <c r="J713">
        <v>4.7619047620000003</v>
      </c>
      <c r="K713">
        <v>15.106</v>
      </c>
      <c r="L713">
        <v>8.3000000000000007</v>
      </c>
    </row>
    <row r="714" spans="1:12" x14ac:dyDescent="0.25">
      <c r="A714" t="s">
        <v>748</v>
      </c>
      <c r="B714">
        <v>77.63</v>
      </c>
      <c r="C714">
        <v>9</v>
      </c>
      <c r="D714">
        <v>34.933500000000002</v>
      </c>
      <c r="E714">
        <v>733.60350000000005</v>
      </c>
      <c r="F714" s="1">
        <v>43515</v>
      </c>
      <c r="G714" s="2">
        <v>0.63472222222222219</v>
      </c>
      <c r="H714" t="s">
        <v>23</v>
      </c>
      <c r="I714">
        <v>698.67</v>
      </c>
      <c r="J714">
        <v>4.7619047620000003</v>
      </c>
      <c r="K714">
        <v>34.933500000000002</v>
      </c>
      <c r="L714">
        <v>7.2</v>
      </c>
    </row>
    <row r="715" spans="1:12" x14ac:dyDescent="0.25">
      <c r="A715" t="s">
        <v>749</v>
      </c>
      <c r="B715">
        <v>13.85</v>
      </c>
      <c r="C715">
        <v>9</v>
      </c>
      <c r="D715">
        <v>6.2324999999999999</v>
      </c>
      <c r="E715">
        <v>130.88249999999999</v>
      </c>
      <c r="F715" s="1">
        <v>43500</v>
      </c>
      <c r="G715" s="2">
        <v>0.53472222222222221</v>
      </c>
      <c r="H715" t="s">
        <v>23</v>
      </c>
      <c r="I715">
        <v>124.65</v>
      </c>
      <c r="J715">
        <v>4.7619047620000003</v>
      </c>
      <c r="K715">
        <v>6.2324999999999999</v>
      </c>
      <c r="L715">
        <v>6</v>
      </c>
    </row>
    <row r="716" spans="1:12" x14ac:dyDescent="0.25">
      <c r="A716" t="s">
        <v>750</v>
      </c>
      <c r="B716">
        <v>98.7</v>
      </c>
      <c r="C716">
        <v>8</v>
      </c>
      <c r="D716">
        <v>39.479999999999997</v>
      </c>
      <c r="E716">
        <v>829.08</v>
      </c>
      <c r="F716" s="1">
        <v>43496</v>
      </c>
      <c r="G716" s="2">
        <v>0.44166666666666665</v>
      </c>
      <c r="H716" t="s">
        <v>23</v>
      </c>
      <c r="I716">
        <v>789.6</v>
      </c>
      <c r="J716">
        <v>4.7619047620000003</v>
      </c>
      <c r="K716">
        <v>39.479999999999997</v>
      </c>
      <c r="L716">
        <v>8.5</v>
      </c>
    </row>
    <row r="717" spans="1:12" x14ac:dyDescent="0.25">
      <c r="A717" t="s">
        <v>751</v>
      </c>
      <c r="B717">
        <v>35.68</v>
      </c>
      <c r="C717">
        <v>5</v>
      </c>
      <c r="D717">
        <v>8.92</v>
      </c>
      <c r="E717">
        <v>187.32</v>
      </c>
      <c r="F717" s="1">
        <v>43502</v>
      </c>
      <c r="G717" s="2">
        <v>0.7729166666666667</v>
      </c>
      <c r="H717" t="s">
        <v>33</v>
      </c>
      <c r="I717">
        <v>178.4</v>
      </c>
      <c r="J717">
        <v>4.7619047620000003</v>
      </c>
      <c r="K717">
        <v>8.92</v>
      </c>
      <c r="L717">
        <v>6.6</v>
      </c>
    </row>
    <row r="718" spans="1:12" x14ac:dyDescent="0.25">
      <c r="A718" t="s">
        <v>752</v>
      </c>
      <c r="B718">
        <v>71.459999999999994</v>
      </c>
      <c r="C718">
        <v>7</v>
      </c>
      <c r="D718">
        <v>25.010999999999999</v>
      </c>
      <c r="E718">
        <v>525.23099999999999</v>
      </c>
      <c r="F718" s="1">
        <v>43552</v>
      </c>
      <c r="G718" s="2">
        <v>0.67083333333333339</v>
      </c>
      <c r="H718" t="s">
        <v>23</v>
      </c>
      <c r="I718">
        <v>500.22</v>
      </c>
      <c r="J718">
        <v>4.7619047620000003</v>
      </c>
      <c r="K718">
        <v>25.010999999999999</v>
      </c>
      <c r="L718">
        <v>4.5</v>
      </c>
    </row>
    <row r="719" spans="1:12" x14ac:dyDescent="0.25">
      <c r="A719" t="s">
        <v>753</v>
      </c>
      <c r="B719">
        <v>11.94</v>
      </c>
      <c r="C719">
        <v>3</v>
      </c>
      <c r="D719">
        <v>1.7909999999999999</v>
      </c>
      <c r="E719">
        <v>37.610999999999997</v>
      </c>
      <c r="F719" s="1">
        <v>43484</v>
      </c>
      <c r="G719" s="2">
        <v>0.53263888888888888</v>
      </c>
      <c r="H719" t="s">
        <v>33</v>
      </c>
      <c r="I719">
        <v>35.82</v>
      </c>
      <c r="J719">
        <v>4.7619047620000003</v>
      </c>
      <c r="K719">
        <v>1.7909999999999999</v>
      </c>
      <c r="L719">
        <v>8.1</v>
      </c>
    </row>
    <row r="720" spans="1:12" x14ac:dyDescent="0.25">
      <c r="A720" t="s">
        <v>754</v>
      </c>
      <c r="B720">
        <v>45.38</v>
      </c>
      <c r="C720">
        <v>3</v>
      </c>
      <c r="D720">
        <v>6.8070000000000004</v>
      </c>
      <c r="E720">
        <v>142.947</v>
      </c>
      <c r="F720" s="1">
        <v>43513</v>
      </c>
      <c r="G720" s="2">
        <v>0.56527777777777777</v>
      </c>
      <c r="H720" t="s">
        <v>33</v>
      </c>
      <c r="I720">
        <v>136.13999999999999</v>
      </c>
      <c r="J720">
        <v>4.7619047620000003</v>
      </c>
      <c r="K720">
        <v>6.8070000000000004</v>
      </c>
      <c r="L720">
        <v>7.2</v>
      </c>
    </row>
    <row r="721" spans="1:12" x14ac:dyDescent="0.25">
      <c r="A721" t="s">
        <v>755</v>
      </c>
      <c r="B721">
        <v>17.48</v>
      </c>
      <c r="C721">
        <v>6</v>
      </c>
      <c r="D721">
        <v>5.2439999999999998</v>
      </c>
      <c r="E721">
        <v>110.124</v>
      </c>
      <c r="F721" s="1">
        <v>43483</v>
      </c>
      <c r="G721" s="2">
        <v>0.62777777777777777</v>
      </c>
      <c r="H721" t="s">
        <v>33</v>
      </c>
      <c r="I721">
        <v>104.88</v>
      </c>
      <c r="J721">
        <v>4.7619047620000003</v>
      </c>
      <c r="K721">
        <v>5.2439999999999998</v>
      </c>
      <c r="L721">
        <v>6.1</v>
      </c>
    </row>
    <row r="722" spans="1:12" x14ac:dyDescent="0.25">
      <c r="A722" t="s">
        <v>756</v>
      </c>
      <c r="B722">
        <v>25.56</v>
      </c>
      <c r="C722">
        <v>7</v>
      </c>
      <c r="D722">
        <v>8.9459999999999997</v>
      </c>
      <c r="E722">
        <v>187.86600000000001</v>
      </c>
      <c r="F722" s="1">
        <v>43498</v>
      </c>
      <c r="G722" s="2">
        <v>0.86249999999999993</v>
      </c>
      <c r="H722" t="s">
        <v>29</v>
      </c>
      <c r="I722">
        <v>178.92</v>
      </c>
      <c r="J722">
        <v>4.7619047620000003</v>
      </c>
      <c r="K722">
        <v>8.9459999999999997</v>
      </c>
      <c r="L722">
        <v>7.1</v>
      </c>
    </row>
    <row r="723" spans="1:12" x14ac:dyDescent="0.25">
      <c r="A723" t="s">
        <v>757</v>
      </c>
      <c r="B723">
        <v>90.63</v>
      </c>
      <c r="C723">
        <v>9</v>
      </c>
      <c r="D723">
        <v>40.783499999999997</v>
      </c>
      <c r="E723">
        <v>856.45349999999996</v>
      </c>
      <c r="F723" s="1">
        <v>43483</v>
      </c>
      <c r="G723" s="2">
        <v>0.64444444444444449</v>
      </c>
      <c r="H723" t="s">
        <v>29</v>
      </c>
      <c r="I723">
        <v>815.67</v>
      </c>
      <c r="J723">
        <v>4.7619047620000003</v>
      </c>
      <c r="K723">
        <v>40.783499999999997</v>
      </c>
      <c r="L723">
        <v>5.0999999999999996</v>
      </c>
    </row>
    <row r="724" spans="1:12" x14ac:dyDescent="0.25">
      <c r="A724" t="s">
        <v>758</v>
      </c>
      <c r="B724">
        <v>44.12</v>
      </c>
      <c r="C724">
        <v>3</v>
      </c>
      <c r="D724">
        <v>6.6180000000000003</v>
      </c>
      <c r="E724">
        <v>138.97800000000001</v>
      </c>
      <c r="F724" s="1">
        <v>43542</v>
      </c>
      <c r="G724" s="2">
        <v>0.57291666666666663</v>
      </c>
      <c r="H724" t="s">
        <v>33</v>
      </c>
      <c r="I724">
        <v>132.36000000000001</v>
      </c>
      <c r="J724">
        <v>4.7619047620000003</v>
      </c>
      <c r="K724">
        <v>6.6180000000000003</v>
      </c>
      <c r="L724">
        <v>7.9</v>
      </c>
    </row>
    <row r="725" spans="1:12" x14ac:dyDescent="0.25">
      <c r="A725" t="s">
        <v>759</v>
      </c>
      <c r="B725">
        <v>36.770000000000003</v>
      </c>
      <c r="C725">
        <v>7</v>
      </c>
      <c r="D725">
        <v>12.8695</v>
      </c>
      <c r="E725">
        <v>270.2595</v>
      </c>
      <c r="F725" s="1">
        <v>43476</v>
      </c>
      <c r="G725" s="2">
        <v>0.84027777777777779</v>
      </c>
      <c r="H725" t="s">
        <v>29</v>
      </c>
      <c r="I725">
        <v>257.39</v>
      </c>
      <c r="J725">
        <v>4.7619047620000003</v>
      </c>
      <c r="K725">
        <v>12.8695</v>
      </c>
      <c r="L725">
        <v>7.4</v>
      </c>
    </row>
    <row r="726" spans="1:12" x14ac:dyDescent="0.25">
      <c r="A726" t="s">
        <v>760</v>
      </c>
      <c r="B726">
        <v>23.34</v>
      </c>
      <c r="C726">
        <v>4</v>
      </c>
      <c r="D726">
        <v>4.6680000000000001</v>
      </c>
      <c r="E726">
        <v>98.028000000000006</v>
      </c>
      <c r="F726" s="1">
        <v>43500</v>
      </c>
      <c r="G726" s="2">
        <v>0.78680555555555554</v>
      </c>
      <c r="H726" t="s">
        <v>23</v>
      </c>
      <c r="I726">
        <v>93.36</v>
      </c>
      <c r="J726">
        <v>4.7619047620000003</v>
      </c>
      <c r="K726">
        <v>4.6680000000000001</v>
      </c>
      <c r="L726">
        <v>7.4</v>
      </c>
    </row>
    <row r="727" spans="1:12" x14ac:dyDescent="0.25">
      <c r="A727" t="s">
        <v>761</v>
      </c>
      <c r="B727">
        <v>28.5</v>
      </c>
      <c r="C727">
        <v>8</v>
      </c>
      <c r="D727">
        <v>11.4</v>
      </c>
      <c r="E727">
        <v>239.4</v>
      </c>
      <c r="F727" s="1">
        <v>43502</v>
      </c>
      <c r="G727" s="2">
        <v>0.6</v>
      </c>
      <c r="H727" t="s">
        <v>29</v>
      </c>
      <c r="I727">
        <v>228</v>
      </c>
      <c r="J727">
        <v>4.7619047620000003</v>
      </c>
      <c r="K727">
        <v>11.4</v>
      </c>
      <c r="L727">
        <v>6.6</v>
      </c>
    </row>
    <row r="728" spans="1:12" x14ac:dyDescent="0.25">
      <c r="A728" t="s">
        <v>762</v>
      </c>
      <c r="B728">
        <v>55.57</v>
      </c>
      <c r="C728">
        <v>3</v>
      </c>
      <c r="D728">
        <v>8.3354999999999997</v>
      </c>
      <c r="E728">
        <v>175.0455</v>
      </c>
      <c r="F728" s="1">
        <v>43473</v>
      </c>
      <c r="G728" s="2">
        <v>0.48749999999999999</v>
      </c>
      <c r="H728" t="s">
        <v>33</v>
      </c>
      <c r="I728">
        <v>166.71</v>
      </c>
      <c r="J728">
        <v>4.7619047620000003</v>
      </c>
      <c r="K728">
        <v>8.3354999999999997</v>
      </c>
      <c r="L728">
        <v>5.9</v>
      </c>
    </row>
    <row r="729" spans="1:12" x14ac:dyDescent="0.25">
      <c r="A729" t="s">
        <v>763</v>
      </c>
      <c r="B729">
        <v>69.739999999999995</v>
      </c>
      <c r="C729">
        <v>10</v>
      </c>
      <c r="D729">
        <v>34.869999999999997</v>
      </c>
      <c r="E729">
        <v>732.27</v>
      </c>
      <c r="F729" s="1">
        <v>43529</v>
      </c>
      <c r="G729" s="2">
        <v>0.74236111111111114</v>
      </c>
      <c r="H729" t="s">
        <v>33</v>
      </c>
      <c r="I729">
        <v>697.4</v>
      </c>
      <c r="J729">
        <v>4.7619047620000003</v>
      </c>
      <c r="K729">
        <v>34.869999999999997</v>
      </c>
      <c r="L729">
        <v>8.9</v>
      </c>
    </row>
    <row r="730" spans="1:12" x14ac:dyDescent="0.25">
      <c r="A730" t="s">
        <v>764</v>
      </c>
      <c r="B730">
        <v>97.26</v>
      </c>
      <c r="C730">
        <v>4</v>
      </c>
      <c r="D730">
        <v>19.452000000000002</v>
      </c>
      <c r="E730">
        <v>408.49200000000002</v>
      </c>
      <c r="F730" s="1">
        <v>43540</v>
      </c>
      <c r="G730" s="2">
        <v>0.6479166666666667</v>
      </c>
      <c r="H730" t="s">
        <v>23</v>
      </c>
      <c r="I730">
        <v>389.04</v>
      </c>
      <c r="J730">
        <v>4.7619047620000003</v>
      </c>
      <c r="K730">
        <v>19.452000000000002</v>
      </c>
      <c r="L730">
        <v>6.8</v>
      </c>
    </row>
    <row r="731" spans="1:12" x14ac:dyDescent="0.25">
      <c r="A731" t="s">
        <v>765</v>
      </c>
      <c r="B731">
        <v>52.18</v>
      </c>
      <c r="C731">
        <v>7</v>
      </c>
      <c r="D731">
        <v>18.263000000000002</v>
      </c>
      <c r="E731">
        <v>383.52300000000002</v>
      </c>
      <c r="F731" s="1">
        <v>43533</v>
      </c>
      <c r="G731" s="2">
        <v>0.45416666666666666</v>
      </c>
      <c r="H731" t="s">
        <v>29</v>
      </c>
      <c r="I731">
        <v>365.26</v>
      </c>
      <c r="J731">
        <v>4.7619047620000003</v>
      </c>
      <c r="K731">
        <v>18.263000000000002</v>
      </c>
      <c r="L731">
        <v>9.3000000000000007</v>
      </c>
    </row>
    <row r="732" spans="1:12" x14ac:dyDescent="0.25">
      <c r="A732" t="s">
        <v>766</v>
      </c>
      <c r="B732">
        <v>22.32</v>
      </c>
      <c r="C732">
        <v>4</v>
      </c>
      <c r="D732">
        <v>4.4640000000000004</v>
      </c>
      <c r="E732">
        <v>93.744</v>
      </c>
      <c r="F732" s="1">
        <v>43525</v>
      </c>
      <c r="G732" s="2">
        <v>0.68263888888888891</v>
      </c>
      <c r="H732" t="s">
        <v>33</v>
      </c>
      <c r="I732">
        <v>89.28</v>
      </c>
      <c r="J732">
        <v>4.7619047620000003</v>
      </c>
      <c r="K732">
        <v>4.4640000000000004</v>
      </c>
      <c r="L732">
        <v>4.4000000000000004</v>
      </c>
    </row>
    <row r="733" spans="1:12" x14ac:dyDescent="0.25">
      <c r="A733" t="s">
        <v>767</v>
      </c>
      <c r="B733">
        <v>56</v>
      </c>
      <c r="C733">
        <v>3</v>
      </c>
      <c r="D733">
        <v>8.4</v>
      </c>
      <c r="E733">
        <v>176.4</v>
      </c>
      <c r="F733" s="1">
        <v>43524</v>
      </c>
      <c r="G733" s="2">
        <v>0.81458333333333333</v>
      </c>
      <c r="H733" t="s">
        <v>23</v>
      </c>
      <c r="I733">
        <v>168</v>
      </c>
      <c r="J733">
        <v>4.7619047620000003</v>
      </c>
      <c r="K733">
        <v>8.4</v>
      </c>
      <c r="L733">
        <v>4.8</v>
      </c>
    </row>
    <row r="734" spans="1:12" x14ac:dyDescent="0.25">
      <c r="A734" t="s">
        <v>768</v>
      </c>
      <c r="B734">
        <v>19.7</v>
      </c>
      <c r="C734">
        <v>1</v>
      </c>
      <c r="D734">
        <v>0.98499999999999999</v>
      </c>
      <c r="E734">
        <v>20.684999999999999</v>
      </c>
      <c r="F734" s="1">
        <v>43504</v>
      </c>
      <c r="G734" s="2">
        <v>0.48541666666666666</v>
      </c>
      <c r="H734" t="s">
        <v>23</v>
      </c>
      <c r="I734">
        <v>19.7</v>
      </c>
      <c r="J734">
        <v>4.7619047620000003</v>
      </c>
      <c r="K734">
        <v>0.98499999999999999</v>
      </c>
      <c r="L734">
        <v>9.5</v>
      </c>
    </row>
    <row r="735" spans="1:12" x14ac:dyDescent="0.25">
      <c r="A735" t="s">
        <v>769</v>
      </c>
      <c r="B735">
        <v>75.88</v>
      </c>
      <c r="C735">
        <v>7</v>
      </c>
      <c r="D735">
        <v>26.558</v>
      </c>
      <c r="E735">
        <v>557.71799999999996</v>
      </c>
      <c r="F735" s="1">
        <v>43489</v>
      </c>
      <c r="G735" s="2">
        <v>0.44305555555555554</v>
      </c>
      <c r="H735" t="s">
        <v>23</v>
      </c>
      <c r="I735">
        <v>531.16</v>
      </c>
      <c r="J735">
        <v>4.7619047620000003</v>
      </c>
      <c r="K735">
        <v>26.558</v>
      </c>
      <c r="L735">
        <v>8.9</v>
      </c>
    </row>
    <row r="736" spans="1:12" x14ac:dyDescent="0.25">
      <c r="A736" t="s">
        <v>770</v>
      </c>
      <c r="B736">
        <v>53.72</v>
      </c>
      <c r="C736">
        <v>1</v>
      </c>
      <c r="D736">
        <v>2.6859999999999999</v>
      </c>
      <c r="E736">
        <v>56.405999999999999</v>
      </c>
      <c r="F736" s="1">
        <v>43525</v>
      </c>
      <c r="G736" s="2">
        <v>0.8354166666666667</v>
      </c>
      <c r="H736" t="s">
        <v>23</v>
      </c>
      <c r="I736">
        <v>53.72</v>
      </c>
      <c r="J736">
        <v>4.7619047620000003</v>
      </c>
      <c r="K736">
        <v>2.6859999999999999</v>
      </c>
      <c r="L736">
        <v>6.4</v>
      </c>
    </row>
    <row r="737" spans="1:12" x14ac:dyDescent="0.25">
      <c r="A737" t="s">
        <v>771</v>
      </c>
      <c r="B737">
        <v>81.95</v>
      </c>
      <c r="C737">
        <v>10</v>
      </c>
      <c r="D737">
        <v>40.975000000000001</v>
      </c>
      <c r="E737">
        <v>860.47500000000002</v>
      </c>
      <c r="F737" s="1">
        <v>43534</v>
      </c>
      <c r="G737" s="2">
        <v>0.52708333333333335</v>
      </c>
      <c r="H737" t="s">
        <v>33</v>
      </c>
      <c r="I737">
        <v>819.5</v>
      </c>
      <c r="J737">
        <v>4.7619047620000003</v>
      </c>
      <c r="K737">
        <v>40.975000000000001</v>
      </c>
      <c r="L737">
        <v>6</v>
      </c>
    </row>
    <row r="738" spans="1:12" x14ac:dyDescent="0.25">
      <c r="A738" t="s">
        <v>772</v>
      </c>
      <c r="B738">
        <v>81.2</v>
      </c>
      <c r="C738">
        <v>7</v>
      </c>
      <c r="D738">
        <v>28.42</v>
      </c>
      <c r="E738">
        <v>596.82000000000005</v>
      </c>
      <c r="F738" s="1">
        <v>43547</v>
      </c>
      <c r="G738" s="2">
        <v>0.66597222222222219</v>
      </c>
      <c r="H738" t="s">
        <v>33</v>
      </c>
      <c r="I738">
        <v>568.4</v>
      </c>
      <c r="J738">
        <v>4.7619047620000003</v>
      </c>
      <c r="K738">
        <v>28.42</v>
      </c>
      <c r="L738">
        <v>8.1</v>
      </c>
    </row>
    <row r="739" spans="1:12" x14ac:dyDescent="0.25">
      <c r="A739" t="s">
        <v>773</v>
      </c>
      <c r="B739">
        <v>58.76</v>
      </c>
      <c r="C739">
        <v>10</v>
      </c>
      <c r="D739">
        <v>29.38</v>
      </c>
      <c r="E739">
        <v>616.98</v>
      </c>
      <c r="F739" s="1">
        <v>43494</v>
      </c>
      <c r="G739" s="2">
        <v>0.60138888888888886</v>
      </c>
      <c r="H739" t="s">
        <v>23</v>
      </c>
      <c r="I739">
        <v>587.6</v>
      </c>
      <c r="J739">
        <v>4.7619047620000003</v>
      </c>
      <c r="K739">
        <v>29.38</v>
      </c>
      <c r="L739">
        <v>9</v>
      </c>
    </row>
    <row r="740" spans="1:12" x14ac:dyDescent="0.25">
      <c r="A740" t="s">
        <v>774</v>
      </c>
      <c r="B740">
        <v>91.56</v>
      </c>
      <c r="C740">
        <v>8</v>
      </c>
      <c r="D740">
        <v>36.624000000000002</v>
      </c>
      <c r="E740">
        <v>769.10400000000004</v>
      </c>
      <c r="F740" s="1">
        <v>43477</v>
      </c>
      <c r="G740" s="2">
        <v>0.76527777777777783</v>
      </c>
      <c r="H740" t="s">
        <v>23</v>
      </c>
      <c r="I740">
        <v>732.48</v>
      </c>
      <c r="J740">
        <v>4.7619047620000003</v>
      </c>
      <c r="K740">
        <v>36.624000000000002</v>
      </c>
      <c r="L740">
        <v>6</v>
      </c>
    </row>
    <row r="741" spans="1:12" x14ac:dyDescent="0.25">
      <c r="A741" t="s">
        <v>775</v>
      </c>
      <c r="B741">
        <v>93.96</v>
      </c>
      <c r="C741">
        <v>9</v>
      </c>
      <c r="D741">
        <v>42.281999999999996</v>
      </c>
      <c r="E741">
        <v>887.92200000000003</v>
      </c>
      <c r="F741" s="1">
        <v>43544</v>
      </c>
      <c r="G741" s="2">
        <v>0.48055555555555557</v>
      </c>
      <c r="H741" t="s">
        <v>29</v>
      </c>
      <c r="I741">
        <v>845.64</v>
      </c>
      <c r="J741">
        <v>4.7619047620000003</v>
      </c>
      <c r="K741">
        <v>42.281999999999996</v>
      </c>
      <c r="L741">
        <v>9.8000000000000007</v>
      </c>
    </row>
    <row r="742" spans="1:12" x14ac:dyDescent="0.25">
      <c r="A742" t="s">
        <v>776</v>
      </c>
      <c r="B742">
        <v>55.61</v>
      </c>
      <c r="C742">
        <v>7</v>
      </c>
      <c r="D742">
        <v>19.4635</v>
      </c>
      <c r="E742">
        <v>408.73349999999999</v>
      </c>
      <c r="F742" s="1">
        <v>43547</v>
      </c>
      <c r="G742" s="2">
        <v>0.52847222222222223</v>
      </c>
      <c r="H742" t="s">
        <v>29</v>
      </c>
      <c r="I742">
        <v>389.27</v>
      </c>
      <c r="J742">
        <v>4.7619047620000003</v>
      </c>
      <c r="K742">
        <v>19.4635</v>
      </c>
      <c r="L742">
        <v>8.5</v>
      </c>
    </row>
    <row r="743" spans="1:12" x14ac:dyDescent="0.25">
      <c r="A743" t="s">
        <v>777</v>
      </c>
      <c r="B743">
        <v>84.83</v>
      </c>
      <c r="C743">
        <v>1</v>
      </c>
      <c r="D743">
        <v>4.2415000000000003</v>
      </c>
      <c r="E743">
        <v>89.0715</v>
      </c>
      <c r="F743" s="1">
        <v>43479</v>
      </c>
      <c r="G743" s="2">
        <v>0.63888888888888895</v>
      </c>
      <c r="H743" t="s">
        <v>23</v>
      </c>
      <c r="I743">
        <v>84.83</v>
      </c>
      <c r="J743">
        <v>4.7619047620000003</v>
      </c>
      <c r="K743">
        <v>4.2415000000000003</v>
      </c>
      <c r="L743">
        <v>8.8000000000000007</v>
      </c>
    </row>
    <row r="744" spans="1:12" x14ac:dyDescent="0.25">
      <c r="A744" t="s">
        <v>778</v>
      </c>
      <c r="B744">
        <v>71.63</v>
      </c>
      <c r="C744">
        <v>2</v>
      </c>
      <c r="D744">
        <v>7.1630000000000003</v>
      </c>
      <c r="E744">
        <v>150.423</v>
      </c>
      <c r="F744" s="1">
        <v>43508</v>
      </c>
      <c r="G744" s="2">
        <v>0.60625000000000007</v>
      </c>
      <c r="H744" t="s">
        <v>23</v>
      </c>
      <c r="I744">
        <v>143.26</v>
      </c>
      <c r="J744">
        <v>4.7619047620000003</v>
      </c>
      <c r="K744">
        <v>7.1630000000000003</v>
      </c>
      <c r="L744">
        <v>8.8000000000000007</v>
      </c>
    </row>
    <row r="745" spans="1:12" x14ac:dyDescent="0.25">
      <c r="A745" t="s">
        <v>779</v>
      </c>
      <c r="B745">
        <v>37.69</v>
      </c>
      <c r="C745">
        <v>2</v>
      </c>
      <c r="D745">
        <v>3.7690000000000001</v>
      </c>
      <c r="E745">
        <v>79.149000000000001</v>
      </c>
      <c r="F745" s="1">
        <v>43516</v>
      </c>
      <c r="G745" s="2">
        <v>0.64513888888888882</v>
      </c>
      <c r="H745" t="s">
        <v>23</v>
      </c>
      <c r="I745">
        <v>75.38</v>
      </c>
      <c r="J745">
        <v>4.7619047620000003</v>
      </c>
      <c r="K745">
        <v>3.7690000000000001</v>
      </c>
      <c r="L745">
        <v>9.5</v>
      </c>
    </row>
    <row r="746" spans="1:12" x14ac:dyDescent="0.25">
      <c r="A746" t="s">
        <v>780</v>
      </c>
      <c r="B746">
        <v>31.67</v>
      </c>
      <c r="C746">
        <v>8</v>
      </c>
      <c r="D746">
        <v>12.667999999999999</v>
      </c>
      <c r="E746">
        <v>266.02800000000002</v>
      </c>
      <c r="F746" s="1">
        <v>43467</v>
      </c>
      <c r="G746" s="2">
        <v>0.67986111111111114</v>
      </c>
      <c r="H746" t="s">
        <v>33</v>
      </c>
      <c r="I746">
        <v>253.36</v>
      </c>
      <c r="J746">
        <v>4.7619047620000003</v>
      </c>
      <c r="K746">
        <v>12.667999999999999</v>
      </c>
      <c r="L746">
        <v>5.6</v>
      </c>
    </row>
    <row r="747" spans="1:12" x14ac:dyDescent="0.25">
      <c r="A747" t="s">
        <v>781</v>
      </c>
      <c r="B747">
        <v>38.42</v>
      </c>
      <c r="C747">
        <v>1</v>
      </c>
      <c r="D747">
        <v>1.921</v>
      </c>
      <c r="E747">
        <v>40.341000000000001</v>
      </c>
      <c r="F747" s="1">
        <v>43498</v>
      </c>
      <c r="G747" s="2">
        <v>0.68958333333333333</v>
      </c>
      <c r="H747" t="s">
        <v>29</v>
      </c>
      <c r="I747">
        <v>38.42</v>
      </c>
      <c r="J747">
        <v>4.7619047620000003</v>
      </c>
      <c r="K747">
        <v>1.921</v>
      </c>
      <c r="L747">
        <v>8.6</v>
      </c>
    </row>
    <row r="748" spans="1:12" x14ac:dyDescent="0.25">
      <c r="A748" t="s">
        <v>782</v>
      </c>
      <c r="B748">
        <v>65.23</v>
      </c>
      <c r="C748">
        <v>10</v>
      </c>
      <c r="D748">
        <v>32.615000000000002</v>
      </c>
      <c r="E748">
        <v>684.91499999999996</v>
      </c>
      <c r="F748" s="1">
        <v>43473</v>
      </c>
      <c r="G748" s="2">
        <v>0.79652777777777783</v>
      </c>
      <c r="H748" t="s">
        <v>33</v>
      </c>
      <c r="I748">
        <v>652.29999999999995</v>
      </c>
      <c r="J748">
        <v>4.7619047620000003</v>
      </c>
      <c r="K748">
        <v>32.615000000000002</v>
      </c>
      <c r="L748">
        <v>5.2</v>
      </c>
    </row>
    <row r="749" spans="1:12" x14ac:dyDescent="0.25">
      <c r="A749" t="s">
        <v>783</v>
      </c>
      <c r="B749">
        <v>10.53</v>
      </c>
      <c r="C749">
        <v>5</v>
      </c>
      <c r="D749">
        <v>2.6324999999999998</v>
      </c>
      <c r="E749">
        <v>55.282499999999999</v>
      </c>
      <c r="F749" s="1">
        <v>43495</v>
      </c>
      <c r="G749" s="2">
        <v>0.61319444444444449</v>
      </c>
      <c r="H749" t="s">
        <v>33</v>
      </c>
      <c r="I749">
        <v>52.65</v>
      </c>
      <c r="J749">
        <v>4.7619047620000003</v>
      </c>
      <c r="K749">
        <v>2.6324999999999998</v>
      </c>
      <c r="L749">
        <v>5.8</v>
      </c>
    </row>
    <row r="750" spans="1:12" x14ac:dyDescent="0.25">
      <c r="A750" t="s">
        <v>784</v>
      </c>
      <c r="B750">
        <v>12.29</v>
      </c>
      <c r="C750">
        <v>9</v>
      </c>
      <c r="D750">
        <v>5.5305</v>
      </c>
      <c r="E750">
        <v>116.1405</v>
      </c>
      <c r="F750" s="1">
        <v>43550</v>
      </c>
      <c r="G750" s="2">
        <v>0.81111111111111101</v>
      </c>
      <c r="H750" t="s">
        <v>33</v>
      </c>
      <c r="I750">
        <v>110.61</v>
      </c>
      <c r="J750">
        <v>4.7619047620000003</v>
      </c>
      <c r="K750">
        <v>5.5305</v>
      </c>
      <c r="L750">
        <v>8</v>
      </c>
    </row>
    <row r="751" spans="1:12" x14ac:dyDescent="0.25">
      <c r="A751" t="s">
        <v>785</v>
      </c>
      <c r="B751">
        <v>81.23</v>
      </c>
      <c r="C751">
        <v>7</v>
      </c>
      <c r="D751">
        <v>28.430499999999999</v>
      </c>
      <c r="E751">
        <v>597.04049999999995</v>
      </c>
      <c r="F751" s="1">
        <v>43480</v>
      </c>
      <c r="G751" s="2">
        <v>0.86388888888888893</v>
      </c>
      <c r="H751" t="s">
        <v>29</v>
      </c>
      <c r="I751">
        <v>568.61</v>
      </c>
      <c r="J751">
        <v>4.7619047620000003</v>
      </c>
      <c r="K751">
        <v>28.430499999999999</v>
      </c>
      <c r="L751">
        <v>9</v>
      </c>
    </row>
    <row r="752" spans="1:12" x14ac:dyDescent="0.25">
      <c r="A752" t="s">
        <v>786</v>
      </c>
      <c r="B752">
        <v>22.32</v>
      </c>
      <c r="C752">
        <v>4</v>
      </c>
      <c r="D752">
        <v>4.4640000000000004</v>
      </c>
      <c r="E752">
        <v>93.744</v>
      </c>
      <c r="F752" s="1">
        <v>43538</v>
      </c>
      <c r="G752" s="2">
        <v>0.4694444444444445</v>
      </c>
      <c r="H752" t="s">
        <v>23</v>
      </c>
      <c r="I752">
        <v>89.28</v>
      </c>
      <c r="J752">
        <v>4.7619047620000003</v>
      </c>
      <c r="K752">
        <v>4.4640000000000004</v>
      </c>
      <c r="L752">
        <v>4.0999999999999996</v>
      </c>
    </row>
    <row r="753" spans="1:12" x14ac:dyDescent="0.25">
      <c r="A753" t="s">
        <v>787</v>
      </c>
      <c r="B753">
        <v>27.28</v>
      </c>
      <c r="C753">
        <v>5</v>
      </c>
      <c r="D753">
        <v>6.82</v>
      </c>
      <c r="E753">
        <v>143.22</v>
      </c>
      <c r="F753" s="1">
        <v>43499</v>
      </c>
      <c r="G753" s="2">
        <v>0.4381944444444445</v>
      </c>
      <c r="H753" t="s">
        <v>33</v>
      </c>
      <c r="I753">
        <v>136.4</v>
      </c>
      <c r="J753">
        <v>4.7619047620000003</v>
      </c>
      <c r="K753">
        <v>6.82</v>
      </c>
      <c r="L753">
        <v>8.6</v>
      </c>
    </row>
    <row r="754" spans="1:12" x14ac:dyDescent="0.25">
      <c r="A754" t="s">
        <v>788</v>
      </c>
      <c r="B754">
        <v>17.420000000000002</v>
      </c>
      <c r="C754">
        <v>10</v>
      </c>
      <c r="D754">
        <v>8.7100000000000009</v>
      </c>
      <c r="E754">
        <v>182.91</v>
      </c>
      <c r="F754" s="1">
        <v>43518</v>
      </c>
      <c r="G754" s="2">
        <v>0.52083333333333337</v>
      </c>
      <c r="H754" t="s">
        <v>23</v>
      </c>
      <c r="I754">
        <v>174.2</v>
      </c>
      <c r="J754">
        <v>4.7619047620000003</v>
      </c>
      <c r="K754">
        <v>8.7100000000000009</v>
      </c>
      <c r="L754">
        <v>7</v>
      </c>
    </row>
    <row r="755" spans="1:12" x14ac:dyDescent="0.25">
      <c r="A755" t="s">
        <v>789</v>
      </c>
      <c r="B755">
        <v>73.28</v>
      </c>
      <c r="C755">
        <v>5</v>
      </c>
      <c r="D755">
        <v>18.32</v>
      </c>
      <c r="E755">
        <v>384.72</v>
      </c>
      <c r="F755" s="1">
        <v>43489</v>
      </c>
      <c r="G755" s="2">
        <v>0.62847222222222221</v>
      </c>
      <c r="H755" t="s">
        <v>23</v>
      </c>
      <c r="I755">
        <v>366.4</v>
      </c>
      <c r="J755">
        <v>4.7619047620000003</v>
      </c>
      <c r="K755">
        <v>18.32</v>
      </c>
      <c r="L755">
        <v>8.4</v>
      </c>
    </row>
    <row r="756" spans="1:12" x14ac:dyDescent="0.25">
      <c r="A756" t="s">
        <v>790</v>
      </c>
      <c r="B756">
        <v>84.87</v>
      </c>
      <c r="C756">
        <v>3</v>
      </c>
      <c r="D756">
        <v>12.730499999999999</v>
      </c>
      <c r="E756">
        <v>267.34050000000002</v>
      </c>
      <c r="F756" s="1">
        <v>43490</v>
      </c>
      <c r="G756" s="2">
        <v>0.77083333333333337</v>
      </c>
      <c r="H756" t="s">
        <v>23</v>
      </c>
      <c r="I756">
        <v>254.61</v>
      </c>
      <c r="J756">
        <v>4.7619047620000003</v>
      </c>
      <c r="K756">
        <v>12.730499999999999</v>
      </c>
      <c r="L756">
        <v>7.4</v>
      </c>
    </row>
    <row r="757" spans="1:12" x14ac:dyDescent="0.25">
      <c r="A757" t="s">
        <v>791</v>
      </c>
      <c r="B757">
        <v>97.29</v>
      </c>
      <c r="C757">
        <v>8</v>
      </c>
      <c r="D757">
        <v>38.915999999999997</v>
      </c>
      <c r="E757">
        <v>817.23599999999999</v>
      </c>
      <c r="F757" s="1">
        <v>43533</v>
      </c>
      <c r="G757" s="2">
        <v>0.5541666666666667</v>
      </c>
      <c r="H757" t="s">
        <v>33</v>
      </c>
      <c r="I757">
        <v>778.32</v>
      </c>
      <c r="J757">
        <v>4.7619047620000003</v>
      </c>
      <c r="K757">
        <v>38.915999999999997</v>
      </c>
      <c r="L757">
        <v>6.2</v>
      </c>
    </row>
    <row r="758" spans="1:12" x14ac:dyDescent="0.25">
      <c r="A758" t="s">
        <v>792</v>
      </c>
      <c r="B758">
        <v>35.74</v>
      </c>
      <c r="C758">
        <v>8</v>
      </c>
      <c r="D758">
        <v>14.295999999999999</v>
      </c>
      <c r="E758">
        <v>300.21600000000001</v>
      </c>
      <c r="F758" s="1">
        <v>43513</v>
      </c>
      <c r="G758" s="2">
        <v>0.64444444444444449</v>
      </c>
      <c r="H758" t="s">
        <v>23</v>
      </c>
      <c r="I758">
        <v>285.92</v>
      </c>
      <c r="J758">
        <v>4.7619047620000003</v>
      </c>
      <c r="K758">
        <v>14.295999999999999</v>
      </c>
      <c r="L758">
        <v>4.9000000000000004</v>
      </c>
    </row>
    <row r="759" spans="1:12" x14ac:dyDescent="0.25">
      <c r="A759" t="s">
        <v>793</v>
      </c>
      <c r="B759">
        <v>96.52</v>
      </c>
      <c r="C759">
        <v>6</v>
      </c>
      <c r="D759">
        <v>28.956</v>
      </c>
      <c r="E759">
        <v>608.07600000000002</v>
      </c>
      <c r="F759" s="1">
        <v>43476</v>
      </c>
      <c r="G759" s="2">
        <v>0.49444444444444446</v>
      </c>
      <c r="H759" t="s">
        <v>29</v>
      </c>
      <c r="I759">
        <v>579.12</v>
      </c>
      <c r="J759">
        <v>4.7619047620000003</v>
      </c>
      <c r="K759">
        <v>28.956</v>
      </c>
      <c r="L759">
        <v>4.5</v>
      </c>
    </row>
    <row r="760" spans="1:12" x14ac:dyDescent="0.25">
      <c r="A760" t="s">
        <v>794</v>
      </c>
      <c r="B760">
        <v>18.850000000000001</v>
      </c>
      <c r="C760">
        <v>10</v>
      </c>
      <c r="D760">
        <v>9.4250000000000007</v>
      </c>
      <c r="E760">
        <v>197.92500000000001</v>
      </c>
      <c r="F760" s="1">
        <v>43523</v>
      </c>
      <c r="G760" s="2">
        <v>0.76666666666666661</v>
      </c>
      <c r="H760" t="s">
        <v>23</v>
      </c>
      <c r="I760">
        <v>188.5</v>
      </c>
      <c r="J760">
        <v>4.7619047620000003</v>
      </c>
      <c r="K760">
        <v>9.4250000000000007</v>
      </c>
      <c r="L760">
        <v>5.6</v>
      </c>
    </row>
    <row r="761" spans="1:12" x14ac:dyDescent="0.25">
      <c r="A761" t="s">
        <v>795</v>
      </c>
      <c r="B761">
        <v>55.39</v>
      </c>
      <c r="C761">
        <v>4</v>
      </c>
      <c r="D761">
        <v>11.077999999999999</v>
      </c>
      <c r="E761">
        <v>232.63800000000001</v>
      </c>
      <c r="F761" s="1">
        <v>43549</v>
      </c>
      <c r="G761" s="2">
        <v>0.6381944444444444</v>
      </c>
      <c r="H761" t="s">
        <v>23</v>
      </c>
      <c r="I761">
        <v>221.56</v>
      </c>
      <c r="J761">
        <v>4.7619047620000003</v>
      </c>
      <c r="K761">
        <v>11.077999999999999</v>
      </c>
      <c r="L761">
        <v>8</v>
      </c>
    </row>
    <row r="762" spans="1:12" x14ac:dyDescent="0.25">
      <c r="A762" t="s">
        <v>796</v>
      </c>
      <c r="B762">
        <v>77.2</v>
      </c>
      <c r="C762">
        <v>10</v>
      </c>
      <c r="D762">
        <v>38.6</v>
      </c>
      <c r="E762">
        <v>810.6</v>
      </c>
      <c r="F762" s="1">
        <v>43507</v>
      </c>
      <c r="G762" s="2">
        <v>0.44305555555555554</v>
      </c>
      <c r="H762" t="s">
        <v>33</v>
      </c>
      <c r="I762">
        <v>772</v>
      </c>
      <c r="J762">
        <v>4.7619047620000003</v>
      </c>
      <c r="K762">
        <v>38.6</v>
      </c>
      <c r="L762">
        <v>5.6</v>
      </c>
    </row>
    <row r="763" spans="1:12" x14ac:dyDescent="0.25">
      <c r="A763" t="s">
        <v>797</v>
      </c>
      <c r="B763">
        <v>72.13</v>
      </c>
      <c r="C763">
        <v>10</v>
      </c>
      <c r="D763">
        <v>36.064999999999998</v>
      </c>
      <c r="E763">
        <v>757.36500000000001</v>
      </c>
      <c r="F763" s="1">
        <v>43496</v>
      </c>
      <c r="G763" s="2">
        <v>0.6333333333333333</v>
      </c>
      <c r="H763" t="s">
        <v>33</v>
      </c>
      <c r="I763">
        <v>721.3</v>
      </c>
      <c r="J763">
        <v>4.7619047620000003</v>
      </c>
      <c r="K763">
        <v>36.064999999999998</v>
      </c>
      <c r="L763">
        <v>4.2</v>
      </c>
    </row>
    <row r="764" spans="1:12" x14ac:dyDescent="0.25">
      <c r="A764" t="s">
        <v>798</v>
      </c>
      <c r="B764">
        <v>63.88</v>
      </c>
      <c r="C764">
        <v>8</v>
      </c>
      <c r="D764">
        <v>25.552</v>
      </c>
      <c r="E764">
        <v>536.59199999999998</v>
      </c>
      <c r="F764" s="1">
        <v>43485</v>
      </c>
      <c r="G764" s="2">
        <v>0.7416666666666667</v>
      </c>
      <c r="H764" t="s">
        <v>23</v>
      </c>
      <c r="I764">
        <v>511.04</v>
      </c>
      <c r="J764">
        <v>4.7619047620000003</v>
      </c>
      <c r="K764">
        <v>25.552</v>
      </c>
      <c r="L764">
        <v>9.9</v>
      </c>
    </row>
    <row r="765" spans="1:12" x14ac:dyDescent="0.25">
      <c r="A765" t="s">
        <v>799</v>
      </c>
      <c r="B765">
        <v>10.69</v>
      </c>
      <c r="C765">
        <v>5</v>
      </c>
      <c r="D765">
        <v>2.6724999999999999</v>
      </c>
      <c r="E765">
        <v>56.122500000000002</v>
      </c>
      <c r="F765" s="1">
        <v>43550</v>
      </c>
      <c r="G765" s="2">
        <v>0.46319444444444446</v>
      </c>
      <c r="H765" t="s">
        <v>23</v>
      </c>
      <c r="I765">
        <v>53.45</v>
      </c>
      <c r="J765">
        <v>4.7619047620000003</v>
      </c>
      <c r="K765">
        <v>2.6724999999999999</v>
      </c>
      <c r="L765">
        <v>7.6</v>
      </c>
    </row>
    <row r="766" spans="1:12" x14ac:dyDescent="0.25">
      <c r="A766" t="s">
        <v>800</v>
      </c>
      <c r="B766">
        <v>55.5</v>
      </c>
      <c r="C766">
        <v>4</v>
      </c>
      <c r="D766">
        <v>11.1</v>
      </c>
      <c r="E766">
        <v>233.1</v>
      </c>
      <c r="F766" s="1">
        <v>43485</v>
      </c>
      <c r="G766" s="2">
        <v>0.65833333333333333</v>
      </c>
      <c r="H766" t="s">
        <v>33</v>
      </c>
      <c r="I766">
        <v>222</v>
      </c>
      <c r="J766">
        <v>4.7619047620000003</v>
      </c>
      <c r="K766">
        <v>11.1</v>
      </c>
      <c r="L766">
        <v>6.6</v>
      </c>
    </row>
    <row r="767" spans="1:12" x14ac:dyDescent="0.25">
      <c r="A767" t="s">
        <v>801</v>
      </c>
      <c r="B767">
        <v>95.46</v>
      </c>
      <c r="C767">
        <v>8</v>
      </c>
      <c r="D767">
        <v>38.183999999999997</v>
      </c>
      <c r="E767">
        <v>801.86400000000003</v>
      </c>
      <c r="F767" s="1">
        <v>43529</v>
      </c>
      <c r="G767" s="2">
        <v>0.81944444444444453</v>
      </c>
      <c r="H767" t="s">
        <v>23</v>
      </c>
      <c r="I767">
        <v>763.68</v>
      </c>
      <c r="J767">
        <v>4.7619047620000003</v>
      </c>
      <c r="K767">
        <v>38.183999999999997</v>
      </c>
      <c r="L767">
        <v>4.7</v>
      </c>
    </row>
    <row r="768" spans="1:12" x14ac:dyDescent="0.25">
      <c r="A768" t="s">
        <v>802</v>
      </c>
      <c r="B768">
        <v>76.06</v>
      </c>
      <c r="C768">
        <v>3</v>
      </c>
      <c r="D768">
        <v>11.409000000000001</v>
      </c>
      <c r="E768">
        <v>239.589</v>
      </c>
      <c r="F768" s="1">
        <v>43470</v>
      </c>
      <c r="G768" s="2">
        <v>0.85416666666666663</v>
      </c>
      <c r="H768" t="s">
        <v>33</v>
      </c>
      <c r="I768">
        <v>228.18</v>
      </c>
      <c r="J768">
        <v>4.7619047620000003</v>
      </c>
      <c r="K768">
        <v>11.409000000000001</v>
      </c>
      <c r="L768">
        <v>9.8000000000000007</v>
      </c>
    </row>
    <row r="769" spans="1:12" x14ac:dyDescent="0.25">
      <c r="A769" t="s">
        <v>803</v>
      </c>
      <c r="B769">
        <v>13.69</v>
      </c>
      <c r="C769">
        <v>6</v>
      </c>
      <c r="D769">
        <v>4.1070000000000002</v>
      </c>
      <c r="E769">
        <v>86.247</v>
      </c>
      <c r="F769" s="1">
        <v>43509</v>
      </c>
      <c r="G769" s="2">
        <v>0.58263888888888882</v>
      </c>
      <c r="H769" t="s">
        <v>29</v>
      </c>
      <c r="I769">
        <v>82.14</v>
      </c>
      <c r="J769">
        <v>4.7619047620000003</v>
      </c>
      <c r="K769">
        <v>4.1070000000000002</v>
      </c>
      <c r="L769">
        <v>6.3</v>
      </c>
    </row>
    <row r="770" spans="1:12" x14ac:dyDescent="0.25">
      <c r="A770" t="s">
        <v>804</v>
      </c>
      <c r="B770">
        <v>95.64</v>
      </c>
      <c r="C770">
        <v>4</v>
      </c>
      <c r="D770">
        <v>19.128</v>
      </c>
      <c r="E770">
        <v>401.68799999999999</v>
      </c>
      <c r="F770" s="1">
        <v>43540</v>
      </c>
      <c r="G770" s="2">
        <v>0.78541666666666676</v>
      </c>
      <c r="H770" t="s">
        <v>29</v>
      </c>
      <c r="I770">
        <v>382.56</v>
      </c>
      <c r="J770">
        <v>4.7619047620000003</v>
      </c>
      <c r="K770">
        <v>19.128</v>
      </c>
      <c r="L770">
        <v>7.9</v>
      </c>
    </row>
    <row r="771" spans="1:12" x14ac:dyDescent="0.25">
      <c r="A771" t="s">
        <v>805</v>
      </c>
      <c r="B771">
        <v>11.43</v>
      </c>
      <c r="C771">
        <v>6</v>
      </c>
      <c r="D771">
        <v>3.4289999999999998</v>
      </c>
      <c r="E771">
        <v>72.009</v>
      </c>
      <c r="F771" s="1">
        <v>43480</v>
      </c>
      <c r="G771" s="2">
        <v>0.72499999999999998</v>
      </c>
      <c r="H771" t="s">
        <v>29</v>
      </c>
      <c r="I771">
        <v>68.58</v>
      </c>
      <c r="J771">
        <v>4.7619047620000003</v>
      </c>
      <c r="K771">
        <v>3.4289999999999998</v>
      </c>
      <c r="L771">
        <v>7.7</v>
      </c>
    </row>
    <row r="772" spans="1:12" x14ac:dyDescent="0.25">
      <c r="A772" t="s">
        <v>806</v>
      </c>
      <c r="B772">
        <v>95.54</v>
      </c>
      <c r="C772">
        <v>4</v>
      </c>
      <c r="D772">
        <v>19.108000000000001</v>
      </c>
      <c r="E772">
        <v>401.26799999999997</v>
      </c>
      <c r="F772" s="1">
        <v>43522</v>
      </c>
      <c r="G772" s="2">
        <v>0.49861111111111112</v>
      </c>
      <c r="H772" t="s">
        <v>23</v>
      </c>
      <c r="I772">
        <v>382.16</v>
      </c>
      <c r="J772">
        <v>4.7619047620000003</v>
      </c>
      <c r="K772">
        <v>19.108000000000001</v>
      </c>
      <c r="L772">
        <v>4.5</v>
      </c>
    </row>
    <row r="773" spans="1:12" x14ac:dyDescent="0.25">
      <c r="A773" t="s">
        <v>807</v>
      </c>
      <c r="B773">
        <v>85.87</v>
      </c>
      <c r="C773">
        <v>7</v>
      </c>
      <c r="D773">
        <v>30.054500000000001</v>
      </c>
      <c r="E773">
        <v>631.14449999999999</v>
      </c>
      <c r="F773" s="1">
        <v>43523</v>
      </c>
      <c r="G773" s="2">
        <v>0.79236111111111107</v>
      </c>
      <c r="H773" t="s">
        <v>33</v>
      </c>
      <c r="I773">
        <v>601.09</v>
      </c>
      <c r="J773">
        <v>4.7619047620000003</v>
      </c>
      <c r="K773">
        <v>30.054500000000001</v>
      </c>
      <c r="L773">
        <v>8</v>
      </c>
    </row>
    <row r="774" spans="1:12" x14ac:dyDescent="0.25">
      <c r="A774" t="s">
        <v>808</v>
      </c>
      <c r="B774">
        <v>67.989999999999995</v>
      </c>
      <c r="C774">
        <v>7</v>
      </c>
      <c r="D774">
        <v>23.796500000000002</v>
      </c>
      <c r="E774">
        <v>499.72649999999999</v>
      </c>
      <c r="F774" s="1">
        <v>43513</v>
      </c>
      <c r="G774" s="2">
        <v>0.70138888888888884</v>
      </c>
      <c r="H774" t="s">
        <v>23</v>
      </c>
      <c r="I774">
        <v>475.93</v>
      </c>
      <c r="J774">
        <v>4.7619047620000003</v>
      </c>
      <c r="K774">
        <v>23.796500000000002</v>
      </c>
      <c r="L774">
        <v>5.7</v>
      </c>
    </row>
    <row r="775" spans="1:12" x14ac:dyDescent="0.25">
      <c r="A775" t="s">
        <v>809</v>
      </c>
      <c r="B775">
        <v>52.42</v>
      </c>
      <c r="C775">
        <v>1</v>
      </c>
      <c r="D775">
        <v>2.621</v>
      </c>
      <c r="E775">
        <v>55.040999999999997</v>
      </c>
      <c r="F775" s="1">
        <v>43502</v>
      </c>
      <c r="G775" s="2">
        <v>0.43194444444444446</v>
      </c>
      <c r="H775" t="s">
        <v>33</v>
      </c>
      <c r="I775">
        <v>52.42</v>
      </c>
      <c r="J775">
        <v>4.7619047620000003</v>
      </c>
      <c r="K775">
        <v>2.621</v>
      </c>
      <c r="L775">
        <v>6.3</v>
      </c>
    </row>
    <row r="776" spans="1:12" x14ac:dyDescent="0.25">
      <c r="A776" t="s">
        <v>810</v>
      </c>
      <c r="B776">
        <v>65.650000000000006</v>
      </c>
      <c r="C776">
        <v>2</v>
      </c>
      <c r="D776">
        <v>6.5650000000000004</v>
      </c>
      <c r="E776">
        <v>137.86500000000001</v>
      </c>
      <c r="F776" s="1">
        <v>43482</v>
      </c>
      <c r="G776" s="2">
        <v>0.69861111111111107</v>
      </c>
      <c r="H776" t="s">
        <v>29</v>
      </c>
      <c r="I776">
        <v>131.30000000000001</v>
      </c>
      <c r="J776">
        <v>4.7619047620000003</v>
      </c>
      <c r="K776">
        <v>6.5650000000000004</v>
      </c>
      <c r="L776">
        <v>6</v>
      </c>
    </row>
    <row r="777" spans="1:12" x14ac:dyDescent="0.25">
      <c r="A777" t="s">
        <v>811</v>
      </c>
      <c r="B777">
        <v>28.86</v>
      </c>
      <c r="C777">
        <v>5</v>
      </c>
      <c r="D777">
        <v>7.2149999999999999</v>
      </c>
      <c r="E777">
        <v>151.51499999999999</v>
      </c>
      <c r="F777" s="1">
        <v>43487</v>
      </c>
      <c r="G777" s="2">
        <v>0.75555555555555554</v>
      </c>
      <c r="H777" t="s">
        <v>33</v>
      </c>
      <c r="I777">
        <v>144.30000000000001</v>
      </c>
      <c r="J777">
        <v>4.7619047620000003</v>
      </c>
      <c r="K777">
        <v>7.2149999999999999</v>
      </c>
      <c r="L777">
        <v>8</v>
      </c>
    </row>
    <row r="778" spans="1:12" x14ac:dyDescent="0.25">
      <c r="A778" t="s">
        <v>812</v>
      </c>
      <c r="B778">
        <v>65.31</v>
      </c>
      <c r="C778">
        <v>7</v>
      </c>
      <c r="D778">
        <v>22.858499999999999</v>
      </c>
      <c r="E778">
        <v>480.02850000000001</v>
      </c>
      <c r="F778" s="1">
        <v>43529</v>
      </c>
      <c r="G778" s="2">
        <v>0.75138888888888899</v>
      </c>
      <c r="H778" t="s">
        <v>33</v>
      </c>
      <c r="I778">
        <v>457.17</v>
      </c>
      <c r="J778">
        <v>4.7619047620000003</v>
      </c>
      <c r="K778">
        <v>22.858499999999999</v>
      </c>
      <c r="L778">
        <v>4.2</v>
      </c>
    </row>
    <row r="779" spans="1:12" x14ac:dyDescent="0.25">
      <c r="A779" t="s">
        <v>813</v>
      </c>
      <c r="B779">
        <v>93.38</v>
      </c>
      <c r="C779">
        <v>1</v>
      </c>
      <c r="D779">
        <v>4.6689999999999996</v>
      </c>
      <c r="E779">
        <v>98.049000000000007</v>
      </c>
      <c r="F779" s="1">
        <v>43468</v>
      </c>
      <c r="G779" s="2">
        <v>0.54652777777777783</v>
      </c>
      <c r="H779" t="s">
        <v>29</v>
      </c>
      <c r="I779">
        <v>93.38</v>
      </c>
      <c r="J779">
        <v>4.7619047620000003</v>
      </c>
      <c r="K779">
        <v>4.6689999999999996</v>
      </c>
      <c r="L779">
        <v>9.6</v>
      </c>
    </row>
    <row r="780" spans="1:12" x14ac:dyDescent="0.25">
      <c r="A780" t="s">
        <v>814</v>
      </c>
      <c r="B780">
        <v>25.25</v>
      </c>
      <c r="C780">
        <v>5</v>
      </c>
      <c r="D780">
        <v>6.3125</v>
      </c>
      <c r="E780">
        <v>132.5625</v>
      </c>
      <c r="F780" s="1">
        <v>43544</v>
      </c>
      <c r="G780" s="2">
        <v>0.74444444444444446</v>
      </c>
      <c r="H780" t="s">
        <v>29</v>
      </c>
      <c r="I780">
        <v>126.25</v>
      </c>
      <c r="J780">
        <v>4.7619047620000003</v>
      </c>
      <c r="K780">
        <v>6.3125</v>
      </c>
      <c r="L780">
        <v>6.1</v>
      </c>
    </row>
    <row r="781" spans="1:12" x14ac:dyDescent="0.25">
      <c r="A781" t="s">
        <v>815</v>
      </c>
      <c r="B781">
        <v>87.87</v>
      </c>
      <c r="C781">
        <v>9</v>
      </c>
      <c r="D781">
        <v>39.541499999999999</v>
      </c>
      <c r="E781">
        <v>830.37149999999997</v>
      </c>
      <c r="F781" s="1">
        <v>43496</v>
      </c>
      <c r="G781" s="2">
        <v>0.85555555555555562</v>
      </c>
      <c r="H781" t="s">
        <v>23</v>
      </c>
      <c r="I781">
        <v>790.83</v>
      </c>
      <c r="J781">
        <v>4.7619047620000003</v>
      </c>
      <c r="K781">
        <v>39.541499999999999</v>
      </c>
      <c r="L781">
        <v>5.6</v>
      </c>
    </row>
    <row r="782" spans="1:12" x14ac:dyDescent="0.25">
      <c r="A782" t="s">
        <v>816</v>
      </c>
      <c r="B782">
        <v>21.8</v>
      </c>
      <c r="C782">
        <v>8</v>
      </c>
      <c r="D782">
        <v>8.7200000000000006</v>
      </c>
      <c r="E782">
        <v>183.12</v>
      </c>
      <c r="F782" s="1">
        <v>43515</v>
      </c>
      <c r="G782" s="2">
        <v>0.80833333333333324</v>
      </c>
      <c r="H782" t="s">
        <v>29</v>
      </c>
      <c r="I782">
        <v>174.4</v>
      </c>
      <c r="J782">
        <v>4.7619047620000003</v>
      </c>
      <c r="K782">
        <v>8.7200000000000006</v>
      </c>
      <c r="L782">
        <v>8.3000000000000007</v>
      </c>
    </row>
    <row r="783" spans="1:12" x14ac:dyDescent="0.25">
      <c r="A783" t="s">
        <v>817</v>
      </c>
      <c r="B783">
        <v>94.76</v>
      </c>
      <c r="C783">
        <v>4</v>
      </c>
      <c r="D783">
        <v>18.952000000000002</v>
      </c>
      <c r="E783">
        <v>397.99200000000002</v>
      </c>
      <c r="F783" s="1">
        <v>43507</v>
      </c>
      <c r="G783" s="2">
        <v>0.67083333333333339</v>
      </c>
      <c r="H783" t="s">
        <v>23</v>
      </c>
      <c r="I783">
        <v>379.04</v>
      </c>
      <c r="J783">
        <v>4.7619047620000003</v>
      </c>
      <c r="K783">
        <v>18.952000000000002</v>
      </c>
      <c r="L783">
        <v>7.8</v>
      </c>
    </row>
    <row r="784" spans="1:12" x14ac:dyDescent="0.25">
      <c r="A784" t="s">
        <v>818</v>
      </c>
      <c r="B784">
        <v>30.62</v>
      </c>
      <c r="C784">
        <v>1</v>
      </c>
      <c r="D784">
        <v>1.5309999999999999</v>
      </c>
      <c r="E784">
        <v>32.151000000000003</v>
      </c>
      <c r="F784" s="1">
        <v>43501</v>
      </c>
      <c r="G784" s="2">
        <v>0.59305555555555556</v>
      </c>
      <c r="H784" t="s">
        <v>33</v>
      </c>
      <c r="I784">
        <v>30.62</v>
      </c>
      <c r="J784">
        <v>4.7619047620000003</v>
      </c>
      <c r="K784">
        <v>1.5309999999999999</v>
      </c>
      <c r="L784">
        <v>4.0999999999999996</v>
      </c>
    </row>
    <row r="785" spans="1:12" x14ac:dyDescent="0.25">
      <c r="A785" t="s">
        <v>819</v>
      </c>
      <c r="B785">
        <v>44.01</v>
      </c>
      <c r="C785">
        <v>8</v>
      </c>
      <c r="D785">
        <v>17.603999999999999</v>
      </c>
      <c r="E785">
        <v>369.68400000000003</v>
      </c>
      <c r="F785" s="1">
        <v>43527</v>
      </c>
      <c r="G785" s="2">
        <v>0.73333333333333339</v>
      </c>
      <c r="H785" t="s">
        <v>29</v>
      </c>
      <c r="I785">
        <v>352.08</v>
      </c>
      <c r="J785">
        <v>4.7619047620000003</v>
      </c>
      <c r="K785">
        <v>17.603999999999999</v>
      </c>
      <c r="L785">
        <v>8.8000000000000007</v>
      </c>
    </row>
    <row r="786" spans="1:12" x14ac:dyDescent="0.25">
      <c r="A786" t="s">
        <v>820</v>
      </c>
      <c r="B786">
        <v>10.16</v>
      </c>
      <c r="C786">
        <v>5</v>
      </c>
      <c r="D786">
        <v>2.54</v>
      </c>
      <c r="E786">
        <v>53.34</v>
      </c>
      <c r="F786" s="1">
        <v>43520</v>
      </c>
      <c r="G786" s="2">
        <v>0.54722222222222217</v>
      </c>
      <c r="H786" t="s">
        <v>23</v>
      </c>
      <c r="I786">
        <v>50.8</v>
      </c>
      <c r="J786">
        <v>4.7619047620000003</v>
      </c>
      <c r="K786">
        <v>2.54</v>
      </c>
      <c r="L786">
        <v>4.0999999999999996</v>
      </c>
    </row>
    <row r="787" spans="1:12" x14ac:dyDescent="0.25">
      <c r="A787" t="s">
        <v>821</v>
      </c>
      <c r="B787">
        <v>74.58</v>
      </c>
      <c r="C787">
        <v>7</v>
      </c>
      <c r="D787">
        <v>26.103000000000002</v>
      </c>
      <c r="E787">
        <v>548.16300000000001</v>
      </c>
      <c r="F787" s="1">
        <v>43500</v>
      </c>
      <c r="G787" s="2">
        <v>0.67291666666666661</v>
      </c>
      <c r="H787" t="s">
        <v>33</v>
      </c>
      <c r="I787">
        <v>522.05999999999995</v>
      </c>
      <c r="J787">
        <v>4.7619047620000003</v>
      </c>
      <c r="K787">
        <v>26.103000000000002</v>
      </c>
      <c r="L787">
        <v>9</v>
      </c>
    </row>
    <row r="788" spans="1:12" x14ac:dyDescent="0.25">
      <c r="A788" t="s">
        <v>822</v>
      </c>
      <c r="B788">
        <v>71.89</v>
      </c>
      <c r="C788">
        <v>8</v>
      </c>
      <c r="D788">
        <v>28.756</v>
      </c>
      <c r="E788">
        <v>603.87599999999998</v>
      </c>
      <c r="F788" s="1">
        <v>43515</v>
      </c>
      <c r="G788" s="2">
        <v>0.48125000000000001</v>
      </c>
      <c r="H788" t="s">
        <v>23</v>
      </c>
      <c r="I788">
        <v>575.12</v>
      </c>
      <c r="J788">
        <v>4.7619047620000003</v>
      </c>
      <c r="K788">
        <v>28.756</v>
      </c>
      <c r="L788">
        <v>5.5</v>
      </c>
    </row>
    <row r="789" spans="1:12" x14ac:dyDescent="0.25">
      <c r="A789" t="s">
        <v>823</v>
      </c>
      <c r="B789">
        <v>10.99</v>
      </c>
      <c r="C789">
        <v>5</v>
      </c>
      <c r="D789">
        <v>2.7475000000000001</v>
      </c>
      <c r="E789">
        <v>57.697499999999998</v>
      </c>
      <c r="F789" s="1">
        <v>43488</v>
      </c>
      <c r="G789" s="2">
        <v>0.4291666666666667</v>
      </c>
      <c r="H789" t="s">
        <v>33</v>
      </c>
      <c r="I789">
        <v>54.95</v>
      </c>
      <c r="J789">
        <v>4.7619047620000003</v>
      </c>
      <c r="K789">
        <v>2.7475000000000001</v>
      </c>
      <c r="L789">
        <v>9.3000000000000007</v>
      </c>
    </row>
    <row r="790" spans="1:12" x14ac:dyDescent="0.25">
      <c r="A790" t="s">
        <v>824</v>
      </c>
      <c r="B790">
        <v>60.47</v>
      </c>
      <c r="C790">
        <v>3</v>
      </c>
      <c r="D790">
        <v>9.0704999999999991</v>
      </c>
      <c r="E790">
        <v>190.48050000000001</v>
      </c>
      <c r="F790" s="1">
        <v>43479</v>
      </c>
      <c r="G790" s="2">
        <v>0.4548611111111111</v>
      </c>
      <c r="H790" t="s">
        <v>33</v>
      </c>
      <c r="I790">
        <v>181.41</v>
      </c>
      <c r="J790">
        <v>4.7619047620000003</v>
      </c>
      <c r="K790">
        <v>9.0704999999999991</v>
      </c>
      <c r="L790">
        <v>5.6</v>
      </c>
    </row>
    <row r="791" spans="1:12" x14ac:dyDescent="0.25">
      <c r="A791" t="s">
        <v>825</v>
      </c>
      <c r="B791">
        <v>58.91</v>
      </c>
      <c r="C791">
        <v>7</v>
      </c>
      <c r="D791">
        <v>20.618500000000001</v>
      </c>
      <c r="E791">
        <v>432.98849999999999</v>
      </c>
      <c r="F791" s="1">
        <v>43482</v>
      </c>
      <c r="G791" s="2">
        <v>0.63541666666666663</v>
      </c>
      <c r="H791" t="s">
        <v>23</v>
      </c>
      <c r="I791">
        <v>412.37</v>
      </c>
      <c r="J791">
        <v>4.7619047620000003</v>
      </c>
      <c r="K791">
        <v>20.618500000000001</v>
      </c>
      <c r="L791">
        <v>9.6999999999999993</v>
      </c>
    </row>
    <row r="792" spans="1:12" x14ac:dyDescent="0.25">
      <c r="A792" t="s">
        <v>826</v>
      </c>
      <c r="B792">
        <v>46.41</v>
      </c>
      <c r="C792">
        <v>1</v>
      </c>
      <c r="D792">
        <v>2.3205</v>
      </c>
      <c r="E792">
        <v>48.730499999999999</v>
      </c>
      <c r="F792" s="1">
        <v>43527</v>
      </c>
      <c r="G792" s="2">
        <v>0.83750000000000002</v>
      </c>
      <c r="H792" t="s">
        <v>33</v>
      </c>
      <c r="I792">
        <v>46.41</v>
      </c>
      <c r="J792">
        <v>4.7619047620000003</v>
      </c>
      <c r="K792">
        <v>2.3205</v>
      </c>
      <c r="L792">
        <v>4</v>
      </c>
    </row>
    <row r="793" spans="1:12" x14ac:dyDescent="0.25">
      <c r="A793" t="s">
        <v>827</v>
      </c>
      <c r="B793">
        <v>68.55</v>
      </c>
      <c r="C793">
        <v>4</v>
      </c>
      <c r="D793">
        <v>13.71</v>
      </c>
      <c r="E793">
        <v>287.91000000000003</v>
      </c>
      <c r="F793" s="1">
        <v>43511</v>
      </c>
      <c r="G793" s="2">
        <v>0.84791666666666676</v>
      </c>
      <c r="H793" t="s">
        <v>33</v>
      </c>
      <c r="I793">
        <v>274.2</v>
      </c>
      <c r="J793">
        <v>4.7619047620000003</v>
      </c>
      <c r="K793">
        <v>13.71</v>
      </c>
      <c r="L793">
        <v>9.1999999999999993</v>
      </c>
    </row>
    <row r="794" spans="1:12" x14ac:dyDescent="0.25">
      <c r="A794" t="s">
        <v>828</v>
      </c>
      <c r="B794">
        <v>97.37</v>
      </c>
      <c r="C794">
        <v>10</v>
      </c>
      <c r="D794">
        <v>48.685000000000002</v>
      </c>
      <c r="E794">
        <v>1022.385</v>
      </c>
      <c r="F794" s="1">
        <v>43480</v>
      </c>
      <c r="G794" s="2">
        <v>0.57500000000000007</v>
      </c>
      <c r="H794" t="s">
        <v>33</v>
      </c>
      <c r="I794">
        <v>973.7</v>
      </c>
      <c r="J794">
        <v>4.7619047620000003</v>
      </c>
      <c r="K794">
        <v>48.685000000000002</v>
      </c>
      <c r="L794">
        <v>4.9000000000000004</v>
      </c>
    </row>
    <row r="795" spans="1:12" x14ac:dyDescent="0.25">
      <c r="A795" t="s">
        <v>829</v>
      </c>
      <c r="B795">
        <v>92.6</v>
      </c>
      <c r="C795">
        <v>7</v>
      </c>
      <c r="D795">
        <v>32.409999999999997</v>
      </c>
      <c r="E795">
        <v>680.61</v>
      </c>
      <c r="F795" s="1">
        <v>43523</v>
      </c>
      <c r="G795" s="2">
        <v>0.53611111111111109</v>
      </c>
      <c r="H795" t="s">
        <v>33</v>
      </c>
      <c r="I795">
        <v>648.20000000000005</v>
      </c>
      <c r="J795">
        <v>4.7619047620000003</v>
      </c>
      <c r="K795">
        <v>32.409999999999997</v>
      </c>
      <c r="L795">
        <v>9.3000000000000007</v>
      </c>
    </row>
    <row r="796" spans="1:12" x14ac:dyDescent="0.25">
      <c r="A796" t="s">
        <v>830</v>
      </c>
      <c r="B796">
        <v>46.61</v>
      </c>
      <c r="C796">
        <v>2</v>
      </c>
      <c r="D796">
        <v>4.6609999999999996</v>
      </c>
      <c r="E796">
        <v>97.881</v>
      </c>
      <c r="F796" s="1">
        <v>43522</v>
      </c>
      <c r="G796" s="2">
        <v>0.51944444444444449</v>
      </c>
      <c r="H796" t="s">
        <v>33</v>
      </c>
      <c r="I796">
        <v>93.22</v>
      </c>
      <c r="J796">
        <v>4.7619047620000003</v>
      </c>
      <c r="K796">
        <v>4.6609999999999996</v>
      </c>
      <c r="L796">
        <v>6.6</v>
      </c>
    </row>
    <row r="797" spans="1:12" x14ac:dyDescent="0.25">
      <c r="A797" t="s">
        <v>831</v>
      </c>
      <c r="B797">
        <v>27.18</v>
      </c>
      <c r="C797">
        <v>2</v>
      </c>
      <c r="D797">
        <v>2.718</v>
      </c>
      <c r="E797">
        <v>57.078000000000003</v>
      </c>
      <c r="F797" s="1">
        <v>43539</v>
      </c>
      <c r="G797" s="2">
        <v>0.68472222222222223</v>
      </c>
      <c r="H797" t="s">
        <v>23</v>
      </c>
      <c r="I797">
        <v>54.36</v>
      </c>
      <c r="J797">
        <v>4.7619047620000003</v>
      </c>
      <c r="K797">
        <v>2.718</v>
      </c>
      <c r="L797">
        <v>4.3</v>
      </c>
    </row>
    <row r="798" spans="1:12" x14ac:dyDescent="0.25">
      <c r="A798" t="s">
        <v>832</v>
      </c>
      <c r="B798">
        <v>60.87</v>
      </c>
      <c r="C798">
        <v>1</v>
      </c>
      <c r="D798">
        <v>3.0434999999999999</v>
      </c>
      <c r="E798">
        <v>63.913499999999999</v>
      </c>
      <c r="F798" s="1">
        <v>43489</v>
      </c>
      <c r="G798" s="2">
        <v>0.55833333333333335</v>
      </c>
      <c r="H798" t="s">
        <v>29</v>
      </c>
      <c r="I798">
        <v>60.87</v>
      </c>
      <c r="J798">
        <v>4.7619047620000003</v>
      </c>
      <c r="K798">
        <v>3.0434999999999999</v>
      </c>
      <c r="L798">
        <v>5.5</v>
      </c>
    </row>
    <row r="799" spans="1:12" x14ac:dyDescent="0.25">
      <c r="A799" t="s">
        <v>833</v>
      </c>
      <c r="B799">
        <v>24.49</v>
      </c>
      <c r="C799">
        <v>10</v>
      </c>
      <c r="D799">
        <v>12.244999999999999</v>
      </c>
      <c r="E799">
        <v>257.14499999999998</v>
      </c>
      <c r="F799" s="1">
        <v>43518</v>
      </c>
      <c r="G799" s="2">
        <v>0.63541666666666663</v>
      </c>
      <c r="H799" t="s">
        <v>29</v>
      </c>
      <c r="I799">
        <v>244.9</v>
      </c>
      <c r="J799">
        <v>4.7619047620000003</v>
      </c>
      <c r="K799">
        <v>12.244999999999999</v>
      </c>
      <c r="L799">
        <v>8.1</v>
      </c>
    </row>
    <row r="800" spans="1:12" x14ac:dyDescent="0.25">
      <c r="A800" t="s">
        <v>834</v>
      </c>
      <c r="B800">
        <v>92.78</v>
      </c>
      <c r="C800">
        <v>1</v>
      </c>
      <c r="D800">
        <v>4.6390000000000002</v>
      </c>
      <c r="E800">
        <v>97.418999999999997</v>
      </c>
      <c r="F800" s="1">
        <v>43539</v>
      </c>
      <c r="G800" s="2">
        <v>0.4513888888888889</v>
      </c>
      <c r="H800" t="s">
        <v>33</v>
      </c>
      <c r="I800">
        <v>92.78</v>
      </c>
      <c r="J800">
        <v>4.7619047620000003</v>
      </c>
      <c r="K800">
        <v>4.6390000000000002</v>
      </c>
      <c r="L800">
        <v>9.8000000000000007</v>
      </c>
    </row>
    <row r="801" spans="1:12" x14ac:dyDescent="0.25">
      <c r="A801" t="s">
        <v>835</v>
      </c>
      <c r="B801">
        <v>86.69</v>
      </c>
      <c r="C801">
        <v>5</v>
      </c>
      <c r="D801">
        <v>21.672499999999999</v>
      </c>
      <c r="E801">
        <v>455.1225</v>
      </c>
      <c r="F801" s="1">
        <v>43507</v>
      </c>
      <c r="G801" s="2">
        <v>0.77638888888888891</v>
      </c>
      <c r="H801" t="s">
        <v>23</v>
      </c>
      <c r="I801">
        <v>433.45</v>
      </c>
      <c r="J801">
        <v>4.7619047620000003</v>
      </c>
      <c r="K801">
        <v>21.672499999999999</v>
      </c>
      <c r="L801">
        <v>9.4</v>
      </c>
    </row>
    <row r="802" spans="1:12" x14ac:dyDescent="0.25">
      <c r="A802" t="s">
        <v>836</v>
      </c>
      <c r="B802">
        <v>23.01</v>
      </c>
      <c r="C802">
        <v>6</v>
      </c>
      <c r="D802">
        <v>6.9029999999999996</v>
      </c>
      <c r="E802">
        <v>144.96299999999999</v>
      </c>
      <c r="F802" s="1">
        <v>43477</v>
      </c>
      <c r="G802" s="2">
        <v>0.69791666666666663</v>
      </c>
      <c r="H802" t="s">
        <v>23</v>
      </c>
      <c r="I802">
        <v>138.06</v>
      </c>
      <c r="J802">
        <v>4.7619047620000003</v>
      </c>
      <c r="K802">
        <v>6.9029999999999996</v>
      </c>
      <c r="L802">
        <v>7.9</v>
      </c>
    </row>
    <row r="803" spans="1:12" x14ac:dyDescent="0.25">
      <c r="A803" t="s">
        <v>837</v>
      </c>
      <c r="B803">
        <v>30.2</v>
      </c>
      <c r="C803">
        <v>8</v>
      </c>
      <c r="D803">
        <v>12.08</v>
      </c>
      <c r="E803">
        <v>253.68</v>
      </c>
      <c r="F803" s="1">
        <v>43527</v>
      </c>
      <c r="G803" s="2">
        <v>0.8125</v>
      </c>
      <c r="H803" t="s">
        <v>23</v>
      </c>
      <c r="I803">
        <v>241.6</v>
      </c>
      <c r="J803">
        <v>4.7619047620000003</v>
      </c>
      <c r="K803">
        <v>12.08</v>
      </c>
      <c r="L803">
        <v>5.0999999999999996</v>
      </c>
    </row>
    <row r="804" spans="1:12" x14ac:dyDescent="0.25">
      <c r="A804" t="s">
        <v>838</v>
      </c>
      <c r="B804">
        <v>67.39</v>
      </c>
      <c r="C804">
        <v>7</v>
      </c>
      <c r="D804">
        <v>23.586500000000001</v>
      </c>
      <c r="E804">
        <v>495.31650000000002</v>
      </c>
      <c r="F804" s="1">
        <v>43547</v>
      </c>
      <c r="G804" s="2">
        <v>0.55763888888888891</v>
      </c>
      <c r="H804" t="s">
        <v>23</v>
      </c>
      <c r="I804">
        <v>471.73</v>
      </c>
      <c r="J804">
        <v>4.7619047620000003</v>
      </c>
      <c r="K804">
        <v>23.586500000000001</v>
      </c>
      <c r="L804">
        <v>6.9</v>
      </c>
    </row>
    <row r="805" spans="1:12" x14ac:dyDescent="0.25">
      <c r="A805" t="s">
        <v>839</v>
      </c>
      <c r="B805">
        <v>48.96</v>
      </c>
      <c r="C805">
        <v>9</v>
      </c>
      <c r="D805">
        <v>22.032</v>
      </c>
      <c r="E805">
        <v>462.67200000000003</v>
      </c>
      <c r="F805" s="1">
        <v>43528</v>
      </c>
      <c r="G805" s="2">
        <v>0.4770833333333333</v>
      </c>
      <c r="H805" t="s">
        <v>29</v>
      </c>
      <c r="I805">
        <v>440.64</v>
      </c>
      <c r="J805">
        <v>4.7619047620000003</v>
      </c>
      <c r="K805">
        <v>22.032</v>
      </c>
      <c r="L805">
        <v>8</v>
      </c>
    </row>
    <row r="806" spans="1:12" x14ac:dyDescent="0.25">
      <c r="A806" t="s">
        <v>840</v>
      </c>
      <c r="B806">
        <v>75.59</v>
      </c>
      <c r="C806">
        <v>9</v>
      </c>
      <c r="D806">
        <v>34.015500000000003</v>
      </c>
      <c r="E806">
        <v>714.32550000000003</v>
      </c>
      <c r="F806" s="1">
        <v>43519</v>
      </c>
      <c r="G806" s="2">
        <v>0.46666666666666662</v>
      </c>
      <c r="H806" t="s">
        <v>29</v>
      </c>
      <c r="I806">
        <v>680.31</v>
      </c>
      <c r="J806">
        <v>4.7619047620000003</v>
      </c>
      <c r="K806">
        <v>34.015500000000003</v>
      </c>
      <c r="L806">
        <v>8</v>
      </c>
    </row>
    <row r="807" spans="1:12" x14ac:dyDescent="0.25">
      <c r="A807" t="s">
        <v>841</v>
      </c>
      <c r="B807">
        <v>77.47</v>
      </c>
      <c r="C807">
        <v>4</v>
      </c>
      <c r="D807">
        <v>15.494</v>
      </c>
      <c r="E807">
        <v>325.37400000000002</v>
      </c>
      <c r="F807" s="1">
        <v>43541</v>
      </c>
      <c r="G807" s="2">
        <v>0.69166666666666676</v>
      </c>
      <c r="H807" t="s">
        <v>29</v>
      </c>
      <c r="I807">
        <v>309.88</v>
      </c>
      <c r="J807">
        <v>4.7619047620000003</v>
      </c>
      <c r="K807">
        <v>15.494</v>
      </c>
      <c r="L807">
        <v>4.2</v>
      </c>
    </row>
    <row r="808" spans="1:12" x14ac:dyDescent="0.25">
      <c r="A808" t="s">
        <v>842</v>
      </c>
      <c r="B808">
        <v>93.18</v>
      </c>
      <c r="C808">
        <v>2</v>
      </c>
      <c r="D808">
        <v>9.3179999999999996</v>
      </c>
      <c r="E808">
        <v>195.678</v>
      </c>
      <c r="F808" s="1">
        <v>43481</v>
      </c>
      <c r="G808" s="2">
        <v>0.77847222222222223</v>
      </c>
      <c r="H808" t="s">
        <v>33</v>
      </c>
      <c r="I808">
        <v>186.36</v>
      </c>
      <c r="J808">
        <v>4.7619047620000003</v>
      </c>
      <c r="K808">
        <v>9.3179999999999996</v>
      </c>
      <c r="L808">
        <v>8.5</v>
      </c>
    </row>
    <row r="809" spans="1:12" x14ac:dyDescent="0.25">
      <c r="A809" t="s">
        <v>843</v>
      </c>
      <c r="B809">
        <v>50.23</v>
      </c>
      <c r="C809">
        <v>4</v>
      </c>
      <c r="D809">
        <v>10.045999999999999</v>
      </c>
      <c r="E809">
        <v>210.96600000000001</v>
      </c>
      <c r="F809" s="1">
        <v>43473</v>
      </c>
      <c r="G809" s="2">
        <v>0.71666666666666667</v>
      </c>
      <c r="H809" t="s">
        <v>29</v>
      </c>
      <c r="I809">
        <v>200.92</v>
      </c>
      <c r="J809">
        <v>4.7619047620000003</v>
      </c>
      <c r="K809">
        <v>10.045999999999999</v>
      </c>
      <c r="L809">
        <v>9</v>
      </c>
    </row>
    <row r="810" spans="1:12" x14ac:dyDescent="0.25">
      <c r="A810" t="s">
        <v>844</v>
      </c>
      <c r="B810">
        <v>17.75</v>
      </c>
      <c r="C810">
        <v>1</v>
      </c>
      <c r="D810">
        <v>0.88749999999999996</v>
      </c>
      <c r="E810">
        <v>18.637499999999999</v>
      </c>
      <c r="F810" s="1">
        <v>43479</v>
      </c>
      <c r="G810" s="2">
        <v>0.44305555555555554</v>
      </c>
      <c r="H810" t="s">
        <v>29</v>
      </c>
      <c r="I810">
        <v>17.75</v>
      </c>
      <c r="J810">
        <v>4.7619047620000003</v>
      </c>
      <c r="K810">
        <v>0.88749999999999996</v>
      </c>
      <c r="L810">
        <v>8.6</v>
      </c>
    </row>
    <row r="811" spans="1:12" x14ac:dyDescent="0.25">
      <c r="A811" t="s">
        <v>845</v>
      </c>
      <c r="B811">
        <v>62.18</v>
      </c>
      <c r="C811">
        <v>10</v>
      </c>
      <c r="D811">
        <v>31.09</v>
      </c>
      <c r="E811">
        <v>652.89</v>
      </c>
      <c r="F811" s="1">
        <v>43496</v>
      </c>
      <c r="G811" s="2">
        <v>0.43958333333333338</v>
      </c>
      <c r="H811" t="s">
        <v>23</v>
      </c>
      <c r="I811">
        <v>621.79999999999995</v>
      </c>
      <c r="J811">
        <v>4.7619047620000003</v>
      </c>
      <c r="K811">
        <v>31.09</v>
      </c>
      <c r="L811">
        <v>6</v>
      </c>
    </row>
    <row r="812" spans="1:12" x14ac:dyDescent="0.25">
      <c r="A812" t="s">
        <v>846</v>
      </c>
      <c r="B812">
        <v>10.75</v>
      </c>
      <c r="C812">
        <v>8</v>
      </c>
      <c r="D812">
        <v>4.3</v>
      </c>
      <c r="E812">
        <v>90.3</v>
      </c>
      <c r="F812" s="1">
        <v>43539</v>
      </c>
      <c r="G812" s="2">
        <v>0.60972222222222217</v>
      </c>
      <c r="H812" t="s">
        <v>23</v>
      </c>
      <c r="I812">
        <v>86</v>
      </c>
      <c r="J812">
        <v>4.7619047620000003</v>
      </c>
      <c r="K812">
        <v>4.3</v>
      </c>
      <c r="L812">
        <v>6.2</v>
      </c>
    </row>
    <row r="813" spans="1:12" x14ac:dyDescent="0.25">
      <c r="A813" t="s">
        <v>847</v>
      </c>
      <c r="B813">
        <v>40.26</v>
      </c>
      <c r="C813">
        <v>10</v>
      </c>
      <c r="D813">
        <v>20.13</v>
      </c>
      <c r="E813">
        <v>422.73</v>
      </c>
      <c r="F813" s="1">
        <v>43520</v>
      </c>
      <c r="G813" s="2">
        <v>0.75416666666666676</v>
      </c>
      <c r="H813" t="s">
        <v>33</v>
      </c>
      <c r="I813">
        <v>402.6</v>
      </c>
      <c r="J813">
        <v>4.7619047620000003</v>
      </c>
      <c r="K813">
        <v>20.13</v>
      </c>
      <c r="L813">
        <v>5</v>
      </c>
    </row>
    <row r="814" spans="1:12" x14ac:dyDescent="0.25">
      <c r="A814" t="s">
        <v>848</v>
      </c>
      <c r="B814">
        <v>64.97</v>
      </c>
      <c r="C814">
        <v>5</v>
      </c>
      <c r="D814">
        <v>16.2425</v>
      </c>
      <c r="E814">
        <v>341.09249999999997</v>
      </c>
      <c r="F814" s="1">
        <v>43504</v>
      </c>
      <c r="G814" s="2">
        <v>0.53611111111111109</v>
      </c>
      <c r="H814" t="s">
        <v>33</v>
      </c>
      <c r="I814">
        <v>324.85000000000002</v>
      </c>
      <c r="J814">
        <v>4.7619047620000003</v>
      </c>
      <c r="K814">
        <v>16.2425</v>
      </c>
      <c r="L814">
        <v>6.5</v>
      </c>
    </row>
    <row r="815" spans="1:12" x14ac:dyDescent="0.25">
      <c r="A815" t="s">
        <v>849</v>
      </c>
      <c r="B815">
        <v>95.15</v>
      </c>
      <c r="C815">
        <v>1</v>
      </c>
      <c r="D815">
        <v>4.7575000000000003</v>
      </c>
      <c r="E815">
        <v>99.907499999999999</v>
      </c>
      <c r="F815" s="1">
        <v>43546</v>
      </c>
      <c r="G815" s="2">
        <v>0.58333333333333337</v>
      </c>
      <c r="H815" t="s">
        <v>29</v>
      </c>
      <c r="I815">
        <v>95.15</v>
      </c>
      <c r="J815">
        <v>4.7619047620000003</v>
      </c>
      <c r="K815">
        <v>4.7575000000000003</v>
      </c>
      <c r="L815">
        <v>6</v>
      </c>
    </row>
    <row r="816" spans="1:12" x14ac:dyDescent="0.25">
      <c r="A816" t="s">
        <v>850</v>
      </c>
      <c r="B816">
        <v>48.62</v>
      </c>
      <c r="C816">
        <v>8</v>
      </c>
      <c r="D816">
        <v>19.448</v>
      </c>
      <c r="E816">
        <v>408.40800000000002</v>
      </c>
      <c r="F816" s="1">
        <v>43489</v>
      </c>
      <c r="G816" s="2">
        <v>0.45624999999999999</v>
      </c>
      <c r="H816" t="s">
        <v>29</v>
      </c>
      <c r="I816">
        <v>388.96</v>
      </c>
      <c r="J816">
        <v>4.7619047620000003</v>
      </c>
      <c r="K816">
        <v>19.448</v>
      </c>
      <c r="L816">
        <v>5</v>
      </c>
    </row>
    <row r="817" spans="1:12" x14ac:dyDescent="0.25">
      <c r="A817" t="s">
        <v>851</v>
      </c>
      <c r="B817">
        <v>53.21</v>
      </c>
      <c r="C817">
        <v>8</v>
      </c>
      <c r="D817">
        <v>21.283999999999999</v>
      </c>
      <c r="E817">
        <v>446.964</v>
      </c>
      <c r="F817" s="1">
        <v>43538</v>
      </c>
      <c r="G817" s="2">
        <v>0.69791666666666663</v>
      </c>
      <c r="H817" t="s">
        <v>23</v>
      </c>
      <c r="I817">
        <v>425.68</v>
      </c>
      <c r="J817">
        <v>4.7619047620000003</v>
      </c>
      <c r="K817">
        <v>21.283999999999999</v>
      </c>
      <c r="L817">
        <v>5</v>
      </c>
    </row>
    <row r="818" spans="1:12" x14ac:dyDescent="0.25">
      <c r="A818" t="s">
        <v>852</v>
      </c>
      <c r="B818">
        <v>45.44</v>
      </c>
      <c r="C818">
        <v>7</v>
      </c>
      <c r="D818">
        <v>15.904</v>
      </c>
      <c r="E818">
        <v>333.98399999999998</v>
      </c>
      <c r="F818" s="1">
        <v>43488</v>
      </c>
      <c r="G818" s="2">
        <v>0.46875</v>
      </c>
      <c r="H818" t="s">
        <v>29</v>
      </c>
      <c r="I818">
        <v>318.08</v>
      </c>
      <c r="J818">
        <v>4.7619047620000003</v>
      </c>
      <c r="K818">
        <v>15.904</v>
      </c>
      <c r="L818">
        <v>9.1999999999999993</v>
      </c>
    </row>
    <row r="819" spans="1:12" x14ac:dyDescent="0.25">
      <c r="A819" t="s">
        <v>853</v>
      </c>
      <c r="B819">
        <v>33.880000000000003</v>
      </c>
      <c r="C819">
        <v>8</v>
      </c>
      <c r="D819">
        <v>13.552</v>
      </c>
      <c r="E819">
        <v>284.59199999999998</v>
      </c>
      <c r="F819" s="1">
        <v>43484</v>
      </c>
      <c r="G819" s="2">
        <v>0.8534722222222223</v>
      </c>
      <c r="H819" t="s">
        <v>23</v>
      </c>
      <c r="I819">
        <v>271.04000000000002</v>
      </c>
      <c r="J819">
        <v>4.7619047620000003</v>
      </c>
      <c r="K819">
        <v>13.552</v>
      </c>
      <c r="L819">
        <v>9.6</v>
      </c>
    </row>
    <row r="820" spans="1:12" x14ac:dyDescent="0.25">
      <c r="A820" t="s">
        <v>854</v>
      </c>
      <c r="B820">
        <v>96.16</v>
      </c>
      <c r="C820">
        <v>4</v>
      </c>
      <c r="D820">
        <v>19.231999999999999</v>
      </c>
      <c r="E820">
        <v>403.87200000000001</v>
      </c>
      <c r="F820" s="1">
        <v>43492</v>
      </c>
      <c r="G820" s="2">
        <v>0.8354166666666667</v>
      </c>
      <c r="H820" t="s">
        <v>33</v>
      </c>
      <c r="I820">
        <v>384.64</v>
      </c>
      <c r="J820">
        <v>4.7619047620000003</v>
      </c>
      <c r="K820">
        <v>19.231999999999999</v>
      </c>
      <c r="L820">
        <v>8.4</v>
      </c>
    </row>
    <row r="821" spans="1:12" x14ac:dyDescent="0.25">
      <c r="A821" t="s">
        <v>855</v>
      </c>
      <c r="B821">
        <v>47.16</v>
      </c>
      <c r="C821">
        <v>5</v>
      </c>
      <c r="D821">
        <v>11.79</v>
      </c>
      <c r="E821">
        <v>247.59</v>
      </c>
      <c r="F821" s="1">
        <v>43499</v>
      </c>
      <c r="G821" s="2">
        <v>0.60763888888888895</v>
      </c>
      <c r="H821" t="s">
        <v>33</v>
      </c>
      <c r="I821">
        <v>235.8</v>
      </c>
      <c r="J821">
        <v>4.7619047620000003</v>
      </c>
      <c r="K821">
        <v>11.79</v>
      </c>
      <c r="L821">
        <v>6</v>
      </c>
    </row>
    <row r="822" spans="1:12" x14ac:dyDescent="0.25">
      <c r="A822" t="s">
        <v>856</v>
      </c>
      <c r="B822">
        <v>52.89</v>
      </c>
      <c r="C822">
        <v>4</v>
      </c>
      <c r="D822">
        <v>10.577999999999999</v>
      </c>
      <c r="E822">
        <v>222.13800000000001</v>
      </c>
      <c r="F822" s="1">
        <v>43549</v>
      </c>
      <c r="G822" s="2">
        <v>0.68888888888888899</v>
      </c>
      <c r="H822" t="s">
        <v>23</v>
      </c>
      <c r="I822">
        <v>211.56</v>
      </c>
      <c r="J822">
        <v>4.7619047620000003</v>
      </c>
      <c r="K822">
        <v>10.577999999999999</v>
      </c>
      <c r="L822">
        <v>6.7</v>
      </c>
    </row>
    <row r="823" spans="1:12" x14ac:dyDescent="0.25">
      <c r="A823" t="s">
        <v>857</v>
      </c>
      <c r="B823">
        <v>47.68</v>
      </c>
      <c r="C823">
        <v>2</v>
      </c>
      <c r="D823">
        <v>4.7679999999999998</v>
      </c>
      <c r="E823">
        <v>100.128</v>
      </c>
      <c r="F823" s="1">
        <v>43520</v>
      </c>
      <c r="G823" s="2">
        <v>0.4236111111111111</v>
      </c>
      <c r="H823" t="s">
        <v>33</v>
      </c>
      <c r="I823">
        <v>95.36</v>
      </c>
      <c r="J823">
        <v>4.7619047620000003</v>
      </c>
      <c r="K823">
        <v>4.7679999999999998</v>
      </c>
      <c r="L823">
        <v>4.0999999999999996</v>
      </c>
    </row>
    <row r="824" spans="1:12" x14ac:dyDescent="0.25">
      <c r="A824" t="s">
        <v>858</v>
      </c>
      <c r="B824">
        <v>10.17</v>
      </c>
      <c r="C824">
        <v>1</v>
      </c>
      <c r="D824">
        <v>0.50849999999999995</v>
      </c>
      <c r="E824">
        <v>10.6785</v>
      </c>
      <c r="F824" s="1">
        <v>43503</v>
      </c>
      <c r="G824" s="2">
        <v>0.59375</v>
      </c>
      <c r="H824" t="s">
        <v>29</v>
      </c>
      <c r="I824">
        <v>10.17</v>
      </c>
      <c r="J824">
        <v>4.7619047620000003</v>
      </c>
      <c r="K824">
        <v>0.50849999999999995</v>
      </c>
      <c r="L824">
        <v>5.9</v>
      </c>
    </row>
    <row r="825" spans="1:12" x14ac:dyDescent="0.25">
      <c r="A825" t="s">
        <v>859</v>
      </c>
      <c r="B825">
        <v>68.709999999999994</v>
      </c>
      <c r="C825">
        <v>3</v>
      </c>
      <c r="D825">
        <v>10.3065</v>
      </c>
      <c r="E825">
        <v>216.4365</v>
      </c>
      <c r="F825" s="1">
        <v>43528</v>
      </c>
      <c r="G825" s="2">
        <v>0.4201388888888889</v>
      </c>
      <c r="H825" t="s">
        <v>29</v>
      </c>
      <c r="I825">
        <v>206.13</v>
      </c>
      <c r="J825">
        <v>4.7619047620000003</v>
      </c>
      <c r="K825">
        <v>10.3065</v>
      </c>
      <c r="L825">
        <v>8.6999999999999993</v>
      </c>
    </row>
    <row r="826" spans="1:12" x14ac:dyDescent="0.25">
      <c r="A826" t="s">
        <v>860</v>
      </c>
      <c r="B826">
        <v>60.08</v>
      </c>
      <c r="C826">
        <v>7</v>
      </c>
      <c r="D826">
        <v>21.027999999999999</v>
      </c>
      <c r="E826">
        <v>441.58800000000002</v>
      </c>
      <c r="F826" s="1">
        <v>43510</v>
      </c>
      <c r="G826" s="2">
        <v>0.48333333333333334</v>
      </c>
      <c r="H826" t="s">
        <v>33</v>
      </c>
      <c r="I826">
        <v>420.56</v>
      </c>
      <c r="J826">
        <v>4.7619047620000003</v>
      </c>
      <c r="K826">
        <v>21.027999999999999</v>
      </c>
      <c r="L826">
        <v>4.5</v>
      </c>
    </row>
    <row r="827" spans="1:12" x14ac:dyDescent="0.25">
      <c r="A827" t="s">
        <v>861</v>
      </c>
      <c r="B827">
        <v>22.01</v>
      </c>
      <c r="C827">
        <v>4</v>
      </c>
      <c r="D827">
        <v>4.4020000000000001</v>
      </c>
      <c r="E827">
        <v>92.441999999999993</v>
      </c>
      <c r="F827" s="1">
        <v>43494</v>
      </c>
      <c r="G827" s="2">
        <v>0.76041666666666663</v>
      </c>
      <c r="H827" t="s">
        <v>33</v>
      </c>
      <c r="I827">
        <v>88.04</v>
      </c>
      <c r="J827">
        <v>4.7619047620000003</v>
      </c>
      <c r="K827">
        <v>4.4020000000000001</v>
      </c>
      <c r="L827">
        <v>6.6</v>
      </c>
    </row>
    <row r="828" spans="1:12" x14ac:dyDescent="0.25">
      <c r="A828" t="s">
        <v>862</v>
      </c>
      <c r="B828">
        <v>72.11</v>
      </c>
      <c r="C828">
        <v>9</v>
      </c>
      <c r="D828">
        <v>32.4495</v>
      </c>
      <c r="E828">
        <v>681.43949999999995</v>
      </c>
      <c r="F828" s="1">
        <v>43493</v>
      </c>
      <c r="G828" s="2">
        <v>0.57847222222222217</v>
      </c>
      <c r="H828" t="s">
        <v>33</v>
      </c>
      <c r="I828">
        <v>648.99</v>
      </c>
      <c r="J828">
        <v>4.7619047620000003</v>
      </c>
      <c r="K828">
        <v>32.4495</v>
      </c>
      <c r="L828">
        <v>7.7</v>
      </c>
    </row>
    <row r="829" spans="1:12" x14ac:dyDescent="0.25">
      <c r="A829" t="s">
        <v>863</v>
      </c>
      <c r="B829">
        <v>41.28</v>
      </c>
      <c r="C829">
        <v>3</v>
      </c>
      <c r="D829">
        <v>6.1920000000000002</v>
      </c>
      <c r="E829">
        <v>130.03200000000001</v>
      </c>
      <c r="F829" s="1">
        <v>43550</v>
      </c>
      <c r="G829" s="2">
        <v>0.77569444444444446</v>
      </c>
      <c r="H829" t="s">
        <v>33</v>
      </c>
      <c r="I829">
        <v>123.84</v>
      </c>
      <c r="J829">
        <v>4.7619047620000003</v>
      </c>
      <c r="K829">
        <v>6.1920000000000002</v>
      </c>
      <c r="L829">
        <v>8.5</v>
      </c>
    </row>
    <row r="830" spans="1:12" x14ac:dyDescent="0.25">
      <c r="A830" t="s">
        <v>864</v>
      </c>
      <c r="B830">
        <v>64.95</v>
      </c>
      <c r="C830">
        <v>10</v>
      </c>
      <c r="D830">
        <v>32.475000000000001</v>
      </c>
      <c r="E830">
        <v>681.97500000000002</v>
      </c>
      <c r="F830" s="1">
        <v>43548</v>
      </c>
      <c r="G830" s="2">
        <v>0.76874999999999993</v>
      </c>
      <c r="H830" t="s">
        <v>29</v>
      </c>
      <c r="I830">
        <v>649.5</v>
      </c>
      <c r="J830">
        <v>4.7619047620000003</v>
      </c>
      <c r="K830">
        <v>32.475000000000001</v>
      </c>
      <c r="L830">
        <v>5.2</v>
      </c>
    </row>
    <row r="831" spans="1:12" x14ac:dyDescent="0.25">
      <c r="A831" t="s">
        <v>865</v>
      </c>
      <c r="B831">
        <v>74.22</v>
      </c>
      <c r="C831">
        <v>10</v>
      </c>
      <c r="D831">
        <v>37.11</v>
      </c>
      <c r="E831">
        <v>779.31</v>
      </c>
      <c r="F831" s="1">
        <v>43466</v>
      </c>
      <c r="G831" s="2">
        <v>0.61249999999999993</v>
      </c>
      <c r="H831" t="s">
        <v>33</v>
      </c>
      <c r="I831">
        <v>742.2</v>
      </c>
      <c r="J831">
        <v>4.7619047620000003</v>
      </c>
      <c r="K831">
        <v>37.11</v>
      </c>
      <c r="L831">
        <v>4.3</v>
      </c>
    </row>
    <row r="832" spans="1:12" x14ac:dyDescent="0.25">
      <c r="A832" t="s">
        <v>866</v>
      </c>
      <c r="B832">
        <v>10.56</v>
      </c>
      <c r="C832">
        <v>8</v>
      </c>
      <c r="D832">
        <v>4.2240000000000002</v>
      </c>
      <c r="E832">
        <v>88.703999999999994</v>
      </c>
      <c r="F832" s="1">
        <v>43489</v>
      </c>
      <c r="G832" s="2">
        <v>0.73819444444444438</v>
      </c>
      <c r="H832" t="s">
        <v>29</v>
      </c>
      <c r="I832">
        <v>84.48</v>
      </c>
      <c r="J832">
        <v>4.7619047620000003</v>
      </c>
      <c r="K832">
        <v>4.2240000000000002</v>
      </c>
      <c r="L832">
        <v>7.6</v>
      </c>
    </row>
    <row r="833" spans="1:12" x14ac:dyDescent="0.25">
      <c r="A833" t="s">
        <v>867</v>
      </c>
      <c r="B833">
        <v>62.57</v>
      </c>
      <c r="C833">
        <v>4</v>
      </c>
      <c r="D833">
        <v>12.513999999999999</v>
      </c>
      <c r="E833">
        <v>262.79399999999998</v>
      </c>
      <c r="F833" s="1">
        <v>43521</v>
      </c>
      <c r="G833" s="2">
        <v>0.77569444444444446</v>
      </c>
      <c r="H833" t="s">
        <v>29</v>
      </c>
      <c r="I833">
        <v>250.28</v>
      </c>
      <c r="J833">
        <v>4.7619047620000003</v>
      </c>
      <c r="K833">
        <v>12.513999999999999</v>
      </c>
      <c r="L833">
        <v>9.5</v>
      </c>
    </row>
    <row r="834" spans="1:12" x14ac:dyDescent="0.25">
      <c r="A834" t="s">
        <v>868</v>
      </c>
      <c r="B834">
        <v>11.85</v>
      </c>
      <c r="C834">
        <v>8</v>
      </c>
      <c r="D834">
        <v>4.74</v>
      </c>
      <c r="E834">
        <v>99.54</v>
      </c>
      <c r="F834" s="1">
        <v>43474</v>
      </c>
      <c r="G834" s="2">
        <v>0.69027777777777777</v>
      </c>
      <c r="H834" t="s">
        <v>29</v>
      </c>
      <c r="I834">
        <v>94.8</v>
      </c>
      <c r="J834">
        <v>4.7619047620000003</v>
      </c>
      <c r="K834">
        <v>4.74</v>
      </c>
      <c r="L834">
        <v>4.0999999999999996</v>
      </c>
    </row>
    <row r="835" spans="1:12" x14ac:dyDescent="0.25">
      <c r="A835" t="s">
        <v>869</v>
      </c>
      <c r="B835">
        <v>91.3</v>
      </c>
      <c r="C835">
        <v>1</v>
      </c>
      <c r="D835">
        <v>4.5650000000000004</v>
      </c>
      <c r="E835">
        <v>95.864999999999995</v>
      </c>
      <c r="F835" s="1">
        <v>43510</v>
      </c>
      <c r="G835" s="2">
        <v>0.61249999999999993</v>
      </c>
      <c r="H835" t="s">
        <v>23</v>
      </c>
      <c r="I835">
        <v>91.3</v>
      </c>
      <c r="J835">
        <v>4.7619047620000003</v>
      </c>
      <c r="K835">
        <v>4.5650000000000004</v>
      </c>
      <c r="L835">
        <v>9.1999999999999993</v>
      </c>
    </row>
    <row r="836" spans="1:12" x14ac:dyDescent="0.25">
      <c r="A836" t="s">
        <v>870</v>
      </c>
      <c r="B836">
        <v>40.729999999999997</v>
      </c>
      <c r="C836">
        <v>7</v>
      </c>
      <c r="D836">
        <v>14.2555</v>
      </c>
      <c r="E836">
        <v>299.3655</v>
      </c>
      <c r="F836" s="1">
        <v>43536</v>
      </c>
      <c r="G836" s="2">
        <v>0.45902777777777781</v>
      </c>
      <c r="H836" t="s">
        <v>23</v>
      </c>
      <c r="I836">
        <v>285.11</v>
      </c>
      <c r="J836">
        <v>4.7619047620000003</v>
      </c>
      <c r="K836">
        <v>14.2555</v>
      </c>
      <c r="L836">
        <v>5.4</v>
      </c>
    </row>
    <row r="837" spans="1:12" x14ac:dyDescent="0.25">
      <c r="A837" t="s">
        <v>871</v>
      </c>
      <c r="B837">
        <v>52.38</v>
      </c>
      <c r="C837">
        <v>1</v>
      </c>
      <c r="D837">
        <v>2.6190000000000002</v>
      </c>
      <c r="E837">
        <v>54.999000000000002</v>
      </c>
      <c r="F837" s="1">
        <v>43550</v>
      </c>
      <c r="G837" s="2">
        <v>0.8222222222222223</v>
      </c>
      <c r="H837" t="s">
        <v>29</v>
      </c>
      <c r="I837">
        <v>52.38</v>
      </c>
      <c r="J837">
        <v>4.7619047620000003</v>
      </c>
      <c r="K837">
        <v>2.6190000000000002</v>
      </c>
      <c r="L837">
        <v>5.8</v>
      </c>
    </row>
    <row r="838" spans="1:12" x14ac:dyDescent="0.25">
      <c r="A838" t="s">
        <v>872</v>
      </c>
      <c r="B838">
        <v>38.54</v>
      </c>
      <c r="C838">
        <v>5</v>
      </c>
      <c r="D838">
        <v>9.6349999999999998</v>
      </c>
      <c r="E838">
        <v>202.33500000000001</v>
      </c>
      <c r="F838" s="1">
        <v>43474</v>
      </c>
      <c r="G838" s="2">
        <v>0.56527777777777777</v>
      </c>
      <c r="H838" t="s">
        <v>23</v>
      </c>
      <c r="I838">
        <v>192.7</v>
      </c>
      <c r="J838">
        <v>4.7619047620000003</v>
      </c>
      <c r="K838">
        <v>9.6349999999999998</v>
      </c>
      <c r="L838">
        <v>5.6</v>
      </c>
    </row>
    <row r="839" spans="1:12" x14ac:dyDescent="0.25">
      <c r="A839" t="s">
        <v>873</v>
      </c>
      <c r="B839">
        <v>44.63</v>
      </c>
      <c r="C839">
        <v>6</v>
      </c>
      <c r="D839">
        <v>13.388999999999999</v>
      </c>
      <c r="E839">
        <v>281.16899999999998</v>
      </c>
      <c r="F839" s="1">
        <v>43467</v>
      </c>
      <c r="G839" s="2">
        <v>0.83888888888888891</v>
      </c>
      <c r="H839" t="s">
        <v>33</v>
      </c>
      <c r="I839">
        <v>267.77999999999997</v>
      </c>
      <c r="J839">
        <v>4.7619047620000003</v>
      </c>
      <c r="K839">
        <v>13.388999999999999</v>
      </c>
      <c r="L839">
        <v>5.0999999999999996</v>
      </c>
    </row>
    <row r="840" spans="1:12" x14ac:dyDescent="0.25">
      <c r="A840" t="s">
        <v>874</v>
      </c>
      <c r="B840">
        <v>55.87</v>
      </c>
      <c r="C840">
        <v>10</v>
      </c>
      <c r="D840">
        <v>27.934999999999999</v>
      </c>
      <c r="E840">
        <v>586.63499999999999</v>
      </c>
      <c r="F840" s="1">
        <v>43480</v>
      </c>
      <c r="G840" s="2">
        <v>0.62569444444444444</v>
      </c>
      <c r="H840" t="s">
        <v>29</v>
      </c>
      <c r="I840">
        <v>558.70000000000005</v>
      </c>
      <c r="J840">
        <v>4.7619047620000003</v>
      </c>
      <c r="K840">
        <v>27.934999999999999</v>
      </c>
      <c r="L840">
        <v>5.8</v>
      </c>
    </row>
    <row r="841" spans="1:12" x14ac:dyDescent="0.25">
      <c r="A841" t="s">
        <v>875</v>
      </c>
      <c r="B841">
        <v>29.22</v>
      </c>
      <c r="C841">
        <v>6</v>
      </c>
      <c r="D841">
        <v>8.766</v>
      </c>
      <c r="E841">
        <v>184.08600000000001</v>
      </c>
      <c r="F841" s="1">
        <v>43466</v>
      </c>
      <c r="G841" s="2">
        <v>0.4861111111111111</v>
      </c>
      <c r="H841" t="s">
        <v>23</v>
      </c>
      <c r="I841">
        <v>175.32</v>
      </c>
      <c r="J841">
        <v>4.7619047620000003</v>
      </c>
      <c r="K841">
        <v>8.766</v>
      </c>
      <c r="L841">
        <v>5</v>
      </c>
    </row>
    <row r="842" spans="1:12" x14ac:dyDescent="0.25">
      <c r="A842" t="s">
        <v>876</v>
      </c>
      <c r="B842">
        <v>51.94</v>
      </c>
      <c r="C842">
        <v>3</v>
      </c>
      <c r="D842">
        <v>7.7910000000000004</v>
      </c>
      <c r="E842">
        <v>163.61099999999999</v>
      </c>
      <c r="F842" s="1">
        <v>43511</v>
      </c>
      <c r="G842" s="2">
        <v>0.63958333333333328</v>
      </c>
      <c r="H842" t="s">
        <v>29</v>
      </c>
      <c r="I842">
        <v>155.82</v>
      </c>
      <c r="J842">
        <v>4.7619047620000003</v>
      </c>
      <c r="K842">
        <v>7.7910000000000004</v>
      </c>
      <c r="L842">
        <v>7.9</v>
      </c>
    </row>
    <row r="843" spans="1:12" x14ac:dyDescent="0.25">
      <c r="A843" t="s">
        <v>877</v>
      </c>
      <c r="B843">
        <v>60.3</v>
      </c>
      <c r="C843">
        <v>1</v>
      </c>
      <c r="D843">
        <v>3.0150000000000001</v>
      </c>
      <c r="E843">
        <v>63.314999999999998</v>
      </c>
      <c r="F843" s="1">
        <v>43524</v>
      </c>
      <c r="G843" s="2">
        <v>0.73472222222222217</v>
      </c>
      <c r="H843" t="s">
        <v>29</v>
      </c>
      <c r="I843">
        <v>60.3</v>
      </c>
      <c r="J843">
        <v>4.7619047620000003</v>
      </c>
      <c r="K843">
        <v>3.0150000000000001</v>
      </c>
      <c r="L843">
        <v>6</v>
      </c>
    </row>
    <row r="844" spans="1:12" x14ac:dyDescent="0.25">
      <c r="A844" t="s">
        <v>878</v>
      </c>
      <c r="B844">
        <v>39.47</v>
      </c>
      <c r="C844">
        <v>2</v>
      </c>
      <c r="D844">
        <v>3.9470000000000001</v>
      </c>
      <c r="E844">
        <v>82.887</v>
      </c>
      <c r="F844" s="1">
        <v>43526</v>
      </c>
      <c r="G844" s="2">
        <v>0.6777777777777777</v>
      </c>
      <c r="H844" t="s">
        <v>33</v>
      </c>
      <c r="I844">
        <v>78.94</v>
      </c>
      <c r="J844">
        <v>4.7619047620000003</v>
      </c>
      <c r="K844">
        <v>3.9470000000000001</v>
      </c>
      <c r="L844">
        <v>5</v>
      </c>
    </row>
    <row r="845" spans="1:12" x14ac:dyDescent="0.25">
      <c r="A845" t="s">
        <v>879</v>
      </c>
      <c r="B845">
        <v>14.87</v>
      </c>
      <c r="C845">
        <v>2</v>
      </c>
      <c r="D845">
        <v>1.4870000000000001</v>
      </c>
      <c r="E845">
        <v>31.227</v>
      </c>
      <c r="F845" s="1">
        <v>43509</v>
      </c>
      <c r="G845" s="2">
        <v>0.76041666666666663</v>
      </c>
      <c r="H845" t="s">
        <v>33</v>
      </c>
      <c r="I845">
        <v>29.74</v>
      </c>
      <c r="J845">
        <v>4.7619047620000003</v>
      </c>
      <c r="K845">
        <v>1.4870000000000001</v>
      </c>
      <c r="L845">
        <v>8.9</v>
      </c>
    </row>
    <row r="846" spans="1:12" x14ac:dyDescent="0.25">
      <c r="A846" t="s">
        <v>880</v>
      </c>
      <c r="B846">
        <v>21.32</v>
      </c>
      <c r="C846">
        <v>1</v>
      </c>
      <c r="D846">
        <v>1.0660000000000001</v>
      </c>
      <c r="E846">
        <v>22.385999999999999</v>
      </c>
      <c r="F846" s="1">
        <v>43491</v>
      </c>
      <c r="G846" s="2">
        <v>0.52986111111111112</v>
      </c>
      <c r="H846" t="s">
        <v>29</v>
      </c>
      <c r="I846">
        <v>21.32</v>
      </c>
      <c r="J846">
        <v>4.7619047620000003</v>
      </c>
      <c r="K846">
        <v>1.0660000000000001</v>
      </c>
      <c r="L846">
        <v>5.9</v>
      </c>
    </row>
    <row r="847" spans="1:12" x14ac:dyDescent="0.25">
      <c r="A847" t="s">
        <v>881</v>
      </c>
      <c r="B847">
        <v>93.78</v>
      </c>
      <c r="C847">
        <v>3</v>
      </c>
      <c r="D847">
        <v>14.067</v>
      </c>
      <c r="E847">
        <v>295.40699999999998</v>
      </c>
      <c r="F847" s="1">
        <v>43495</v>
      </c>
      <c r="G847" s="2">
        <v>0.48055555555555557</v>
      </c>
      <c r="H847" t="s">
        <v>33</v>
      </c>
      <c r="I847">
        <v>281.33999999999997</v>
      </c>
      <c r="J847">
        <v>4.7619047620000003</v>
      </c>
      <c r="K847">
        <v>14.067</v>
      </c>
      <c r="L847">
        <v>5.9</v>
      </c>
    </row>
    <row r="848" spans="1:12" x14ac:dyDescent="0.25">
      <c r="A848" t="s">
        <v>882</v>
      </c>
      <c r="B848">
        <v>73.260000000000005</v>
      </c>
      <c r="C848">
        <v>1</v>
      </c>
      <c r="D848">
        <v>3.6629999999999998</v>
      </c>
      <c r="E848">
        <v>76.923000000000002</v>
      </c>
      <c r="F848" s="1">
        <v>43492</v>
      </c>
      <c r="G848" s="2">
        <v>0.75555555555555554</v>
      </c>
      <c r="H848" t="s">
        <v>23</v>
      </c>
      <c r="I848">
        <v>73.260000000000005</v>
      </c>
      <c r="J848">
        <v>4.7619047620000003</v>
      </c>
      <c r="K848">
        <v>3.6629999999999998</v>
      </c>
      <c r="L848">
        <v>9.6999999999999993</v>
      </c>
    </row>
    <row r="849" spans="1:12" x14ac:dyDescent="0.25">
      <c r="A849" t="s">
        <v>883</v>
      </c>
      <c r="B849">
        <v>22.38</v>
      </c>
      <c r="C849">
        <v>1</v>
      </c>
      <c r="D849">
        <v>1.119</v>
      </c>
      <c r="E849">
        <v>23.498999999999999</v>
      </c>
      <c r="F849" s="1">
        <v>43495</v>
      </c>
      <c r="G849" s="2">
        <v>0.71388888888888891</v>
      </c>
      <c r="H849" t="s">
        <v>33</v>
      </c>
      <c r="I849">
        <v>22.38</v>
      </c>
      <c r="J849">
        <v>4.7619047620000003</v>
      </c>
      <c r="K849">
        <v>1.119</v>
      </c>
      <c r="L849">
        <v>8.6</v>
      </c>
    </row>
    <row r="850" spans="1:12" x14ac:dyDescent="0.25">
      <c r="A850" t="s">
        <v>884</v>
      </c>
      <c r="B850">
        <v>72.88</v>
      </c>
      <c r="C850">
        <v>9</v>
      </c>
      <c r="D850">
        <v>32.795999999999999</v>
      </c>
      <c r="E850">
        <v>688.71600000000001</v>
      </c>
      <c r="F850" s="1">
        <v>43473</v>
      </c>
      <c r="G850" s="2">
        <v>0.81805555555555554</v>
      </c>
      <c r="H850" t="s">
        <v>29</v>
      </c>
      <c r="I850">
        <v>655.92</v>
      </c>
      <c r="J850">
        <v>4.7619047620000003</v>
      </c>
      <c r="K850">
        <v>32.795999999999999</v>
      </c>
      <c r="L850">
        <v>4</v>
      </c>
    </row>
    <row r="851" spans="1:12" x14ac:dyDescent="0.25">
      <c r="A851" t="s">
        <v>885</v>
      </c>
      <c r="B851">
        <v>99.1</v>
      </c>
      <c r="C851">
        <v>6</v>
      </c>
      <c r="D851">
        <v>29.73</v>
      </c>
      <c r="E851">
        <v>624.33000000000004</v>
      </c>
      <c r="F851" s="1">
        <v>43484</v>
      </c>
      <c r="G851" s="2">
        <v>0.5493055555555556</v>
      </c>
      <c r="H851" t="s">
        <v>29</v>
      </c>
      <c r="I851">
        <v>594.6</v>
      </c>
      <c r="J851">
        <v>4.7619047620000003</v>
      </c>
      <c r="K851">
        <v>29.73</v>
      </c>
      <c r="L851">
        <v>4.2</v>
      </c>
    </row>
    <row r="852" spans="1:12" x14ac:dyDescent="0.25">
      <c r="A852" t="s">
        <v>886</v>
      </c>
      <c r="B852">
        <v>74.099999999999994</v>
      </c>
      <c r="C852">
        <v>1</v>
      </c>
      <c r="D852">
        <v>3.7050000000000001</v>
      </c>
      <c r="E852">
        <v>77.805000000000007</v>
      </c>
      <c r="F852" s="1">
        <v>43490</v>
      </c>
      <c r="G852" s="2">
        <v>0.46180555555555558</v>
      </c>
      <c r="H852" t="s">
        <v>29</v>
      </c>
      <c r="I852">
        <v>74.099999999999994</v>
      </c>
      <c r="J852">
        <v>4.7619047620000003</v>
      </c>
      <c r="K852">
        <v>3.7050000000000001</v>
      </c>
      <c r="L852">
        <v>9.1999999999999993</v>
      </c>
    </row>
    <row r="853" spans="1:12" x14ac:dyDescent="0.25">
      <c r="A853" t="s">
        <v>887</v>
      </c>
      <c r="B853">
        <v>98.48</v>
      </c>
      <c r="C853">
        <v>2</v>
      </c>
      <c r="D853">
        <v>9.8480000000000008</v>
      </c>
      <c r="E853">
        <v>206.80799999999999</v>
      </c>
      <c r="F853" s="1">
        <v>43515</v>
      </c>
      <c r="G853" s="2">
        <v>0.42499999999999999</v>
      </c>
      <c r="H853" t="s">
        <v>23</v>
      </c>
      <c r="I853">
        <v>196.96</v>
      </c>
      <c r="J853">
        <v>4.7619047620000003</v>
      </c>
      <c r="K853">
        <v>9.8480000000000008</v>
      </c>
      <c r="L853">
        <v>9.1999999999999993</v>
      </c>
    </row>
    <row r="854" spans="1:12" x14ac:dyDescent="0.25">
      <c r="A854" t="s">
        <v>888</v>
      </c>
      <c r="B854">
        <v>53.19</v>
      </c>
      <c r="C854">
        <v>7</v>
      </c>
      <c r="D854">
        <v>18.616499999999998</v>
      </c>
      <c r="E854">
        <v>390.94650000000001</v>
      </c>
      <c r="F854" s="1">
        <v>43479</v>
      </c>
      <c r="G854" s="2">
        <v>0.65416666666666667</v>
      </c>
      <c r="H854" t="s">
        <v>23</v>
      </c>
      <c r="I854">
        <v>372.33</v>
      </c>
      <c r="J854">
        <v>4.7619047620000003</v>
      </c>
      <c r="K854">
        <v>18.616499999999998</v>
      </c>
      <c r="L854">
        <v>5</v>
      </c>
    </row>
    <row r="855" spans="1:12" x14ac:dyDescent="0.25">
      <c r="A855" t="s">
        <v>889</v>
      </c>
      <c r="B855">
        <v>52.79</v>
      </c>
      <c r="C855">
        <v>10</v>
      </c>
      <c r="D855">
        <v>26.395</v>
      </c>
      <c r="E855">
        <v>554.29499999999996</v>
      </c>
      <c r="F855" s="1">
        <v>43521</v>
      </c>
      <c r="G855" s="2">
        <v>0.49861111111111112</v>
      </c>
      <c r="H855" t="s">
        <v>23</v>
      </c>
      <c r="I855">
        <v>527.9</v>
      </c>
      <c r="J855">
        <v>4.7619047620000003</v>
      </c>
      <c r="K855">
        <v>26.395</v>
      </c>
      <c r="L855">
        <v>10</v>
      </c>
    </row>
    <row r="856" spans="1:12" x14ac:dyDescent="0.25">
      <c r="A856" t="s">
        <v>890</v>
      </c>
      <c r="B856">
        <v>95.95</v>
      </c>
      <c r="C856">
        <v>5</v>
      </c>
      <c r="D856">
        <v>23.987500000000001</v>
      </c>
      <c r="E856">
        <v>503.73750000000001</v>
      </c>
      <c r="F856" s="1">
        <v>43488</v>
      </c>
      <c r="G856" s="2">
        <v>0.59791666666666665</v>
      </c>
      <c r="H856" t="s">
        <v>23</v>
      </c>
      <c r="I856">
        <v>479.75</v>
      </c>
      <c r="J856">
        <v>4.7619047620000003</v>
      </c>
      <c r="K856">
        <v>23.987500000000001</v>
      </c>
      <c r="L856">
        <v>8.8000000000000007</v>
      </c>
    </row>
    <row r="857" spans="1:12" x14ac:dyDescent="0.25">
      <c r="A857" t="s">
        <v>891</v>
      </c>
      <c r="B857">
        <v>36.51</v>
      </c>
      <c r="C857">
        <v>9</v>
      </c>
      <c r="D857">
        <v>16.429500000000001</v>
      </c>
      <c r="E857">
        <v>345.01949999999999</v>
      </c>
      <c r="F857" s="1">
        <v>43512</v>
      </c>
      <c r="G857" s="2">
        <v>0.45277777777777778</v>
      </c>
      <c r="H857" t="s">
        <v>29</v>
      </c>
      <c r="I857">
        <v>328.59</v>
      </c>
      <c r="J857">
        <v>4.7619047620000003</v>
      </c>
      <c r="K857">
        <v>16.429500000000001</v>
      </c>
      <c r="L857">
        <v>4.2</v>
      </c>
    </row>
    <row r="858" spans="1:12" x14ac:dyDescent="0.25">
      <c r="A858" t="s">
        <v>892</v>
      </c>
      <c r="B858">
        <v>21.12</v>
      </c>
      <c r="C858">
        <v>8</v>
      </c>
      <c r="D858">
        <v>8.4480000000000004</v>
      </c>
      <c r="E858">
        <v>177.40799999999999</v>
      </c>
      <c r="F858" s="1">
        <v>43466</v>
      </c>
      <c r="G858" s="2">
        <v>0.81319444444444444</v>
      </c>
      <c r="H858" t="s">
        <v>29</v>
      </c>
      <c r="I858">
        <v>168.96</v>
      </c>
      <c r="J858">
        <v>4.7619047620000003</v>
      </c>
      <c r="K858">
        <v>8.4480000000000004</v>
      </c>
      <c r="L858">
        <v>6.3</v>
      </c>
    </row>
    <row r="859" spans="1:12" x14ac:dyDescent="0.25">
      <c r="A859" t="s">
        <v>893</v>
      </c>
      <c r="B859">
        <v>28.31</v>
      </c>
      <c r="C859">
        <v>4</v>
      </c>
      <c r="D859">
        <v>5.6619999999999999</v>
      </c>
      <c r="E859">
        <v>118.902</v>
      </c>
      <c r="F859" s="1">
        <v>43531</v>
      </c>
      <c r="G859" s="2">
        <v>0.77430555555555547</v>
      </c>
      <c r="H859" t="s">
        <v>29</v>
      </c>
      <c r="I859">
        <v>113.24</v>
      </c>
      <c r="J859">
        <v>4.7619047620000003</v>
      </c>
      <c r="K859">
        <v>5.6619999999999999</v>
      </c>
      <c r="L859">
        <v>8.1999999999999993</v>
      </c>
    </row>
    <row r="860" spans="1:12" x14ac:dyDescent="0.25">
      <c r="A860" t="s">
        <v>894</v>
      </c>
      <c r="B860">
        <v>57.59</v>
      </c>
      <c r="C860">
        <v>6</v>
      </c>
      <c r="D860">
        <v>17.277000000000001</v>
      </c>
      <c r="E860">
        <v>362.81700000000001</v>
      </c>
      <c r="F860" s="1">
        <v>43511</v>
      </c>
      <c r="G860" s="2">
        <v>0.57708333333333328</v>
      </c>
      <c r="H860" t="s">
        <v>29</v>
      </c>
      <c r="I860">
        <v>345.54</v>
      </c>
      <c r="J860">
        <v>4.7619047620000003</v>
      </c>
      <c r="K860">
        <v>17.277000000000001</v>
      </c>
      <c r="L860">
        <v>5.0999999999999996</v>
      </c>
    </row>
    <row r="861" spans="1:12" x14ac:dyDescent="0.25">
      <c r="A861" t="s">
        <v>895</v>
      </c>
      <c r="B861">
        <v>47.63</v>
      </c>
      <c r="C861">
        <v>9</v>
      </c>
      <c r="D861">
        <v>21.433499999999999</v>
      </c>
      <c r="E861">
        <v>450.1035</v>
      </c>
      <c r="F861" s="1">
        <v>43488</v>
      </c>
      <c r="G861" s="2">
        <v>0.52430555555555558</v>
      </c>
      <c r="H861" t="s">
        <v>29</v>
      </c>
      <c r="I861">
        <v>428.67</v>
      </c>
      <c r="J861">
        <v>4.7619047620000003</v>
      </c>
      <c r="K861">
        <v>21.433499999999999</v>
      </c>
      <c r="L861">
        <v>5</v>
      </c>
    </row>
    <row r="862" spans="1:12" x14ac:dyDescent="0.25">
      <c r="A862" t="s">
        <v>896</v>
      </c>
      <c r="B862">
        <v>86.27</v>
      </c>
      <c r="C862">
        <v>1</v>
      </c>
      <c r="D862">
        <v>4.3135000000000003</v>
      </c>
      <c r="E862">
        <v>90.583500000000001</v>
      </c>
      <c r="F862" s="1">
        <v>43516</v>
      </c>
      <c r="G862" s="2">
        <v>0.55833333333333335</v>
      </c>
      <c r="H862" t="s">
        <v>23</v>
      </c>
      <c r="I862">
        <v>86.27</v>
      </c>
      <c r="J862">
        <v>4.7619047620000003</v>
      </c>
      <c r="K862">
        <v>4.3135000000000003</v>
      </c>
      <c r="L862">
        <v>7</v>
      </c>
    </row>
    <row r="863" spans="1:12" x14ac:dyDescent="0.25">
      <c r="A863" t="s">
        <v>897</v>
      </c>
      <c r="B863">
        <v>12.76</v>
      </c>
      <c r="C863">
        <v>2</v>
      </c>
      <c r="D863">
        <v>1.276</v>
      </c>
      <c r="E863">
        <v>26.795999999999999</v>
      </c>
      <c r="F863" s="1">
        <v>43473</v>
      </c>
      <c r="G863" s="2">
        <v>0.75416666666666676</v>
      </c>
      <c r="H863" t="s">
        <v>23</v>
      </c>
      <c r="I863">
        <v>25.52</v>
      </c>
      <c r="J863">
        <v>4.7619047620000003</v>
      </c>
      <c r="K863">
        <v>1.276</v>
      </c>
      <c r="L863">
        <v>7.8</v>
      </c>
    </row>
    <row r="864" spans="1:12" x14ac:dyDescent="0.25">
      <c r="A864" t="s">
        <v>898</v>
      </c>
      <c r="B864">
        <v>11.28</v>
      </c>
      <c r="C864">
        <v>9</v>
      </c>
      <c r="D864">
        <v>5.0759999999999996</v>
      </c>
      <c r="E864">
        <v>106.596</v>
      </c>
      <c r="F864" s="1">
        <v>43541</v>
      </c>
      <c r="G864" s="2">
        <v>0.49652777777777773</v>
      </c>
      <c r="H864" t="s">
        <v>33</v>
      </c>
      <c r="I864">
        <v>101.52</v>
      </c>
      <c r="J864">
        <v>4.7619047620000003</v>
      </c>
      <c r="K864">
        <v>5.0759999999999996</v>
      </c>
      <c r="L864">
        <v>4.3</v>
      </c>
    </row>
    <row r="865" spans="1:12" x14ac:dyDescent="0.25">
      <c r="A865" t="s">
        <v>899</v>
      </c>
      <c r="B865">
        <v>51.07</v>
      </c>
      <c r="C865">
        <v>7</v>
      </c>
      <c r="D865">
        <v>17.874500000000001</v>
      </c>
      <c r="E865">
        <v>375.36450000000002</v>
      </c>
      <c r="F865" s="1">
        <v>43477</v>
      </c>
      <c r="G865" s="2">
        <v>0.48749999999999999</v>
      </c>
      <c r="H865" t="s">
        <v>29</v>
      </c>
      <c r="I865">
        <v>357.49</v>
      </c>
      <c r="J865">
        <v>4.7619047620000003</v>
      </c>
      <c r="K865">
        <v>17.874500000000001</v>
      </c>
      <c r="L865">
        <v>7</v>
      </c>
    </row>
    <row r="866" spans="1:12" x14ac:dyDescent="0.25">
      <c r="A866" t="s">
        <v>900</v>
      </c>
      <c r="B866">
        <v>79.59</v>
      </c>
      <c r="C866">
        <v>3</v>
      </c>
      <c r="D866">
        <v>11.938499999999999</v>
      </c>
      <c r="E866">
        <v>250.70849999999999</v>
      </c>
      <c r="F866" s="1">
        <v>43473</v>
      </c>
      <c r="G866" s="2">
        <v>0.60416666666666663</v>
      </c>
      <c r="H866" t="s">
        <v>29</v>
      </c>
      <c r="I866">
        <v>238.77</v>
      </c>
      <c r="J866">
        <v>4.7619047620000003</v>
      </c>
      <c r="K866">
        <v>11.938499999999999</v>
      </c>
      <c r="L866">
        <v>6.6</v>
      </c>
    </row>
    <row r="867" spans="1:12" x14ac:dyDescent="0.25">
      <c r="A867" t="s">
        <v>901</v>
      </c>
      <c r="B867">
        <v>33.81</v>
      </c>
      <c r="C867">
        <v>3</v>
      </c>
      <c r="D867">
        <v>5.0715000000000003</v>
      </c>
      <c r="E867">
        <v>106.50149999999999</v>
      </c>
      <c r="F867" s="1">
        <v>43491</v>
      </c>
      <c r="G867" s="2">
        <v>0.63263888888888886</v>
      </c>
      <c r="H867" t="s">
        <v>23</v>
      </c>
      <c r="I867">
        <v>101.43</v>
      </c>
      <c r="J867">
        <v>4.7619047620000003</v>
      </c>
      <c r="K867">
        <v>5.0715000000000003</v>
      </c>
      <c r="L867">
        <v>7.3</v>
      </c>
    </row>
    <row r="868" spans="1:12" x14ac:dyDescent="0.25">
      <c r="A868" t="s">
        <v>902</v>
      </c>
      <c r="B868">
        <v>90.53</v>
      </c>
      <c r="C868">
        <v>8</v>
      </c>
      <c r="D868">
        <v>36.212000000000003</v>
      </c>
      <c r="E868">
        <v>760.452</v>
      </c>
      <c r="F868" s="1">
        <v>43539</v>
      </c>
      <c r="G868" s="2">
        <v>0.6166666666666667</v>
      </c>
      <c r="H868" t="s">
        <v>33</v>
      </c>
      <c r="I868">
        <v>724.24</v>
      </c>
      <c r="J868">
        <v>4.7619047620000003</v>
      </c>
      <c r="K868">
        <v>36.212000000000003</v>
      </c>
      <c r="L868">
        <v>6.5</v>
      </c>
    </row>
    <row r="869" spans="1:12" x14ac:dyDescent="0.25">
      <c r="A869" t="s">
        <v>903</v>
      </c>
      <c r="B869">
        <v>62.82</v>
      </c>
      <c r="C869">
        <v>2</v>
      </c>
      <c r="D869">
        <v>6.282</v>
      </c>
      <c r="E869">
        <v>131.922</v>
      </c>
      <c r="F869" s="1">
        <v>43482</v>
      </c>
      <c r="G869" s="2">
        <v>0.52500000000000002</v>
      </c>
      <c r="H869" t="s">
        <v>23</v>
      </c>
      <c r="I869">
        <v>125.64</v>
      </c>
      <c r="J869">
        <v>4.7619047620000003</v>
      </c>
      <c r="K869">
        <v>6.282</v>
      </c>
      <c r="L869">
        <v>4.9000000000000004</v>
      </c>
    </row>
    <row r="870" spans="1:12" x14ac:dyDescent="0.25">
      <c r="A870" t="s">
        <v>904</v>
      </c>
      <c r="B870">
        <v>24.31</v>
      </c>
      <c r="C870">
        <v>3</v>
      </c>
      <c r="D870">
        <v>3.6465000000000001</v>
      </c>
      <c r="E870">
        <v>76.576499999999996</v>
      </c>
      <c r="F870" s="1">
        <v>43473</v>
      </c>
      <c r="G870" s="2">
        <v>0.79791666666666661</v>
      </c>
      <c r="H870" t="s">
        <v>33</v>
      </c>
      <c r="I870">
        <v>72.930000000000007</v>
      </c>
      <c r="J870">
        <v>4.7619047620000003</v>
      </c>
      <c r="K870">
        <v>3.6465000000000001</v>
      </c>
      <c r="L870">
        <v>4.3</v>
      </c>
    </row>
    <row r="871" spans="1:12" x14ac:dyDescent="0.25">
      <c r="A871" t="s">
        <v>905</v>
      </c>
      <c r="B871">
        <v>64.59</v>
      </c>
      <c r="C871">
        <v>4</v>
      </c>
      <c r="D871">
        <v>12.917999999999999</v>
      </c>
      <c r="E871">
        <v>271.27800000000002</v>
      </c>
      <c r="F871" s="1">
        <v>43471</v>
      </c>
      <c r="G871" s="2">
        <v>0.56597222222222221</v>
      </c>
      <c r="H871" t="s">
        <v>23</v>
      </c>
      <c r="I871">
        <v>258.36</v>
      </c>
      <c r="J871">
        <v>4.7619047620000003</v>
      </c>
      <c r="K871">
        <v>12.917999999999999</v>
      </c>
      <c r="L871">
        <v>9.3000000000000007</v>
      </c>
    </row>
    <row r="872" spans="1:12" x14ac:dyDescent="0.25">
      <c r="A872" t="s">
        <v>906</v>
      </c>
      <c r="B872">
        <v>24.82</v>
      </c>
      <c r="C872">
        <v>7</v>
      </c>
      <c r="D872">
        <v>8.6869999999999994</v>
      </c>
      <c r="E872">
        <v>182.42699999999999</v>
      </c>
      <c r="F872" s="1">
        <v>43512</v>
      </c>
      <c r="G872" s="2">
        <v>0.43958333333333338</v>
      </c>
      <c r="H872" t="s">
        <v>33</v>
      </c>
      <c r="I872">
        <v>173.74</v>
      </c>
      <c r="J872">
        <v>4.7619047620000003</v>
      </c>
      <c r="K872">
        <v>8.6869999999999994</v>
      </c>
      <c r="L872">
        <v>7.1</v>
      </c>
    </row>
    <row r="873" spans="1:12" x14ac:dyDescent="0.25">
      <c r="A873" t="s">
        <v>907</v>
      </c>
      <c r="B873">
        <v>56.5</v>
      </c>
      <c r="C873">
        <v>1</v>
      </c>
      <c r="D873">
        <v>2.8250000000000002</v>
      </c>
      <c r="E873">
        <v>59.325000000000003</v>
      </c>
      <c r="F873" s="1">
        <v>43537</v>
      </c>
      <c r="G873" s="2">
        <v>0.65625</v>
      </c>
      <c r="H873" t="s">
        <v>23</v>
      </c>
      <c r="I873">
        <v>56.5</v>
      </c>
      <c r="J873">
        <v>4.7619047620000003</v>
      </c>
      <c r="K873">
        <v>2.8250000000000002</v>
      </c>
      <c r="L873">
        <v>9.6</v>
      </c>
    </row>
    <row r="874" spans="1:12" x14ac:dyDescent="0.25">
      <c r="A874" t="s">
        <v>908</v>
      </c>
      <c r="B874">
        <v>21.43</v>
      </c>
      <c r="C874">
        <v>10</v>
      </c>
      <c r="D874">
        <v>10.715</v>
      </c>
      <c r="E874">
        <v>225.01499999999999</v>
      </c>
      <c r="F874" s="1">
        <v>43493</v>
      </c>
      <c r="G874" s="2">
        <v>0.49374999999999997</v>
      </c>
      <c r="H874" t="s">
        <v>29</v>
      </c>
      <c r="I874">
        <v>214.3</v>
      </c>
      <c r="J874">
        <v>4.7619047620000003</v>
      </c>
      <c r="K874">
        <v>10.715</v>
      </c>
      <c r="L874">
        <v>6.2</v>
      </c>
    </row>
    <row r="875" spans="1:12" x14ac:dyDescent="0.25">
      <c r="A875" t="s">
        <v>909</v>
      </c>
      <c r="B875">
        <v>89.06</v>
      </c>
      <c r="C875">
        <v>6</v>
      </c>
      <c r="D875">
        <v>26.718</v>
      </c>
      <c r="E875">
        <v>561.07799999999997</v>
      </c>
      <c r="F875" s="1">
        <v>43483</v>
      </c>
      <c r="G875" s="2">
        <v>0.72638888888888886</v>
      </c>
      <c r="H875" t="s">
        <v>29</v>
      </c>
      <c r="I875">
        <v>534.36</v>
      </c>
      <c r="J875">
        <v>4.7619047620000003</v>
      </c>
      <c r="K875">
        <v>26.718</v>
      </c>
      <c r="L875">
        <v>9.9</v>
      </c>
    </row>
    <row r="876" spans="1:12" x14ac:dyDescent="0.25">
      <c r="A876" t="s">
        <v>910</v>
      </c>
      <c r="B876">
        <v>23.29</v>
      </c>
      <c r="C876">
        <v>4</v>
      </c>
      <c r="D876">
        <v>4.6580000000000004</v>
      </c>
      <c r="E876">
        <v>97.817999999999998</v>
      </c>
      <c r="F876" s="1">
        <v>43543</v>
      </c>
      <c r="G876" s="2">
        <v>0.49444444444444446</v>
      </c>
      <c r="H876" t="s">
        <v>33</v>
      </c>
      <c r="I876">
        <v>93.16</v>
      </c>
      <c r="J876">
        <v>4.7619047620000003</v>
      </c>
      <c r="K876">
        <v>4.6580000000000004</v>
      </c>
      <c r="L876">
        <v>5.9</v>
      </c>
    </row>
    <row r="877" spans="1:12" x14ac:dyDescent="0.25">
      <c r="A877" t="s">
        <v>911</v>
      </c>
      <c r="B877">
        <v>65.260000000000005</v>
      </c>
      <c r="C877">
        <v>8</v>
      </c>
      <c r="D877">
        <v>26.103999999999999</v>
      </c>
      <c r="E877">
        <v>548.18399999999997</v>
      </c>
      <c r="F877" s="1">
        <v>43539</v>
      </c>
      <c r="G877" s="2">
        <v>0.58611111111111114</v>
      </c>
      <c r="H877" t="s">
        <v>23</v>
      </c>
      <c r="I877">
        <v>522.08000000000004</v>
      </c>
      <c r="J877">
        <v>4.7619047620000003</v>
      </c>
      <c r="K877">
        <v>26.103999999999999</v>
      </c>
      <c r="L877">
        <v>6.3</v>
      </c>
    </row>
    <row r="878" spans="1:12" x14ac:dyDescent="0.25">
      <c r="A878" t="s">
        <v>912</v>
      </c>
      <c r="B878">
        <v>52.35</v>
      </c>
      <c r="C878">
        <v>1</v>
      </c>
      <c r="D878">
        <v>2.6175000000000002</v>
      </c>
      <c r="E878">
        <v>54.967500000000001</v>
      </c>
      <c r="F878" s="1">
        <v>43508</v>
      </c>
      <c r="G878" s="2">
        <v>0.74236111111111114</v>
      </c>
      <c r="H878" t="s">
        <v>29</v>
      </c>
      <c r="I878">
        <v>52.35</v>
      </c>
      <c r="J878">
        <v>4.7619047620000003</v>
      </c>
      <c r="K878">
        <v>2.6175000000000002</v>
      </c>
      <c r="L878">
        <v>4</v>
      </c>
    </row>
    <row r="879" spans="1:12" x14ac:dyDescent="0.25">
      <c r="A879" t="s">
        <v>913</v>
      </c>
      <c r="B879">
        <v>39.75</v>
      </c>
      <c r="C879">
        <v>1</v>
      </c>
      <c r="D879">
        <v>1.9875</v>
      </c>
      <c r="E879">
        <v>41.737499999999997</v>
      </c>
      <c r="F879" s="1">
        <v>43521</v>
      </c>
      <c r="G879" s="2">
        <v>0.84652777777777777</v>
      </c>
      <c r="H879" t="s">
        <v>29</v>
      </c>
      <c r="I879">
        <v>39.75</v>
      </c>
      <c r="J879">
        <v>4.7619047620000003</v>
      </c>
      <c r="K879">
        <v>1.9875</v>
      </c>
      <c r="L879">
        <v>6.1</v>
      </c>
    </row>
    <row r="880" spans="1:12" x14ac:dyDescent="0.25">
      <c r="A880" t="s">
        <v>914</v>
      </c>
      <c r="B880">
        <v>90.02</v>
      </c>
      <c r="C880">
        <v>8</v>
      </c>
      <c r="D880">
        <v>36.008000000000003</v>
      </c>
      <c r="E880">
        <v>756.16800000000001</v>
      </c>
      <c r="F880" s="1">
        <v>43545</v>
      </c>
      <c r="G880" s="2">
        <v>0.67222222222222217</v>
      </c>
      <c r="H880" t="s">
        <v>33</v>
      </c>
      <c r="I880">
        <v>720.16</v>
      </c>
      <c r="J880">
        <v>4.7619047620000003</v>
      </c>
      <c r="K880">
        <v>36.008000000000003</v>
      </c>
      <c r="L880">
        <v>4.5</v>
      </c>
    </row>
    <row r="881" spans="1:12" x14ac:dyDescent="0.25">
      <c r="A881" t="s">
        <v>915</v>
      </c>
      <c r="B881">
        <v>12.1</v>
      </c>
      <c r="C881">
        <v>8</v>
      </c>
      <c r="D881">
        <v>4.84</v>
      </c>
      <c r="E881">
        <v>101.64</v>
      </c>
      <c r="F881" s="1">
        <v>43484</v>
      </c>
      <c r="G881" s="2">
        <v>0.4284722222222222</v>
      </c>
      <c r="H881" t="s">
        <v>23</v>
      </c>
      <c r="I881">
        <v>96.8</v>
      </c>
      <c r="J881">
        <v>4.7619047620000003</v>
      </c>
      <c r="K881">
        <v>4.84</v>
      </c>
      <c r="L881">
        <v>8.6</v>
      </c>
    </row>
    <row r="882" spans="1:12" x14ac:dyDescent="0.25">
      <c r="A882" t="s">
        <v>916</v>
      </c>
      <c r="B882">
        <v>33.21</v>
      </c>
      <c r="C882">
        <v>10</v>
      </c>
      <c r="D882">
        <v>16.605</v>
      </c>
      <c r="E882">
        <v>348.70499999999998</v>
      </c>
      <c r="F882" s="1">
        <v>43473</v>
      </c>
      <c r="G882" s="2">
        <v>0.60069444444444442</v>
      </c>
      <c r="H882" t="s">
        <v>23</v>
      </c>
      <c r="I882">
        <v>332.1</v>
      </c>
      <c r="J882">
        <v>4.7619047620000003</v>
      </c>
      <c r="K882">
        <v>16.605</v>
      </c>
      <c r="L882">
        <v>6</v>
      </c>
    </row>
    <row r="883" spans="1:12" x14ac:dyDescent="0.25">
      <c r="A883" t="s">
        <v>917</v>
      </c>
      <c r="B883">
        <v>10.18</v>
      </c>
      <c r="C883">
        <v>8</v>
      </c>
      <c r="D883">
        <v>4.0720000000000001</v>
      </c>
      <c r="E883">
        <v>85.512</v>
      </c>
      <c r="F883" s="1">
        <v>43554</v>
      </c>
      <c r="G883" s="2">
        <v>0.53541666666666665</v>
      </c>
      <c r="H883" t="s">
        <v>33</v>
      </c>
      <c r="I883">
        <v>81.44</v>
      </c>
      <c r="J883">
        <v>4.7619047620000003</v>
      </c>
      <c r="K883">
        <v>4.0720000000000001</v>
      </c>
      <c r="L883">
        <v>9.5</v>
      </c>
    </row>
    <row r="884" spans="1:12" x14ac:dyDescent="0.25">
      <c r="A884" t="s">
        <v>918</v>
      </c>
      <c r="B884">
        <v>31.99</v>
      </c>
      <c r="C884">
        <v>10</v>
      </c>
      <c r="D884">
        <v>15.994999999999999</v>
      </c>
      <c r="E884">
        <v>335.89499999999998</v>
      </c>
      <c r="F884" s="1">
        <v>43516</v>
      </c>
      <c r="G884" s="2">
        <v>0.63750000000000007</v>
      </c>
      <c r="H884" t="s">
        <v>33</v>
      </c>
      <c r="I884">
        <v>319.89999999999998</v>
      </c>
      <c r="J884">
        <v>4.7619047620000003</v>
      </c>
      <c r="K884">
        <v>15.994999999999999</v>
      </c>
      <c r="L884">
        <v>9.9</v>
      </c>
    </row>
    <row r="885" spans="1:12" x14ac:dyDescent="0.25">
      <c r="A885" t="s">
        <v>919</v>
      </c>
      <c r="B885">
        <v>34.42</v>
      </c>
      <c r="C885">
        <v>6</v>
      </c>
      <c r="D885">
        <v>10.326000000000001</v>
      </c>
      <c r="E885">
        <v>216.846</v>
      </c>
      <c r="F885" s="1">
        <v>43554</v>
      </c>
      <c r="G885" s="2">
        <v>0.53125</v>
      </c>
      <c r="H885" t="s">
        <v>23</v>
      </c>
      <c r="I885">
        <v>206.52</v>
      </c>
      <c r="J885">
        <v>4.7619047620000003</v>
      </c>
      <c r="K885">
        <v>10.326000000000001</v>
      </c>
      <c r="L885">
        <v>7.5</v>
      </c>
    </row>
    <row r="886" spans="1:12" x14ac:dyDescent="0.25">
      <c r="A886" t="s">
        <v>920</v>
      </c>
      <c r="B886">
        <v>83.34</v>
      </c>
      <c r="C886">
        <v>2</v>
      </c>
      <c r="D886">
        <v>8.3339999999999996</v>
      </c>
      <c r="E886">
        <v>175.01400000000001</v>
      </c>
      <c r="F886" s="1">
        <v>43543</v>
      </c>
      <c r="G886" s="2">
        <v>0.56736111111111109</v>
      </c>
      <c r="H886" t="s">
        <v>29</v>
      </c>
      <c r="I886">
        <v>166.68</v>
      </c>
      <c r="J886">
        <v>4.7619047620000003</v>
      </c>
      <c r="K886">
        <v>8.3339999999999996</v>
      </c>
      <c r="L886">
        <v>7.6</v>
      </c>
    </row>
    <row r="887" spans="1:12" x14ac:dyDescent="0.25">
      <c r="A887" t="s">
        <v>921</v>
      </c>
      <c r="B887">
        <v>45.58</v>
      </c>
      <c r="C887">
        <v>7</v>
      </c>
      <c r="D887">
        <v>15.952999999999999</v>
      </c>
      <c r="E887">
        <v>335.01299999999998</v>
      </c>
      <c r="F887" s="1">
        <v>43478</v>
      </c>
      <c r="G887" s="2">
        <v>0.41875000000000001</v>
      </c>
      <c r="H887" t="s">
        <v>29</v>
      </c>
      <c r="I887">
        <v>319.06</v>
      </c>
      <c r="J887">
        <v>4.7619047620000003</v>
      </c>
      <c r="K887">
        <v>15.952999999999999</v>
      </c>
      <c r="L887">
        <v>5</v>
      </c>
    </row>
    <row r="888" spans="1:12" x14ac:dyDescent="0.25">
      <c r="A888" t="s">
        <v>922</v>
      </c>
      <c r="B888">
        <v>87.9</v>
      </c>
      <c r="C888">
        <v>1</v>
      </c>
      <c r="D888">
        <v>4.3949999999999996</v>
      </c>
      <c r="E888">
        <v>92.295000000000002</v>
      </c>
      <c r="F888" s="1">
        <v>43501</v>
      </c>
      <c r="G888" s="2">
        <v>0.8208333333333333</v>
      </c>
      <c r="H888" t="s">
        <v>23</v>
      </c>
      <c r="I888">
        <v>87.9</v>
      </c>
      <c r="J888">
        <v>4.7619047620000003</v>
      </c>
      <c r="K888">
        <v>4.3949999999999996</v>
      </c>
      <c r="L888">
        <v>6.7</v>
      </c>
    </row>
    <row r="889" spans="1:12" x14ac:dyDescent="0.25">
      <c r="A889" t="s">
        <v>923</v>
      </c>
      <c r="B889">
        <v>73.47</v>
      </c>
      <c r="C889">
        <v>10</v>
      </c>
      <c r="D889">
        <v>36.734999999999999</v>
      </c>
      <c r="E889">
        <v>771.43499999999995</v>
      </c>
      <c r="F889" s="1">
        <v>43547</v>
      </c>
      <c r="G889" s="2">
        <v>0.55138888888888882</v>
      </c>
      <c r="H889" t="s">
        <v>23</v>
      </c>
      <c r="I889">
        <v>734.7</v>
      </c>
      <c r="J889">
        <v>4.7619047620000003</v>
      </c>
      <c r="K889">
        <v>36.734999999999999</v>
      </c>
      <c r="L889">
        <v>9.5</v>
      </c>
    </row>
    <row r="890" spans="1:12" x14ac:dyDescent="0.25">
      <c r="A890" t="s">
        <v>924</v>
      </c>
      <c r="B890">
        <v>12.19</v>
      </c>
      <c r="C890">
        <v>8</v>
      </c>
      <c r="D890">
        <v>4.8760000000000003</v>
      </c>
      <c r="E890">
        <v>102.396</v>
      </c>
      <c r="F890" s="1">
        <v>43537</v>
      </c>
      <c r="G890" s="2">
        <v>0.53263888888888888</v>
      </c>
      <c r="H890" t="s">
        <v>23</v>
      </c>
      <c r="I890">
        <v>97.52</v>
      </c>
      <c r="J890">
        <v>4.7619047620000003</v>
      </c>
      <c r="K890">
        <v>4.8760000000000003</v>
      </c>
      <c r="L890">
        <v>6.8</v>
      </c>
    </row>
    <row r="891" spans="1:12" x14ac:dyDescent="0.25">
      <c r="A891" t="s">
        <v>925</v>
      </c>
      <c r="B891">
        <v>76.92</v>
      </c>
      <c r="C891">
        <v>10</v>
      </c>
      <c r="D891">
        <v>38.46</v>
      </c>
      <c r="E891">
        <v>807.66</v>
      </c>
      <c r="F891" s="1">
        <v>43541</v>
      </c>
      <c r="G891" s="2">
        <v>0.82847222222222217</v>
      </c>
      <c r="H891" t="s">
        <v>23</v>
      </c>
      <c r="I891">
        <v>769.2</v>
      </c>
      <c r="J891">
        <v>4.7619047620000003</v>
      </c>
      <c r="K891">
        <v>38.46</v>
      </c>
      <c r="L891">
        <v>5.6</v>
      </c>
    </row>
    <row r="892" spans="1:12" x14ac:dyDescent="0.25">
      <c r="A892" t="s">
        <v>926</v>
      </c>
      <c r="B892">
        <v>83.66</v>
      </c>
      <c r="C892">
        <v>5</v>
      </c>
      <c r="D892">
        <v>20.914999999999999</v>
      </c>
      <c r="E892">
        <v>439.21499999999997</v>
      </c>
      <c r="F892" s="1">
        <v>43517</v>
      </c>
      <c r="G892" s="2">
        <v>0.43472222222222223</v>
      </c>
      <c r="H892" t="s">
        <v>29</v>
      </c>
      <c r="I892">
        <v>418.3</v>
      </c>
      <c r="J892">
        <v>4.7619047620000003</v>
      </c>
      <c r="K892">
        <v>20.914999999999999</v>
      </c>
      <c r="L892">
        <v>7.2</v>
      </c>
    </row>
    <row r="893" spans="1:12" x14ac:dyDescent="0.25">
      <c r="A893" t="s">
        <v>927</v>
      </c>
      <c r="B893">
        <v>57.91</v>
      </c>
      <c r="C893">
        <v>8</v>
      </c>
      <c r="D893">
        <v>23.164000000000001</v>
      </c>
      <c r="E893">
        <v>486.44400000000002</v>
      </c>
      <c r="F893" s="1">
        <v>43503</v>
      </c>
      <c r="G893" s="2">
        <v>0.62916666666666665</v>
      </c>
      <c r="H893" t="s">
        <v>29</v>
      </c>
      <c r="I893">
        <v>463.28</v>
      </c>
      <c r="J893">
        <v>4.7619047620000003</v>
      </c>
      <c r="K893">
        <v>23.164000000000001</v>
      </c>
      <c r="L893">
        <v>8.1</v>
      </c>
    </row>
    <row r="894" spans="1:12" x14ac:dyDescent="0.25">
      <c r="A894" t="s">
        <v>928</v>
      </c>
      <c r="B894">
        <v>92.49</v>
      </c>
      <c r="C894">
        <v>5</v>
      </c>
      <c r="D894">
        <v>23.122499999999999</v>
      </c>
      <c r="E894">
        <v>485.57249999999999</v>
      </c>
      <c r="F894" s="1">
        <v>43526</v>
      </c>
      <c r="G894" s="2">
        <v>0.69097222222222221</v>
      </c>
      <c r="H894" t="s">
        <v>33</v>
      </c>
      <c r="I894">
        <v>462.45</v>
      </c>
      <c r="J894">
        <v>4.7619047620000003</v>
      </c>
      <c r="K894">
        <v>23.122499999999999</v>
      </c>
      <c r="L894">
        <v>8.6</v>
      </c>
    </row>
    <row r="895" spans="1:12" x14ac:dyDescent="0.25">
      <c r="A895" t="s">
        <v>929</v>
      </c>
      <c r="B895">
        <v>28.38</v>
      </c>
      <c r="C895">
        <v>5</v>
      </c>
      <c r="D895">
        <v>7.0949999999999998</v>
      </c>
      <c r="E895">
        <v>148.995</v>
      </c>
      <c r="F895" s="1">
        <v>43530</v>
      </c>
      <c r="G895" s="2">
        <v>0.87291666666666667</v>
      </c>
      <c r="H895" t="s">
        <v>29</v>
      </c>
      <c r="I895">
        <v>141.9</v>
      </c>
      <c r="J895">
        <v>4.7619047620000003</v>
      </c>
      <c r="K895">
        <v>7.0949999999999998</v>
      </c>
      <c r="L895">
        <v>9.4</v>
      </c>
    </row>
    <row r="896" spans="1:12" x14ac:dyDescent="0.25">
      <c r="A896" t="s">
        <v>930</v>
      </c>
      <c r="B896">
        <v>50.45</v>
      </c>
      <c r="C896">
        <v>6</v>
      </c>
      <c r="D896">
        <v>15.135</v>
      </c>
      <c r="E896">
        <v>317.83499999999998</v>
      </c>
      <c r="F896" s="1">
        <v>43502</v>
      </c>
      <c r="G896" s="2">
        <v>0.63611111111111118</v>
      </c>
      <c r="H896" t="s">
        <v>33</v>
      </c>
      <c r="I896">
        <v>302.7</v>
      </c>
      <c r="J896">
        <v>4.7619047620000003</v>
      </c>
      <c r="K896">
        <v>15.135</v>
      </c>
      <c r="L896">
        <v>8.9</v>
      </c>
    </row>
    <row r="897" spans="1:12" x14ac:dyDescent="0.25">
      <c r="A897" t="s">
        <v>931</v>
      </c>
      <c r="B897">
        <v>99.16</v>
      </c>
      <c r="C897">
        <v>8</v>
      </c>
      <c r="D897">
        <v>39.664000000000001</v>
      </c>
      <c r="E897">
        <v>832.94399999999996</v>
      </c>
      <c r="F897" s="1">
        <v>43493</v>
      </c>
      <c r="G897" s="2">
        <v>0.74097222222222225</v>
      </c>
      <c r="H897" t="s">
        <v>33</v>
      </c>
      <c r="I897">
        <v>793.28</v>
      </c>
      <c r="J897">
        <v>4.7619047620000003</v>
      </c>
      <c r="K897">
        <v>39.664000000000001</v>
      </c>
      <c r="L897">
        <v>4.2</v>
      </c>
    </row>
    <row r="898" spans="1:12" x14ac:dyDescent="0.25">
      <c r="A898" t="s">
        <v>932</v>
      </c>
      <c r="B898">
        <v>60.74</v>
      </c>
      <c r="C898">
        <v>7</v>
      </c>
      <c r="D898">
        <v>21.259</v>
      </c>
      <c r="E898">
        <v>446.43900000000002</v>
      </c>
      <c r="F898" s="1">
        <v>43483</v>
      </c>
      <c r="G898" s="2">
        <v>0.68263888888888891</v>
      </c>
      <c r="H898" t="s">
        <v>23</v>
      </c>
      <c r="I898">
        <v>425.18</v>
      </c>
      <c r="J898">
        <v>4.7619047620000003</v>
      </c>
      <c r="K898">
        <v>21.259</v>
      </c>
      <c r="L898">
        <v>5</v>
      </c>
    </row>
    <row r="899" spans="1:12" x14ac:dyDescent="0.25">
      <c r="A899" t="s">
        <v>933</v>
      </c>
      <c r="B899">
        <v>47.27</v>
      </c>
      <c r="C899">
        <v>6</v>
      </c>
      <c r="D899">
        <v>14.180999999999999</v>
      </c>
      <c r="E899">
        <v>297.80099999999999</v>
      </c>
      <c r="F899" s="1">
        <v>43501</v>
      </c>
      <c r="G899" s="2">
        <v>0.4284722222222222</v>
      </c>
      <c r="H899" t="s">
        <v>29</v>
      </c>
      <c r="I899">
        <v>283.62</v>
      </c>
      <c r="J899">
        <v>4.7619047620000003</v>
      </c>
      <c r="K899">
        <v>14.180999999999999</v>
      </c>
      <c r="L899">
        <v>8.8000000000000007</v>
      </c>
    </row>
    <row r="900" spans="1:12" x14ac:dyDescent="0.25">
      <c r="A900" t="s">
        <v>934</v>
      </c>
      <c r="B900">
        <v>85.6</v>
      </c>
      <c r="C900">
        <v>7</v>
      </c>
      <c r="D900">
        <v>29.96</v>
      </c>
      <c r="E900">
        <v>629.16</v>
      </c>
      <c r="F900" s="1">
        <v>43526</v>
      </c>
      <c r="G900" s="2">
        <v>0.57638888888888895</v>
      </c>
      <c r="H900" t="s">
        <v>29</v>
      </c>
      <c r="I900">
        <v>599.20000000000005</v>
      </c>
      <c r="J900">
        <v>4.7619047620000003</v>
      </c>
      <c r="K900">
        <v>29.96</v>
      </c>
      <c r="L900">
        <v>5.3</v>
      </c>
    </row>
    <row r="901" spans="1:12" x14ac:dyDescent="0.25">
      <c r="A901" t="s">
        <v>935</v>
      </c>
      <c r="B901">
        <v>35.04</v>
      </c>
      <c r="C901">
        <v>9</v>
      </c>
      <c r="D901">
        <v>15.768000000000001</v>
      </c>
      <c r="E901">
        <v>331.12799999999999</v>
      </c>
      <c r="F901" s="1">
        <v>43505</v>
      </c>
      <c r="G901" s="2">
        <v>0.80347222222222225</v>
      </c>
      <c r="H901" t="s">
        <v>23</v>
      </c>
      <c r="I901">
        <v>315.36</v>
      </c>
      <c r="J901">
        <v>4.7619047620000003</v>
      </c>
      <c r="K901">
        <v>15.768000000000001</v>
      </c>
      <c r="L901">
        <v>4.5999999999999996</v>
      </c>
    </row>
    <row r="902" spans="1:12" x14ac:dyDescent="0.25">
      <c r="A902" t="s">
        <v>936</v>
      </c>
      <c r="B902">
        <v>44.84</v>
      </c>
      <c r="C902">
        <v>9</v>
      </c>
      <c r="D902">
        <v>20.178000000000001</v>
      </c>
      <c r="E902">
        <v>423.738</v>
      </c>
      <c r="F902" s="1">
        <v>43479</v>
      </c>
      <c r="G902" s="2">
        <v>0.58333333333333337</v>
      </c>
      <c r="H902" t="s">
        <v>33</v>
      </c>
      <c r="I902">
        <v>403.56</v>
      </c>
      <c r="J902">
        <v>4.7619047620000003</v>
      </c>
      <c r="K902">
        <v>20.178000000000001</v>
      </c>
      <c r="L902">
        <v>7.5</v>
      </c>
    </row>
    <row r="903" spans="1:12" x14ac:dyDescent="0.25">
      <c r="A903" t="s">
        <v>937</v>
      </c>
      <c r="B903">
        <v>45.97</v>
      </c>
      <c r="C903">
        <v>4</v>
      </c>
      <c r="D903">
        <v>9.1940000000000008</v>
      </c>
      <c r="E903">
        <v>193.07400000000001</v>
      </c>
      <c r="F903" s="1">
        <v>43505</v>
      </c>
      <c r="G903" s="2">
        <v>0.50138888888888888</v>
      </c>
      <c r="H903" t="s">
        <v>23</v>
      </c>
      <c r="I903">
        <v>183.88</v>
      </c>
      <c r="J903">
        <v>4.7619047620000003</v>
      </c>
      <c r="K903">
        <v>9.1940000000000008</v>
      </c>
      <c r="L903">
        <v>5.0999999999999996</v>
      </c>
    </row>
    <row r="904" spans="1:12" x14ac:dyDescent="0.25">
      <c r="A904" t="s">
        <v>938</v>
      </c>
      <c r="B904">
        <v>27.73</v>
      </c>
      <c r="C904">
        <v>5</v>
      </c>
      <c r="D904">
        <v>6.9325000000000001</v>
      </c>
      <c r="E904">
        <v>145.58250000000001</v>
      </c>
      <c r="F904" s="1">
        <v>43550</v>
      </c>
      <c r="G904" s="2">
        <v>0.84791666666666676</v>
      </c>
      <c r="H904" t="s">
        <v>33</v>
      </c>
      <c r="I904">
        <v>138.65</v>
      </c>
      <c r="J904">
        <v>4.7619047620000003</v>
      </c>
      <c r="K904">
        <v>6.9325000000000001</v>
      </c>
      <c r="L904">
        <v>4.2</v>
      </c>
    </row>
    <row r="905" spans="1:12" x14ac:dyDescent="0.25">
      <c r="A905" t="s">
        <v>939</v>
      </c>
      <c r="B905">
        <v>11.53</v>
      </c>
      <c r="C905">
        <v>7</v>
      </c>
      <c r="D905">
        <v>4.0354999999999999</v>
      </c>
      <c r="E905">
        <v>84.745500000000007</v>
      </c>
      <c r="F905" s="1">
        <v>43493</v>
      </c>
      <c r="G905" s="2">
        <v>0.73263888888888884</v>
      </c>
      <c r="H905" t="s">
        <v>29</v>
      </c>
      <c r="I905">
        <v>80.709999999999994</v>
      </c>
      <c r="J905">
        <v>4.7619047620000003</v>
      </c>
      <c r="K905">
        <v>4.0354999999999999</v>
      </c>
      <c r="L905">
        <v>8.1</v>
      </c>
    </row>
    <row r="906" spans="1:12" x14ac:dyDescent="0.25">
      <c r="A906" t="s">
        <v>940</v>
      </c>
      <c r="B906">
        <v>58.32</v>
      </c>
      <c r="C906">
        <v>2</v>
      </c>
      <c r="D906">
        <v>5.8319999999999999</v>
      </c>
      <c r="E906">
        <v>122.47199999999999</v>
      </c>
      <c r="F906" s="1">
        <v>43510</v>
      </c>
      <c r="G906" s="2">
        <v>0.52916666666666667</v>
      </c>
      <c r="H906" t="s">
        <v>23</v>
      </c>
      <c r="I906">
        <v>116.64</v>
      </c>
      <c r="J906">
        <v>4.7619047620000003</v>
      </c>
      <c r="K906">
        <v>5.8319999999999999</v>
      </c>
      <c r="L906">
        <v>6</v>
      </c>
    </row>
    <row r="907" spans="1:12" x14ac:dyDescent="0.25">
      <c r="A907" t="s">
        <v>941</v>
      </c>
      <c r="B907">
        <v>78.38</v>
      </c>
      <c r="C907">
        <v>4</v>
      </c>
      <c r="D907">
        <v>15.676</v>
      </c>
      <c r="E907">
        <v>329.19600000000003</v>
      </c>
      <c r="F907" s="1">
        <v>43548</v>
      </c>
      <c r="G907" s="2">
        <v>0.74722222222222223</v>
      </c>
      <c r="H907" t="s">
        <v>29</v>
      </c>
      <c r="I907">
        <v>313.52</v>
      </c>
      <c r="J907">
        <v>4.7619047620000003</v>
      </c>
      <c r="K907">
        <v>15.676</v>
      </c>
      <c r="L907">
        <v>7.9</v>
      </c>
    </row>
    <row r="908" spans="1:12" x14ac:dyDescent="0.25">
      <c r="A908" t="s">
        <v>942</v>
      </c>
      <c r="B908">
        <v>84.61</v>
      </c>
      <c r="C908">
        <v>10</v>
      </c>
      <c r="D908">
        <v>42.305</v>
      </c>
      <c r="E908">
        <v>888.40499999999997</v>
      </c>
      <c r="F908" s="1">
        <v>43505</v>
      </c>
      <c r="G908" s="2">
        <v>0.79027777777777775</v>
      </c>
      <c r="H908" t="s">
        <v>33</v>
      </c>
      <c r="I908">
        <v>846.1</v>
      </c>
      <c r="J908">
        <v>4.7619047620000003</v>
      </c>
      <c r="K908">
        <v>42.305</v>
      </c>
      <c r="L908">
        <v>8.8000000000000007</v>
      </c>
    </row>
    <row r="909" spans="1:12" x14ac:dyDescent="0.25">
      <c r="A909" t="s">
        <v>943</v>
      </c>
      <c r="B909">
        <v>82.88</v>
      </c>
      <c r="C909">
        <v>5</v>
      </c>
      <c r="D909">
        <v>20.72</v>
      </c>
      <c r="E909">
        <v>435.12</v>
      </c>
      <c r="F909" s="1">
        <v>43548</v>
      </c>
      <c r="G909" s="2">
        <v>0.58888888888888891</v>
      </c>
      <c r="H909" t="s">
        <v>33</v>
      </c>
      <c r="I909">
        <v>414.4</v>
      </c>
      <c r="J909">
        <v>4.7619047620000003</v>
      </c>
      <c r="K909">
        <v>20.72</v>
      </c>
      <c r="L909">
        <v>6.6</v>
      </c>
    </row>
    <row r="910" spans="1:12" x14ac:dyDescent="0.25">
      <c r="A910" t="s">
        <v>944</v>
      </c>
      <c r="B910">
        <v>79.540000000000006</v>
      </c>
      <c r="C910">
        <v>2</v>
      </c>
      <c r="D910">
        <v>7.9539999999999997</v>
      </c>
      <c r="E910">
        <v>167.03399999999999</v>
      </c>
      <c r="F910" s="1">
        <v>43551</v>
      </c>
      <c r="G910" s="2">
        <v>0.6875</v>
      </c>
      <c r="H910" t="s">
        <v>23</v>
      </c>
      <c r="I910">
        <v>159.08000000000001</v>
      </c>
      <c r="J910">
        <v>4.7619047620000003</v>
      </c>
      <c r="K910">
        <v>7.9539999999999997</v>
      </c>
      <c r="L910">
        <v>6.2</v>
      </c>
    </row>
    <row r="911" spans="1:12" x14ac:dyDescent="0.25">
      <c r="A911" t="s">
        <v>945</v>
      </c>
      <c r="B911">
        <v>49.01</v>
      </c>
      <c r="C911">
        <v>10</v>
      </c>
      <c r="D911">
        <v>24.504999999999999</v>
      </c>
      <c r="E911">
        <v>514.60500000000002</v>
      </c>
      <c r="F911" s="1">
        <v>43492</v>
      </c>
      <c r="G911" s="2">
        <v>0.44722222222222219</v>
      </c>
      <c r="H911" t="s">
        <v>33</v>
      </c>
      <c r="I911">
        <v>490.1</v>
      </c>
      <c r="J911">
        <v>4.7619047620000003</v>
      </c>
      <c r="K911">
        <v>24.504999999999999</v>
      </c>
      <c r="L911">
        <v>4.2</v>
      </c>
    </row>
    <row r="912" spans="1:12" x14ac:dyDescent="0.25">
      <c r="A912" t="s">
        <v>946</v>
      </c>
      <c r="B912">
        <v>29.15</v>
      </c>
      <c r="C912">
        <v>3</v>
      </c>
      <c r="D912">
        <v>4.3724999999999996</v>
      </c>
      <c r="E912">
        <v>91.822500000000005</v>
      </c>
      <c r="F912" s="1">
        <v>43551</v>
      </c>
      <c r="G912" s="2">
        <v>0.8534722222222223</v>
      </c>
      <c r="H912" t="s">
        <v>33</v>
      </c>
      <c r="I912">
        <v>87.45</v>
      </c>
      <c r="J912">
        <v>4.7619047620000003</v>
      </c>
      <c r="K912">
        <v>4.3724999999999996</v>
      </c>
      <c r="L912">
        <v>7.3</v>
      </c>
    </row>
    <row r="913" spans="1:12" x14ac:dyDescent="0.25">
      <c r="A913" t="s">
        <v>947</v>
      </c>
      <c r="B913">
        <v>56.13</v>
      </c>
      <c r="C913">
        <v>4</v>
      </c>
      <c r="D913">
        <v>11.226000000000001</v>
      </c>
      <c r="E913">
        <v>235.74600000000001</v>
      </c>
      <c r="F913" s="1">
        <v>43484</v>
      </c>
      <c r="G913" s="2">
        <v>0.48819444444444443</v>
      </c>
      <c r="H913" t="s">
        <v>23</v>
      </c>
      <c r="I913">
        <v>224.52</v>
      </c>
      <c r="J913">
        <v>4.7619047620000003</v>
      </c>
      <c r="K913">
        <v>11.226000000000001</v>
      </c>
      <c r="L913">
        <v>8.6</v>
      </c>
    </row>
    <row r="914" spans="1:12" x14ac:dyDescent="0.25">
      <c r="A914" t="s">
        <v>948</v>
      </c>
      <c r="B914">
        <v>93.12</v>
      </c>
      <c r="C914">
        <v>8</v>
      </c>
      <c r="D914">
        <v>37.247999999999998</v>
      </c>
      <c r="E914">
        <v>782.20799999999997</v>
      </c>
      <c r="F914" s="1">
        <v>43503</v>
      </c>
      <c r="G914" s="2">
        <v>0.42291666666666666</v>
      </c>
      <c r="H914" t="s">
        <v>29</v>
      </c>
      <c r="I914">
        <v>744.96</v>
      </c>
      <c r="J914">
        <v>4.7619047620000003</v>
      </c>
      <c r="K914">
        <v>37.247999999999998</v>
      </c>
      <c r="L914">
        <v>6.8</v>
      </c>
    </row>
    <row r="915" spans="1:12" x14ac:dyDescent="0.25">
      <c r="A915" t="s">
        <v>949</v>
      </c>
      <c r="B915">
        <v>51.34</v>
      </c>
      <c r="C915">
        <v>8</v>
      </c>
      <c r="D915">
        <v>20.536000000000001</v>
      </c>
      <c r="E915">
        <v>431.25599999999997</v>
      </c>
      <c r="F915" s="1">
        <v>43496</v>
      </c>
      <c r="G915" s="2">
        <v>0.41666666666666669</v>
      </c>
      <c r="H915" t="s">
        <v>23</v>
      </c>
      <c r="I915">
        <v>410.72</v>
      </c>
      <c r="J915">
        <v>4.7619047620000003</v>
      </c>
      <c r="K915">
        <v>20.536000000000001</v>
      </c>
      <c r="L915">
        <v>7.6</v>
      </c>
    </row>
    <row r="916" spans="1:12" x14ac:dyDescent="0.25">
      <c r="A916" t="s">
        <v>950</v>
      </c>
      <c r="B916">
        <v>99.6</v>
      </c>
      <c r="C916">
        <v>3</v>
      </c>
      <c r="D916">
        <v>14.94</v>
      </c>
      <c r="E916">
        <v>313.74</v>
      </c>
      <c r="F916" s="1">
        <v>43521</v>
      </c>
      <c r="G916" s="2">
        <v>0.78125</v>
      </c>
      <c r="H916" t="s">
        <v>29</v>
      </c>
      <c r="I916">
        <v>298.8</v>
      </c>
      <c r="J916">
        <v>4.7619047620000003</v>
      </c>
      <c r="K916">
        <v>14.94</v>
      </c>
      <c r="L916">
        <v>5.8</v>
      </c>
    </row>
    <row r="917" spans="1:12" x14ac:dyDescent="0.25">
      <c r="A917" t="s">
        <v>951</v>
      </c>
      <c r="B917">
        <v>35.49</v>
      </c>
      <c r="C917">
        <v>6</v>
      </c>
      <c r="D917">
        <v>10.647</v>
      </c>
      <c r="E917">
        <v>223.58699999999999</v>
      </c>
      <c r="F917" s="1">
        <v>43498</v>
      </c>
      <c r="G917" s="2">
        <v>0.52777777777777779</v>
      </c>
      <c r="H917" t="s">
        <v>29</v>
      </c>
      <c r="I917">
        <v>212.94</v>
      </c>
      <c r="J917">
        <v>4.7619047620000003</v>
      </c>
      <c r="K917">
        <v>10.647</v>
      </c>
      <c r="L917">
        <v>4.0999999999999996</v>
      </c>
    </row>
    <row r="918" spans="1:12" x14ac:dyDescent="0.25">
      <c r="A918" t="s">
        <v>952</v>
      </c>
      <c r="B918">
        <v>42.85</v>
      </c>
      <c r="C918">
        <v>1</v>
      </c>
      <c r="D918">
        <v>2.1425000000000001</v>
      </c>
      <c r="E918">
        <v>44.9925</v>
      </c>
      <c r="F918" s="1">
        <v>43538</v>
      </c>
      <c r="G918" s="2">
        <v>0.65</v>
      </c>
      <c r="H918" t="s">
        <v>33</v>
      </c>
      <c r="I918">
        <v>42.85</v>
      </c>
      <c r="J918">
        <v>4.7619047620000003</v>
      </c>
      <c r="K918">
        <v>2.1425000000000001</v>
      </c>
      <c r="L918">
        <v>9.3000000000000007</v>
      </c>
    </row>
    <row r="919" spans="1:12" x14ac:dyDescent="0.25">
      <c r="A919" t="s">
        <v>953</v>
      </c>
      <c r="B919">
        <v>94.67</v>
      </c>
      <c r="C919">
        <v>4</v>
      </c>
      <c r="D919">
        <v>18.934000000000001</v>
      </c>
      <c r="E919">
        <v>397.61399999999998</v>
      </c>
      <c r="F919" s="1">
        <v>43535</v>
      </c>
      <c r="G919" s="2">
        <v>0.50277777777777777</v>
      </c>
      <c r="H919" t="s">
        <v>29</v>
      </c>
      <c r="I919">
        <v>378.68</v>
      </c>
      <c r="J919">
        <v>4.7619047620000003</v>
      </c>
      <c r="K919">
        <v>18.934000000000001</v>
      </c>
      <c r="L919">
        <v>6.8</v>
      </c>
    </row>
    <row r="920" spans="1:12" x14ac:dyDescent="0.25">
      <c r="A920" t="s">
        <v>954</v>
      </c>
      <c r="B920">
        <v>68.97</v>
      </c>
      <c r="C920">
        <v>3</v>
      </c>
      <c r="D920">
        <v>10.345499999999999</v>
      </c>
      <c r="E920">
        <v>217.25550000000001</v>
      </c>
      <c r="F920" s="1">
        <v>43518</v>
      </c>
      <c r="G920" s="2">
        <v>0.47638888888888892</v>
      </c>
      <c r="H920" t="s">
        <v>23</v>
      </c>
      <c r="I920">
        <v>206.91</v>
      </c>
      <c r="J920">
        <v>4.7619047620000003</v>
      </c>
      <c r="K920">
        <v>10.345499999999999</v>
      </c>
      <c r="L920">
        <v>8.6999999999999993</v>
      </c>
    </row>
    <row r="921" spans="1:12" x14ac:dyDescent="0.25">
      <c r="A921" t="s">
        <v>955</v>
      </c>
      <c r="B921">
        <v>26.26</v>
      </c>
      <c r="C921">
        <v>3</v>
      </c>
      <c r="D921">
        <v>3.9390000000000001</v>
      </c>
      <c r="E921">
        <v>82.718999999999994</v>
      </c>
      <c r="F921" s="1">
        <v>43526</v>
      </c>
      <c r="G921" s="2">
        <v>0.52500000000000002</v>
      </c>
      <c r="H921" t="s">
        <v>23</v>
      </c>
      <c r="I921">
        <v>78.78</v>
      </c>
      <c r="J921">
        <v>4.7619047620000003</v>
      </c>
      <c r="K921">
        <v>3.9390000000000001</v>
      </c>
      <c r="L921">
        <v>6.3</v>
      </c>
    </row>
    <row r="922" spans="1:12" x14ac:dyDescent="0.25">
      <c r="A922" t="s">
        <v>956</v>
      </c>
      <c r="B922">
        <v>35.79</v>
      </c>
      <c r="C922">
        <v>9</v>
      </c>
      <c r="D922">
        <v>16.105499999999999</v>
      </c>
      <c r="E922">
        <v>338.21550000000002</v>
      </c>
      <c r="F922" s="1">
        <v>43534</v>
      </c>
      <c r="G922" s="2">
        <v>0.62916666666666665</v>
      </c>
      <c r="H922" t="s">
        <v>33</v>
      </c>
      <c r="I922">
        <v>322.11</v>
      </c>
      <c r="J922">
        <v>4.7619047620000003</v>
      </c>
      <c r="K922">
        <v>16.105499999999999</v>
      </c>
      <c r="L922">
        <v>5.0999999999999996</v>
      </c>
    </row>
    <row r="923" spans="1:12" x14ac:dyDescent="0.25">
      <c r="A923" t="s">
        <v>957</v>
      </c>
      <c r="B923">
        <v>16.37</v>
      </c>
      <c r="C923">
        <v>6</v>
      </c>
      <c r="D923">
        <v>4.9109999999999996</v>
      </c>
      <c r="E923">
        <v>103.131</v>
      </c>
      <c r="F923" s="1">
        <v>43504</v>
      </c>
      <c r="G923" s="2">
        <v>0.45694444444444443</v>
      </c>
      <c r="H923" t="s">
        <v>29</v>
      </c>
      <c r="I923">
        <v>98.22</v>
      </c>
      <c r="J923">
        <v>4.7619047620000003</v>
      </c>
      <c r="K923">
        <v>4.9109999999999996</v>
      </c>
      <c r="L923">
        <v>7</v>
      </c>
    </row>
    <row r="924" spans="1:12" x14ac:dyDescent="0.25">
      <c r="A924" t="s">
        <v>958</v>
      </c>
      <c r="B924">
        <v>12.73</v>
      </c>
      <c r="C924">
        <v>2</v>
      </c>
      <c r="D924">
        <v>1.2729999999999999</v>
      </c>
      <c r="E924">
        <v>26.733000000000001</v>
      </c>
      <c r="F924" s="1">
        <v>43518</v>
      </c>
      <c r="G924" s="2">
        <v>0.50694444444444442</v>
      </c>
      <c r="H924" t="s">
        <v>33</v>
      </c>
      <c r="I924">
        <v>25.46</v>
      </c>
      <c r="J924">
        <v>4.7619047620000003</v>
      </c>
      <c r="K924">
        <v>1.2729999999999999</v>
      </c>
      <c r="L924">
        <v>5.2</v>
      </c>
    </row>
    <row r="925" spans="1:12" x14ac:dyDescent="0.25">
      <c r="A925" t="s">
        <v>959</v>
      </c>
      <c r="B925">
        <v>83.14</v>
      </c>
      <c r="C925">
        <v>7</v>
      </c>
      <c r="D925">
        <v>29.099</v>
      </c>
      <c r="E925">
        <v>611.07899999999995</v>
      </c>
      <c r="F925" s="1">
        <v>43475</v>
      </c>
      <c r="G925" s="2">
        <v>0.4381944444444445</v>
      </c>
      <c r="H925" t="s">
        <v>33</v>
      </c>
      <c r="I925">
        <v>581.98</v>
      </c>
      <c r="J925">
        <v>4.7619047620000003</v>
      </c>
      <c r="K925">
        <v>29.099</v>
      </c>
      <c r="L925">
        <v>6.6</v>
      </c>
    </row>
    <row r="926" spans="1:12" x14ac:dyDescent="0.25">
      <c r="A926" t="s">
        <v>960</v>
      </c>
      <c r="B926">
        <v>35.22</v>
      </c>
      <c r="C926">
        <v>6</v>
      </c>
      <c r="D926">
        <v>10.566000000000001</v>
      </c>
      <c r="E926">
        <v>221.886</v>
      </c>
      <c r="F926" s="1">
        <v>43538</v>
      </c>
      <c r="G926" s="2">
        <v>0.5756944444444444</v>
      </c>
      <c r="H926" t="s">
        <v>23</v>
      </c>
      <c r="I926">
        <v>211.32</v>
      </c>
      <c r="J926">
        <v>4.7619047620000003</v>
      </c>
      <c r="K926">
        <v>10.566000000000001</v>
      </c>
      <c r="L926">
        <v>6.5</v>
      </c>
    </row>
    <row r="927" spans="1:12" x14ac:dyDescent="0.25">
      <c r="A927" t="s">
        <v>961</v>
      </c>
      <c r="B927">
        <v>13.78</v>
      </c>
      <c r="C927">
        <v>4</v>
      </c>
      <c r="D927">
        <v>2.7559999999999998</v>
      </c>
      <c r="E927">
        <v>57.875999999999998</v>
      </c>
      <c r="F927" s="1">
        <v>43475</v>
      </c>
      <c r="G927" s="2">
        <v>0.46527777777777773</v>
      </c>
      <c r="H927" t="s">
        <v>23</v>
      </c>
      <c r="I927">
        <v>55.12</v>
      </c>
      <c r="J927">
        <v>4.7619047620000003</v>
      </c>
      <c r="K927">
        <v>2.7559999999999998</v>
      </c>
      <c r="L927">
        <v>9</v>
      </c>
    </row>
    <row r="928" spans="1:12" x14ac:dyDescent="0.25">
      <c r="A928" t="s">
        <v>962</v>
      </c>
      <c r="B928">
        <v>88.31</v>
      </c>
      <c r="C928">
        <v>1</v>
      </c>
      <c r="D928">
        <v>4.4154999999999998</v>
      </c>
      <c r="E928">
        <v>92.725499999999997</v>
      </c>
      <c r="F928" s="1">
        <v>43511</v>
      </c>
      <c r="G928" s="2">
        <v>0.73472222222222217</v>
      </c>
      <c r="H928" t="s">
        <v>33</v>
      </c>
      <c r="I928">
        <v>88.31</v>
      </c>
      <c r="J928">
        <v>4.7619047620000003</v>
      </c>
      <c r="K928">
        <v>4.4154999999999998</v>
      </c>
      <c r="L928">
        <v>5.2</v>
      </c>
    </row>
    <row r="929" spans="1:12" x14ac:dyDescent="0.25">
      <c r="A929" t="s">
        <v>963</v>
      </c>
      <c r="B929">
        <v>39.619999999999997</v>
      </c>
      <c r="C929">
        <v>9</v>
      </c>
      <c r="D929">
        <v>17.829000000000001</v>
      </c>
      <c r="E929">
        <v>374.40899999999999</v>
      </c>
      <c r="F929" s="1">
        <v>43478</v>
      </c>
      <c r="G929" s="2">
        <v>0.74583333333333324</v>
      </c>
      <c r="H929" t="s">
        <v>33</v>
      </c>
      <c r="I929">
        <v>356.58</v>
      </c>
      <c r="J929">
        <v>4.7619047620000003</v>
      </c>
      <c r="K929">
        <v>17.829000000000001</v>
      </c>
      <c r="L929">
        <v>6.8</v>
      </c>
    </row>
    <row r="930" spans="1:12" x14ac:dyDescent="0.25">
      <c r="A930" t="s">
        <v>964</v>
      </c>
      <c r="B930">
        <v>88.25</v>
      </c>
      <c r="C930">
        <v>9</v>
      </c>
      <c r="D930">
        <v>39.712499999999999</v>
      </c>
      <c r="E930">
        <v>833.96249999999998</v>
      </c>
      <c r="F930" s="1">
        <v>43511</v>
      </c>
      <c r="G930" s="2">
        <v>0.86875000000000002</v>
      </c>
      <c r="H930" t="s">
        <v>33</v>
      </c>
      <c r="I930">
        <v>794.25</v>
      </c>
      <c r="J930">
        <v>4.7619047620000003</v>
      </c>
      <c r="K930">
        <v>39.712499999999999</v>
      </c>
      <c r="L930">
        <v>7.6</v>
      </c>
    </row>
    <row r="931" spans="1:12" x14ac:dyDescent="0.25">
      <c r="A931" t="s">
        <v>965</v>
      </c>
      <c r="B931">
        <v>25.31</v>
      </c>
      <c r="C931">
        <v>2</v>
      </c>
      <c r="D931">
        <v>2.5310000000000001</v>
      </c>
      <c r="E931">
        <v>53.151000000000003</v>
      </c>
      <c r="F931" s="1">
        <v>43526</v>
      </c>
      <c r="G931" s="2">
        <v>0.80972222222222223</v>
      </c>
      <c r="H931" t="s">
        <v>23</v>
      </c>
      <c r="I931">
        <v>50.62</v>
      </c>
      <c r="J931">
        <v>4.7619047620000003</v>
      </c>
      <c r="K931">
        <v>2.5310000000000001</v>
      </c>
      <c r="L931">
        <v>7.2</v>
      </c>
    </row>
    <row r="932" spans="1:12" x14ac:dyDescent="0.25">
      <c r="A932" t="s">
        <v>966</v>
      </c>
      <c r="B932">
        <v>99.92</v>
      </c>
      <c r="C932">
        <v>6</v>
      </c>
      <c r="D932">
        <v>29.975999999999999</v>
      </c>
      <c r="E932">
        <v>629.49599999999998</v>
      </c>
      <c r="F932" s="1">
        <v>43548</v>
      </c>
      <c r="G932" s="2">
        <v>0.56458333333333333</v>
      </c>
      <c r="H932" t="s">
        <v>23</v>
      </c>
      <c r="I932">
        <v>599.52</v>
      </c>
      <c r="J932">
        <v>4.7619047620000003</v>
      </c>
      <c r="K932">
        <v>29.975999999999999</v>
      </c>
      <c r="L932">
        <v>7.1</v>
      </c>
    </row>
    <row r="933" spans="1:12" x14ac:dyDescent="0.25">
      <c r="A933" t="s">
        <v>967</v>
      </c>
      <c r="B933">
        <v>83.35</v>
      </c>
      <c r="C933">
        <v>2</v>
      </c>
      <c r="D933">
        <v>8.3350000000000009</v>
      </c>
      <c r="E933">
        <v>175.035</v>
      </c>
      <c r="F933" s="1">
        <v>43498</v>
      </c>
      <c r="G933" s="2">
        <v>0.58680555555555558</v>
      </c>
      <c r="H933" t="s">
        <v>33</v>
      </c>
      <c r="I933">
        <v>166.7</v>
      </c>
      <c r="J933">
        <v>4.7619047620000003</v>
      </c>
      <c r="K933">
        <v>8.3350000000000009</v>
      </c>
      <c r="L933">
        <v>9.5</v>
      </c>
    </row>
    <row r="934" spans="1:12" x14ac:dyDescent="0.25">
      <c r="A934" t="s">
        <v>968</v>
      </c>
      <c r="B934">
        <v>74.44</v>
      </c>
      <c r="C934">
        <v>10</v>
      </c>
      <c r="D934">
        <v>37.22</v>
      </c>
      <c r="E934">
        <v>781.62</v>
      </c>
      <c r="F934" s="1">
        <v>43523</v>
      </c>
      <c r="G934" s="2">
        <v>0.4861111111111111</v>
      </c>
      <c r="H934" t="s">
        <v>23</v>
      </c>
      <c r="I934">
        <v>744.4</v>
      </c>
      <c r="J934">
        <v>4.7619047620000003</v>
      </c>
      <c r="K934">
        <v>37.22</v>
      </c>
      <c r="L934">
        <v>5.0999999999999996</v>
      </c>
    </row>
    <row r="935" spans="1:12" x14ac:dyDescent="0.25">
      <c r="A935" t="s">
        <v>969</v>
      </c>
      <c r="B935">
        <v>64.08</v>
      </c>
      <c r="C935">
        <v>7</v>
      </c>
      <c r="D935">
        <v>22.428000000000001</v>
      </c>
      <c r="E935">
        <v>470.988</v>
      </c>
      <c r="F935" s="1">
        <v>43485</v>
      </c>
      <c r="G935" s="2">
        <v>0.51874999999999993</v>
      </c>
      <c r="H935" t="s">
        <v>23</v>
      </c>
      <c r="I935">
        <v>448.56</v>
      </c>
      <c r="J935">
        <v>4.7619047620000003</v>
      </c>
      <c r="K935">
        <v>22.428000000000001</v>
      </c>
      <c r="L935">
        <v>7.6</v>
      </c>
    </row>
    <row r="936" spans="1:12" x14ac:dyDescent="0.25">
      <c r="A936" t="s">
        <v>970</v>
      </c>
      <c r="B936">
        <v>63.15</v>
      </c>
      <c r="C936">
        <v>6</v>
      </c>
      <c r="D936">
        <v>18.945</v>
      </c>
      <c r="E936">
        <v>397.84500000000003</v>
      </c>
      <c r="F936" s="1">
        <v>43468</v>
      </c>
      <c r="G936" s="2">
        <v>0.85</v>
      </c>
      <c r="H936" t="s">
        <v>23</v>
      </c>
      <c r="I936">
        <v>378.9</v>
      </c>
      <c r="J936">
        <v>4.7619047620000003</v>
      </c>
      <c r="K936">
        <v>18.945</v>
      </c>
      <c r="L936">
        <v>9.8000000000000007</v>
      </c>
    </row>
    <row r="937" spans="1:12" x14ac:dyDescent="0.25">
      <c r="A937" t="s">
        <v>971</v>
      </c>
      <c r="B937">
        <v>85.72</v>
      </c>
      <c r="C937">
        <v>3</v>
      </c>
      <c r="D937">
        <v>12.858000000000001</v>
      </c>
      <c r="E937">
        <v>270.01799999999997</v>
      </c>
      <c r="F937" s="1">
        <v>43489</v>
      </c>
      <c r="G937" s="2">
        <v>0.87430555555555556</v>
      </c>
      <c r="H937" t="s">
        <v>23</v>
      </c>
      <c r="I937">
        <v>257.16000000000003</v>
      </c>
      <c r="J937">
        <v>4.7619047620000003</v>
      </c>
      <c r="K937">
        <v>12.858000000000001</v>
      </c>
      <c r="L937">
        <v>5.0999999999999996</v>
      </c>
    </row>
    <row r="938" spans="1:12" x14ac:dyDescent="0.25">
      <c r="A938" t="s">
        <v>972</v>
      </c>
      <c r="B938">
        <v>78.89</v>
      </c>
      <c r="C938">
        <v>7</v>
      </c>
      <c r="D938">
        <v>27.611499999999999</v>
      </c>
      <c r="E938">
        <v>579.8415</v>
      </c>
      <c r="F938" s="1">
        <v>43470</v>
      </c>
      <c r="G938" s="2">
        <v>0.82500000000000007</v>
      </c>
      <c r="H938" t="s">
        <v>23</v>
      </c>
      <c r="I938">
        <v>552.23</v>
      </c>
      <c r="J938">
        <v>4.7619047620000003</v>
      </c>
      <c r="K938">
        <v>27.611499999999999</v>
      </c>
      <c r="L938">
        <v>7.5</v>
      </c>
    </row>
    <row r="939" spans="1:12" x14ac:dyDescent="0.25">
      <c r="A939" t="s">
        <v>973</v>
      </c>
      <c r="B939">
        <v>89.48</v>
      </c>
      <c r="C939">
        <v>5</v>
      </c>
      <c r="D939">
        <v>22.37</v>
      </c>
      <c r="E939">
        <v>469.77</v>
      </c>
      <c r="F939" s="1">
        <v>43554</v>
      </c>
      <c r="G939" s="2">
        <v>0.4291666666666667</v>
      </c>
      <c r="H939" t="s">
        <v>29</v>
      </c>
      <c r="I939">
        <v>447.4</v>
      </c>
      <c r="J939">
        <v>4.7619047620000003</v>
      </c>
      <c r="K939">
        <v>22.37</v>
      </c>
      <c r="L939">
        <v>7.4</v>
      </c>
    </row>
    <row r="940" spans="1:12" x14ac:dyDescent="0.25">
      <c r="A940" t="s">
        <v>974</v>
      </c>
      <c r="B940">
        <v>92.09</v>
      </c>
      <c r="C940">
        <v>3</v>
      </c>
      <c r="D940">
        <v>13.813499999999999</v>
      </c>
      <c r="E940">
        <v>290.08350000000002</v>
      </c>
      <c r="F940" s="1">
        <v>43513</v>
      </c>
      <c r="G940" s="2">
        <v>0.68541666666666667</v>
      </c>
      <c r="H940" t="s">
        <v>29</v>
      </c>
      <c r="I940">
        <v>276.27</v>
      </c>
      <c r="J940">
        <v>4.7619047620000003</v>
      </c>
      <c r="K940">
        <v>13.813499999999999</v>
      </c>
      <c r="L940">
        <v>4.2</v>
      </c>
    </row>
    <row r="941" spans="1:12" x14ac:dyDescent="0.25">
      <c r="A941" t="s">
        <v>975</v>
      </c>
      <c r="B941">
        <v>57.29</v>
      </c>
      <c r="C941">
        <v>6</v>
      </c>
      <c r="D941">
        <v>17.187000000000001</v>
      </c>
      <c r="E941">
        <v>360.92700000000002</v>
      </c>
      <c r="F941" s="1">
        <v>43545</v>
      </c>
      <c r="G941" s="2">
        <v>0.71111111111111114</v>
      </c>
      <c r="H941" t="s">
        <v>23</v>
      </c>
      <c r="I941">
        <v>343.74</v>
      </c>
      <c r="J941">
        <v>4.7619047620000003</v>
      </c>
      <c r="K941">
        <v>17.187000000000001</v>
      </c>
      <c r="L941">
        <v>5.9</v>
      </c>
    </row>
    <row r="942" spans="1:12" x14ac:dyDescent="0.25">
      <c r="A942" t="s">
        <v>976</v>
      </c>
      <c r="B942">
        <v>66.52</v>
      </c>
      <c r="C942">
        <v>4</v>
      </c>
      <c r="D942">
        <v>13.304</v>
      </c>
      <c r="E942">
        <v>279.38400000000001</v>
      </c>
      <c r="F942" s="1">
        <v>43526</v>
      </c>
      <c r="G942" s="2">
        <v>0.7597222222222223</v>
      </c>
      <c r="H942" t="s">
        <v>23</v>
      </c>
      <c r="I942">
        <v>266.08</v>
      </c>
      <c r="J942">
        <v>4.7619047620000003</v>
      </c>
      <c r="K942">
        <v>13.304</v>
      </c>
      <c r="L942">
        <v>6.9</v>
      </c>
    </row>
    <row r="943" spans="1:12" x14ac:dyDescent="0.25">
      <c r="A943" t="s">
        <v>977</v>
      </c>
      <c r="B943">
        <v>99.82</v>
      </c>
      <c r="C943">
        <v>9</v>
      </c>
      <c r="D943">
        <v>44.918999999999997</v>
      </c>
      <c r="E943">
        <v>943.29899999999998</v>
      </c>
      <c r="F943" s="1">
        <v>43551</v>
      </c>
      <c r="G943" s="2">
        <v>0.4465277777777778</v>
      </c>
      <c r="H943" t="s">
        <v>29</v>
      </c>
      <c r="I943">
        <v>898.38</v>
      </c>
      <c r="J943">
        <v>4.7619047620000003</v>
      </c>
      <c r="K943">
        <v>44.918999999999997</v>
      </c>
      <c r="L943">
        <v>6.6</v>
      </c>
    </row>
    <row r="944" spans="1:12" x14ac:dyDescent="0.25">
      <c r="A944" t="s">
        <v>978</v>
      </c>
      <c r="B944">
        <v>45.68</v>
      </c>
      <c r="C944">
        <v>10</v>
      </c>
      <c r="D944">
        <v>22.84</v>
      </c>
      <c r="E944">
        <v>479.64</v>
      </c>
      <c r="F944" s="1">
        <v>43484</v>
      </c>
      <c r="G944" s="2">
        <v>0.8125</v>
      </c>
      <c r="H944" t="s">
        <v>23</v>
      </c>
      <c r="I944">
        <v>456.8</v>
      </c>
      <c r="J944">
        <v>4.7619047620000003</v>
      </c>
      <c r="K944">
        <v>22.84</v>
      </c>
      <c r="L944">
        <v>5.7</v>
      </c>
    </row>
    <row r="945" spans="1:12" x14ac:dyDescent="0.25">
      <c r="A945" t="s">
        <v>979</v>
      </c>
      <c r="B945">
        <v>50.79</v>
      </c>
      <c r="C945">
        <v>5</v>
      </c>
      <c r="D945">
        <v>12.6975</v>
      </c>
      <c r="E945">
        <v>266.64749999999998</v>
      </c>
      <c r="F945" s="1">
        <v>43515</v>
      </c>
      <c r="G945" s="2">
        <v>0.62013888888888891</v>
      </c>
      <c r="H945" t="s">
        <v>33</v>
      </c>
      <c r="I945">
        <v>253.95</v>
      </c>
      <c r="J945">
        <v>4.7619047620000003</v>
      </c>
      <c r="K945">
        <v>12.6975</v>
      </c>
      <c r="L945">
        <v>5.3</v>
      </c>
    </row>
    <row r="946" spans="1:12" x14ac:dyDescent="0.25">
      <c r="A946" t="s">
        <v>980</v>
      </c>
      <c r="B946">
        <v>10.08</v>
      </c>
      <c r="C946">
        <v>7</v>
      </c>
      <c r="D946">
        <v>3.528</v>
      </c>
      <c r="E946">
        <v>74.087999999999994</v>
      </c>
      <c r="F946" s="1">
        <v>43552</v>
      </c>
      <c r="G946" s="2">
        <v>0.84305555555555556</v>
      </c>
      <c r="H946" t="s">
        <v>29</v>
      </c>
      <c r="I946">
        <v>70.56</v>
      </c>
      <c r="J946">
        <v>4.7619047620000003</v>
      </c>
      <c r="K946">
        <v>3.528</v>
      </c>
      <c r="L946">
        <v>4.2</v>
      </c>
    </row>
    <row r="947" spans="1:12" x14ac:dyDescent="0.25">
      <c r="A947" t="s">
        <v>981</v>
      </c>
      <c r="B947">
        <v>93.88</v>
      </c>
      <c r="C947">
        <v>7</v>
      </c>
      <c r="D947">
        <v>32.857999999999997</v>
      </c>
      <c r="E947">
        <v>690.01800000000003</v>
      </c>
      <c r="F947" s="1">
        <v>43470</v>
      </c>
      <c r="G947" s="2">
        <v>0.49374999999999997</v>
      </c>
      <c r="H947" t="s">
        <v>33</v>
      </c>
      <c r="I947">
        <v>657.16</v>
      </c>
      <c r="J947">
        <v>4.7619047620000003</v>
      </c>
      <c r="K947">
        <v>32.857999999999997</v>
      </c>
      <c r="L947">
        <v>7.3</v>
      </c>
    </row>
    <row r="948" spans="1:12" x14ac:dyDescent="0.25">
      <c r="A948" t="s">
        <v>982</v>
      </c>
      <c r="B948">
        <v>84.25</v>
      </c>
      <c r="C948">
        <v>2</v>
      </c>
      <c r="D948">
        <v>8.4250000000000007</v>
      </c>
      <c r="E948">
        <v>176.92500000000001</v>
      </c>
      <c r="F948" s="1">
        <v>43550</v>
      </c>
      <c r="G948" s="2">
        <v>0.59236111111111112</v>
      </c>
      <c r="H948" t="s">
        <v>33</v>
      </c>
      <c r="I948">
        <v>168.5</v>
      </c>
      <c r="J948">
        <v>4.7619047620000003</v>
      </c>
      <c r="K948">
        <v>8.4250000000000007</v>
      </c>
      <c r="L948">
        <v>5.3</v>
      </c>
    </row>
    <row r="949" spans="1:12" x14ac:dyDescent="0.25">
      <c r="A949" t="s">
        <v>983</v>
      </c>
      <c r="B949">
        <v>53.78</v>
      </c>
      <c r="C949">
        <v>1</v>
      </c>
      <c r="D949">
        <v>2.6890000000000001</v>
      </c>
      <c r="E949">
        <v>56.469000000000001</v>
      </c>
      <c r="F949" s="1">
        <v>43499</v>
      </c>
      <c r="G949" s="2">
        <v>0.84236111111111101</v>
      </c>
      <c r="H949" t="s">
        <v>23</v>
      </c>
      <c r="I949">
        <v>53.78</v>
      </c>
      <c r="J949">
        <v>4.7619047620000003</v>
      </c>
      <c r="K949">
        <v>2.6890000000000001</v>
      </c>
      <c r="L949">
        <v>4.7</v>
      </c>
    </row>
    <row r="950" spans="1:12" x14ac:dyDescent="0.25">
      <c r="A950" t="s">
        <v>984</v>
      </c>
      <c r="B950">
        <v>35.81</v>
      </c>
      <c r="C950">
        <v>5</v>
      </c>
      <c r="D950">
        <v>8.9525000000000006</v>
      </c>
      <c r="E950">
        <v>188.0025</v>
      </c>
      <c r="F950" s="1">
        <v>43502</v>
      </c>
      <c r="G950" s="2">
        <v>0.78055555555555556</v>
      </c>
      <c r="H950" t="s">
        <v>23</v>
      </c>
      <c r="I950">
        <v>179.05</v>
      </c>
      <c r="J950">
        <v>4.7619047620000003</v>
      </c>
      <c r="K950">
        <v>8.9525000000000006</v>
      </c>
      <c r="L950">
        <v>7.9</v>
      </c>
    </row>
    <row r="951" spans="1:12" x14ac:dyDescent="0.25">
      <c r="A951" t="s">
        <v>985</v>
      </c>
      <c r="B951">
        <v>26.43</v>
      </c>
      <c r="C951">
        <v>8</v>
      </c>
      <c r="D951">
        <v>10.571999999999999</v>
      </c>
      <c r="E951">
        <v>222.012</v>
      </c>
      <c r="F951" s="1">
        <v>43520</v>
      </c>
      <c r="G951" s="2">
        <v>0.60138888888888886</v>
      </c>
      <c r="H951" t="s">
        <v>23</v>
      </c>
      <c r="I951">
        <v>211.44</v>
      </c>
      <c r="J951">
        <v>4.7619047620000003</v>
      </c>
      <c r="K951">
        <v>10.571999999999999</v>
      </c>
      <c r="L951">
        <v>8.9</v>
      </c>
    </row>
    <row r="952" spans="1:12" x14ac:dyDescent="0.25">
      <c r="A952" t="s">
        <v>986</v>
      </c>
      <c r="B952">
        <v>39.909999999999997</v>
      </c>
      <c r="C952">
        <v>3</v>
      </c>
      <c r="D952">
        <v>5.9865000000000004</v>
      </c>
      <c r="E952">
        <v>125.7165</v>
      </c>
      <c r="F952" s="1">
        <v>43517</v>
      </c>
      <c r="G952" s="2">
        <v>0.52777777777777779</v>
      </c>
      <c r="H952" t="s">
        <v>23</v>
      </c>
      <c r="I952">
        <v>119.73</v>
      </c>
      <c r="J952">
        <v>4.7619047620000003</v>
      </c>
      <c r="K952">
        <v>5.9865000000000004</v>
      </c>
      <c r="L952">
        <v>9.3000000000000007</v>
      </c>
    </row>
    <row r="953" spans="1:12" x14ac:dyDescent="0.25">
      <c r="A953" t="s">
        <v>987</v>
      </c>
      <c r="B953">
        <v>21.9</v>
      </c>
      <c r="C953">
        <v>3</v>
      </c>
      <c r="D953">
        <v>3.2850000000000001</v>
      </c>
      <c r="E953">
        <v>68.984999999999999</v>
      </c>
      <c r="F953" s="1">
        <v>43474</v>
      </c>
      <c r="G953" s="2">
        <v>0.77986111111111101</v>
      </c>
      <c r="H953" t="s">
        <v>23</v>
      </c>
      <c r="I953">
        <v>65.7</v>
      </c>
      <c r="J953">
        <v>4.7619047620000003</v>
      </c>
      <c r="K953">
        <v>3.2850000000000001</v>
      </c>
      <c r="L953">
        <v>4.7</v>
      </c>
    </row>
    <row r="954" spans="1:12" x14ac:dyDescent="0.25">
      <c r="A954" t="s">
        <v>988</v>
      </c>
      <c r="B954">
        <v>62.85</v>
      </c>
      <c r="C954">
        <v>4</v>
      </c>
      <c r="D954">
        <v>12.57</v>
      </c>
      <c r="E954">
        <v>263.97000000000003</v>
      </c>
      <c r="F954" s="1">
        <v>43521</v>
      </c>
      <c r="G954" s="2">
        <v>0.55694444444444446</v>
      </c>
      <c r="H954" t="s">
        <v>23</v>
      </c>
      <c r="I954">
        <v>251.4</v>
      </c>
      <c r="J954">
        <v>4.7619047620000003</v>
      </c>
      <c r="K954">
        <v>12.57</v>
      </c>
      <c r="L954">
        <v>8.6999999999999993</v>
      </c>
    </row>
    <row r="955" spans="1:12" x14ac:dyDescent="0.25">
      <c r="A955" t="s">
        <v>989</v>
      </c>
      <c r="B955">
        <v>21.04</v>
      </c>
      <c r="C955">
        <v>4</v>
      </c>
      <c r="D955">
        <v>4.2080000000000002</v>
      </c>
      <c r="E955">
        <v>88.367999999999995</v>
      </c>
      <c r="F955" s="1">
        <v>43478</v>
      </c>
      <c r="G955" s="2">
        <v>0.58194444444444449</v>
      </c>
      <c r="H955" t="s">
        <v>29</v>
      </c>
      <c r="I955">
        <v>84.16</v>
      </c>
      <c r="J955">
        <v>4.7619047620000003</v>
      </c>
      <c r="K955">
        <v>4.2080000000000002</v>
      </c>
      <c r="L955">
        <v>7.6</v>
      </c>
    </row>
    <row r="956" spans="1:12" x14ac:dyDescent="0.25">
      <c r="A956" t="s">
        <v>990</v>
      </c>
      <c r="B956">
        <v>65.91</v>
      </c>
      <c r="C956">
        <v>6</v>
      </c>
      <c r="D956">
        <v>19.773</v>
      </c>
      <c r="E956">
        <v>415.233</v>
      </c>
      <c r="F956" s="1">
        <v>43505</v>
      </c>
      <c r="G956" s="2">
        <v>0.48958333333333331</v>
      </c>
      <c r="H956" t="s">
        <v>29</v>
      </c>
      <c r="I956">
        <v>395.46</v>
      </c>
      <c r="J956">
        <v>4.7619047620000003</v>
      </c>
      <c r="K956">
        <v>19.773</v>
      </c>
      <c r="L956">
        <v>5.7</v>
      </c>
    </row>
    <row r="957" spans="1:12" x14ac:dyDescent="0.25">
      <c r="A957" t="s">
        <v>991</v>
      </c>
      <c r="B957">
        <v>42.57</v>
      </c>
      <c r="C957">
        <v>7</v>
      </c>
      <c r="D957">
        <v>14.8995</v>
      </c>
      <c r="E957">
        <v>312.8895</v>
      </c>
      <c r="F957" s="1">
        <v>43471</v>
      </c>
      <c r="G957" s="2">
        <v>0.49374999999999997</v>
      </c>
      <c r="H957" t="s">
        <v>29</v>
      </c>
      <c r="I957">
        <v>297.99</v>
      </c>
      <c r="J957">
        <v>4.7619047620000003</v>
      </c>
      <c r="K957">
        <v>14.8995</v>
      </c>
      <c r="L957">
        <v>6.8</v>
      </c>
    </row>
    <row r="958" spans="1:12" x14ac:dyDescent="0.25">
      <c r="A958" t="s">
        <v>992</v>
      </c>
      <c r="B958">
        <v>50.49</v>
      </c>
      <c r="C958">
        <v>9</v>
      </c>
      <c r="D958">
        <v>22.720500000000001</v>
      </c>
      <c r="E958">
        <v>477.13049999999998</v>
      </c>
      <c r="F958" s="1">
        <v>43475</v>
      </c>
      <c r="G958" s="2">
        <v>0.71944444444444444</v>
      </c>
      <c r="H958" t="s">
        <v>29</v>
      </c>
      <c r="I958">
        <v>454.41</v>
      </c>
      <c r="J958">
        <v>4.7619047620000003</v>
      </c>
      <c r="K958">
        <v>22.720500000000001</v>
      </c>
      <c r="L958">
        <v>5.4</v>
      </c>
    </row>
    <row r="959" spans="1:12" x14ac:dyDescent="0.25">
      <c r="A959" t="s">
        <v>993</v>
      </c>
      <c r="B959">
        <v>46.02</v>
      </c>
      <c r="C959">
        <v>6</v>
      </c>
      <c r="D959">
        <v>13.805999999999999</v>
      </c>
      <c r="E959">
        <v>289.92599999999999</v>
      </c>
      <c r="F959" s="1">
        <v>43503</v>
      </c>
      <c r="G959" s="2">
        <v>0.66319444444444442</v>
      </c>
      <c r="H959" t="s">
        <v>29</v>
      </c>
      <c r="I959">
        <v>276.12</v>
      </c>
      <c r="J959">
        <v>4.7619047620000003</v>
      </c>
      <c r="K959">
        <v>13.805999999999999</v>
      </c>
      <c r="L959">
        <v>7.1</v>
      </c>
    </row>
    <row r="960" spans="1:12" x14ac:dyDescent="0.25">
      <c r="A960" t="s">
        <v>994</v>
      </c>
      <c r="B960">
        <v>15.8</v>
      </c>
      <c r="C960">
        <v>10</v>
      </c>
      <c r="D960">
        <v>7.9</v>
      </c>
      <c r="E960">
        <v>165.9</v>
      </c>
      <c r="F960" s="1">
        <v>43474</v>
      </c>
      <c r="G960" s="2">
        <v>0.50486111111111109</v>
      </c>
      <c r="H960" t="s">
        <v>29</v>
      </c>
      <c r="I960">
        <v>158</v>
      </c>
      <c r="J960">
        <v>4.7619047620000003</v>
      </c>
      <c r="K960">
        <v>7.9</v>
      </c>
      <c r="L960">
        <v>7.8</v>
      </c>
    </row>
    <row r="961" spans="1:12" x14ac:dyDescent="0.25">
      <c r="A961" t="s">
        <v>995</v>
      </c>
      <c r="B961">
        <v>98.66</v>
      </c>
      <c r="C961">
        <v>9</v>
      </c>
      <c r="D961">
        <v>44.396999999999998</v>
      </c>
      <c r="E961">
        <v>932.33699999999999</v>
      </c>
      <c r="F961" s="1">
        <v>43515</v>
      </c>
      <c r="G961" s="2">
        <v>0.62986111111111109</v>
      </c>
      <c r="H961" t="s">
        <v>29</v>
      </c>
      <c r="I961">
        <v>887.94</v>
      </c>
      <c r="J961">
        <v>4.7619047620000003</v>
      </c>
      <c r="K961">
        <v>44.396999999999998</v>
      </c>
      <c r="L961">
        <v>8.4</v>
      </c>
    </row>
    <row r="962" spans="1:12" x14ac:dyDescent="0.25">
      <c r="A962" t="s">
        <v>996</v>
      </c>
      <c r="B962">
        <v>91.98</v>
      </c>
      <c r="C962">
        <v>1</v>
      </c>
      <c r="D962">
        <v>4.5990000000000002</v>
      </c>
      <c r="E962">
        <v>96.578999999999994</v>
      </c>
      <c r="F962" s="1">
        <v>43542</v>
      </c>
      <c r="G962" s="2">
        <v>0.64513888888888882</v>
      </c>
      <c r="H962" t="s">
        <v>29</v>
      </c>
      <c r="I962">
        <v>91.98</v>
      </c>
      <c r="J962">
        <v>4.7619047620000003</v>
      </c>
      <c r="K962">
        <v>4.5990000000000002</v>
      </c>
      <c r="L962">
        <v>9.8000000000000007</v>
      </c>
    </row>
    <row r="963" spans="1:12" x14ac:dyDescent="0.25">
      <c r="A963" t="s">
        <v>997</v>
      </c>
      <c r="B963">
        <v>20.89</v>
      </c>
      <c r="C963">
        <v>2</v>
      </c>
      <c r="D963">
        <v>2.089</v>
      </c>
      <c r="E963">
        <v>43.869</v>
      </c>
      <c r="F963" s="1">
        <v>43501</v>
      </c>
      <c r="G963" s="2">
        <v>0.78125</v>
      </c>
      <c r="H963" t="s">
        <v>29</v>
      </c>
      <c r="I963">
        <v>41.78</v>
      </c>
      <c r="J963">
        <v>4.7619047620000003</v>
      </c>
      <c r="K963">
        <v>2.089</v>
      </c>
      <c r="L963">
        <v>9.8000000000000007</v>
      </c>
    </row>
    <row r="964" spans="1:12" x14ac:dyDescent="0.25">
      <c r="A964" t="s">
        <v>998</v>
      </c>
      <c r="B964">
        <v>15.5</v>
      </c>
      <c r="C964">
        <v>1</v>
      </c>
      <c r="D964">
        <v>0.77500000000000002</v>
      </c>
      <c r="E964">
        <v>16.274999999999999</v>
      </c>
      <c r="F964" s="1">
        <v>43543</v>
      </c>
      <c r="G964" s="2">
        <v>0.64097222222222217</v>
      </c>
      <c r="H964" t="s">
        <v>33</v>
      </c>
      <c r="I964">
        <v>15.5</v>
      </c>
      <c r="J964">
        <v>4.7619047620000003</v>
      </c>
      <c r="K964">
        <v>0.77500000000000002</v>
      </c>
      <c r="L964">
        <v>7.4</v>
      </c>
    </row>
    <row r="965" spans="1:12" x14ac:dyDescent="0.25">
      <c r="A965" t="s">
        <v>999</v>
      </c>
      <c r="B965">
        <v>96.82</v>
      </c>
      <c r="C965">
        <v>3</v>
      </c>
      <c r="D965">
        <v>14.523</v>
      </c>
      <c r="E965">
        <v>304.983</v>
      </c>
      <c r="F965" s="1">
        <v>43554</v>
      </c>
      <c r="G965" s="2">
        <v>0.85902777777777783</v>
      </c>
      <c r="H965" t="s">
        <v>29</v>
      </c>
      <c r="I965">
        <v>290.45999999999998</v>
      </c>
      <c r="J965">
        <v>4.7619047620000003</v>
      </c>
      <c r="K965">
        <v>14.523</v>
      </c>
      <c r="L965">
        <v>6.7</v>
      </c>
    </row>
    <row r="966" spans="1:12" x14ac:dyDescent="0.25">
      <c r="A966" t="s">
        <v>1000</v>
      </c>
      <c r="B966">
        <v>33.33</v>
      </c>
      <c r="C966">
        <v>2</v>
      </c>
      <c r="D966">
        <v>3.3330000000000002</v>
      </c>
      <c r="E966">
        <v>69.992999999999995</v>
      </c>
      <c r="F966" s="1">
        <v>43491</v>
      </c>
      <c r="G966" s="2">
        <v>0.6118055555555556</v>
      </c>
      <c r="H966" t="s">
        <v>33</v>
      </c>
      <c r="I966">
        <v>66.66</v>
      </c>
      <c r="J966">
        <v>4.7619047620000003</v>
      </c>
      <c r="K966">
        <v>3.3330000000000002</v>
      </c>
      <c r="L966">
        <v>6.4</v>
      </c>
    </row>
    <row r="967" spans="1:12" x14ac:dyDescent="0.25">
      <c r="A967" t="s">
        <v>1001</v>
      </c>
      <c r="B967">
        <v>38.270000000000003</v>
      </c>
      <c r="C967">
        <v>2</v>
      </c>
      <c r="D967">
        <v>3.827</v>
      </c>
      <c r="E967">
        <v>80.367000000000004</v>
      </c>
      <c r="F967" s="1">
        <v>43526</v>
      </c>
      <c r="G967" s="2">
        <v>0.76250000000000007</v>
      </c>
      <c r="H967" t="s">
        <v>33</v>
      </c>
      <c r="I967">
        <v>76.540000000000006</v>
      </c>
      <c r="J967">
        <v>4.7619047620000003</v>
      </c>
      <c r="K967">
        <v>3.827</v>
      </c>
      <c r="L967">
        <v>5.8</v>
      </c>
    </row>
    <row r="968" spans="1:12" x14ac:dyDescent="0.25">
      <c r="A968" t="s">
        <v>1002</v>
      </c>
      <c r="B968">
        <v>33.299999999999997</v>
      </c>
      <c r="C968">
        <v>9</v>
      </c>
      <c r="D968">
        <v>14.984999999999999</v>
      </c>
      <c r="E968">
        <v>314.685</v>
      </c>
      <c r="F968" s="1">
        <v>43528</v>
      </c>
      <c r="G968" s="2">
        <v>0.64374999999999993</v>
      </c>
      <c r="H968" t="s">
        <v>23</v>
      </c>
      <c r="I968">
        <v>299.7</v>
      </c>
      <c r="J968">
        <v>4.7619047620000003</v>
      </c>
      <c r="K968">
        <v>14.984999999999999</v>
      </c>
      <c r="L968">
        <v>7.2</v>
      </c>
    </row>
    <row r="969" spans="1:12" x14ac:dyDescent="0.25">
      <c r="A969" t="s">
        <v>1003</v>
      </c>
      <c r="B969">
        <v>81.010000000000005</v>
      </c>
      <c r="C969">
        <v>3</v>
      </c>
      <c r="D969">
        <v>12.1515</v>
      </c>
      <c r="E969">
        <v>255.1815</v>
      </c>
      <c r="F969" s="1">
        <v>43478</v>
      </c>
      <c r="G969" s="2">
        <v>0.53819444444444442</v>
      </c>
      <c r="H969" t="s">
        <v>33</v>
      </c>
      <c r="I969">
        <v>243.03</v>
      </c>
      <c r="J969">
        <v>4.7619047620000003</v>
      </c>
      <c r="K969">
        <v>12.1515</v>
      </c>
      <c r="L969">
        <v>9.3000000000000007</v>
      </c>
    </row>
    <row r="970" spans="1:12" x14ac:dyDescent="0.25">
      <c r="A970" t="s">
        <v>1004</v>
      </c>
      <c r="B970">
        <v>15.8</v>
      </c>
      <c r="C970">
        <v>3</v>
      </c>
      <c r="D970">
        <v>2.37</v>
      </c>
      <c r="E970">
        <v>49.77</v>
      </c>
      <c r="F970" s="1">
        <v>43549</v>
      </c>
      <c r="G970" s="2">
        <v>0.75138888888888899</v>
      </c>
      <c r="H970" t="s">
        <v>29</v>
      </c>
      <c r="I970">
        <v>47.4</v>
      </c>
      <c r="J970">
        <v>4.7619047620000003</v>
      </c>
      <c r="K970">
        <v>2.37</v>
      </c>
      <c r="L970">
        <v>9.5</v>
      </c>
    </row>
    <row r="971" spans="1:12" x14ac:dyDescent="0.25">
      <c r="A971" t="s">
        <v>1005</v>
      </c>
      <c r="B971">
        <v>34.49</v>
      </c>
      <c r="C971">
        <v>5</v>
      </c>
      <c r="D971">
        <v>8.6225000000000005</v>
      </c>
      <c r="E971">
        <v>181.07249999999999</v>
      </c>
      <c r="F971" s="1">
        <v>43535</v>
      </c>
      <c r="G971" s="2">
        <v>0.8222222222222223</v>
      </c>
      <c r="H971" t="s">
        <v>33</v>
      </c>
      <c r="I971">
        <v>172.45</v>
      </c>
      <c r="J971">
        <v>4.7619047620000003</v>
      </c>
      <c r="K971">
        <v>8.6225000000000005</v>
      </c>
      <c r="L971">
        <v>9</v>
      </c>
    </row>
    <row r="972" spans="1:12" x14ac:dyDescent="0.25">
      <c r="A972" t="s">
        <v>1006</v>
      </c>
      <c r="B972">
        <v>84.63</v>
      </c>
      <c r="C972">
        <v>10</v>
      </c>
      <c r="D972">
        <v>42.314999999999998</v>
      </c>
      <c r="E972">
        <v>888.61500000000001</v>
      </c>
      <c r="F972" s="1">
        <v>43466</v>
      </c>
      <c r="G972" s="2">
        <v>0.48333333333333334</v>
      </c>
      <c r="H972" t="s">
        <v>33</v>
      </c>
      <c r="I972">
        <v>846.3</v>
      </c>
      <c r="J972">
        <v>4.7619047620000003</v>
      </c>
      <c r="K972">
        <v>42.314999999999998</v>
      </c>
      <c r="L972">
        <v>9</v>
      </c>
    </row>
    <row r="973" spans="1:12" x14ac:dyDescent="0.25">
      <c r="A973" t="s">
        <v>1007</v>
      </c>
      <c r="B973">
        <v>36.909999999999997</v>
      </c>
      <c r="C973">
        <v>7</v>
      </c>
      <c r="D973">
        <v>12.9185</v>
      </c>
      <c r="E973">
        <v>271.2885</v>
      </c>
      <c r="F973" s="1">
        <v>43506</v>
      </c>
      <c r="G973" s="2">
        <v>0.57708333333333328</v>
      </c>
      <c r="H973" t="s">
        <v>23</v>
      </c>
      <c r="I973">
        <v>258.37</v>
      </c>
      <c r="J973">
        <v>4.7619047620000003</v>
      </c>
      <c r="K973">
        <v>12.9185</v>
      </c>
      <c r="L973">
        <v>6.7</v>
      </c>
    </row>
    <row r="974" spans="1:12" x14ac:dyDescent="0.25">
      <c r="A974" t="s">
        <v>1008</v>
      </c>
      <c r="B974">
        <v>87.08</v>
      </c>
      <c r="C974">
        <v>7</v>
      </c>
      <c r="D974">
        <v>30.478000000000002</v>
      </c>
      <c r="E974">
        <v>640.03800000000001</v>
      </c>
      <c r="F974" s="1">
        <v>43491</v>
      </c>
      <c r="G974" s="2">
        <v>0.63680555555555551</v>
      </c>
      <c r="H974" t="s">
        <v>29</v>
      </c>
      <c r="I974">
        <v>609.55999999999995</v>
      </c>
      <c r="J974">
        <v>4.7619047620000003</v>
      </c>
      <c r="K974">
        <v>30.478000000000002</v>
      </c>
      <c r="L974">
        <v>5.5</v>
      </c>
    </row>
    <row r="975" spans="1:12" x14ac:dyDescent="0.25">
      <c r="A975" t="s">
        <v>1009</v>
      </c>
      <c r="B975">
        <v>80.08</v>
      </c>
      <c r="C975">
        <v>3</v>
      </c>
      <c r="D975">
        <v>12.012</v>
      </c>
      <c r="E975">
        <v>252.25200000000001</v>
      </c>
      <c r="F975" s="1">
        <v>43507</v>
      </c>
      <c r="G975" s="2">
        <v>0.64513888888888882</v>
      </c>
      <c r="H975" t="s">
        <v>29</v>
      </c>
      <c r="I975">
        <v>240.24</v>
      </c>
      <c r="J975">
        <v>4.7619047620000003</v>
      </c>
      <c r="K975">
        <v>12.012</v>
      </c>
      <c r="L975">
        <v>5.4</v>
      </c>
    </row>
    <row r="976" spans="1:12" x14ac:dyDescent="0.25">
      <c r="A976" t="s">
        <v>1010</v>
      </c>
      <c r="B976">
        <v>86.13</v>
      </c>
      <c r="C976">
        <v>2</v>
      </c>
      <c r="D976">
        <v>8.6129999999999995</v>
      </c>
      <c r="E976">
        <v>180.87299999999999</v>
      </c>
      <c r="F976" s="1">
        <v>43503</v>
      </c>
      <c r="G976" s="2">
        <v>0.74930555555555556</v>
      </c>
      <c r="H976" t="s">
        <v>29</v>
      </c>
      <c r="I976">
        <v>172.26</v>
      </c>
      <c r="J976">
        <v>4.7619047620000003</v>
      </c>
      <c r="K976">
        <v>8.6129999999999995</v>
      </c>
      <c r="L976">
        <v>8.1999999999999993</v>
      </c>
    </row>
    <row r="977" spans="1:12" x14ac:dyDescent="0.25">
      <c r="A977" t="s">
        <v>1011</v>
      </c>
      <c r="B977">
        <v>49.92</v>
      </c>
      <c r="C977">
        <v>2</v>
      </c>
      <c r="D977">
        <v>4.992</v>
      </c>
      <c r="E977">
        <v>104.83199999999999</v>
      </c>
      <c r="F977" s="1">
        <v>43530</v>
      </c>
      <c r="G977" s="2">
        <v>0.49652777777777773</v>
      </c>
      <c r="H977" t="s">
        <v>33</v>
      </c>
      <c r="I977">
        <v>99.84</v>
      </c>
      <c r="J977">
        <v>4.7619047620000003</v>
      </c>
      <c r="K977">
        <v>4.992</v>
      </c>
      <c r="L977">
        <v>7</v>
      </c>
    </row>
    <row r="978" spans="1:12" x14ac:dyDescent="0.25">
      <c r="A978" t="s">
        <v>1012</v>
      </c>
      <c r="B978">
        <v>74.66</v>
      </c>
      <c r="C978">
        <v>4</v>
      </c>
      <c r="D978">
        <v>14.932</v>
      </c>
      <c r="E978">
        <v>313.572</v>
      </c>
      <c r="F978" s="1">
        <v>43528</v>
      </c>
      <c r="G978" s="2">
        <v>0.44375000000000003</v>
      </c>
      <c r="H978" t="s">
        <v>29</v>
      </c>
      <c r="I978">
        <v>298.64</v>
      </c>
      <c r="J978">
        <v>4.7619047620000003</v>
      </c>
      <c r="K978">
        <v>14.932</v>
      </c>
      <c r="L978">
        <v>8.5</v>
      </c>
    </row>
    <row r="979" spans="1:12" x14ac:dyDescent="0.25">
      <c r="A979" t="s">
        <v>1013</v>
      </c>
      <c r="B979">
        <v>26.6</v>
      </c>
      <c r="C979">
        <v>6</v>
      </c>
      <c r="D979">
        <v>7.98</v>
      </c>
      <c r="E979">
        <v>167.58</v>
      </c>
      <c r="F979" s="1">
        <v>43522</v>
      </c>
      <c r="G979" s="2">
        <v>0.63194444444444442</v>
      </c>
      <c r="H979" t="s">
        <v>23</v>
      </c>
      <c r="I979">
        <v>159.6</v>
      </c>
      <c r="J979">
        <v>4.7619047620000003</v>
      </c>
      <c r="K979">
        <v>7.98</v>
      </c>
      <c r="L979">
        <v>4.9000000000000004</v>
      </c>
    </row>
    <row r="980" spans="1:12" x14ac:dyDescent="0.25">
      <c r="A980" t="s">
        <v>1014</v>
      </c>
      <c r="B980">
        <v>25.45</v>
      </c>
      <c r="C980">
        <v>1</v>
      </c>
      <c r="D980">
        <v>1.2725</v>
      </c>
      <c r="E980">
        <v>26.7225</v>
      </c>
      <c r="F980" s="1">
        <v>43534</v>
      </c>
      <c r="G980" s="2">
        <v>0.75694444444444453</v>
      </c>
      <c r="H980" t="s">
        <v>33</v>
      </c>
      <c r="I980">
        <v>25.45</v>
      </c>
      <c r="J980">
        <v>4.7619047620000003</v>
      </c>
      <c r="K980">
        <v>1.2725</v>
      </c>
      <c r="L980">
        <v>5.0999999999999996</v>
      </c>
    </row>
    <row r="981" spans="1:12" x14ac:dyDescent="0.25">
      <c r="A981" t="s">
        <v>1015</v>
      </c>
      <c r="B981">
        <v>67.77</v>
      </c>
      <c r="C981">
        <v>1</v>
      </c>
      <c r="D981">
        <v>3.3885000000000001</v>
      </c>
      <c r="E981">
        <v>71.158500000000004</v>
      </c>
      <c r="F981" s="1">
        <v>43500</v>
      </c>
      <c r="G981" s="2">
        <v>0.86319444444444438</v>
      </c>
      <c r="H981" t="s">
        <v>33</v>
      </c>
      <c r="I981">
        <v>67.77</v>
      </c>
      <c r="J981">
        <v>4.7619047620000003</v>
      </c>
      <c r="K981">
        <v>3.3885000000000001</v>
      </c>
      <c r="L981">
        <v>6.5</v>
      </c>
    </row>
    <row r="982" spans="1:12" x14ac:dyDescent="0.25">
      <c r="A982" t="s">
        <v>1016</v>
      </c>
      <c r="B982">
        <v>59.59</v>
      </c>
      <c r="C982">
        <v>4</v>
      </c>
      <c r="D982">
        <v>11.917999999999999</v>
      </c>
      <c r="E982">
        <v>250.27799999999999</v>
      </c>
      <c r="F982" s="1">
        <v>43484</v>
      </c>
      <c r="G982" s="2">
        <v>0.53194444444444444</v>
      </c>
      <c r="H982" t="s">
        <v>29</v>
      </c>
      <c r="I982">
        <v>238.36</v>
      </c>
      <c r="J982">
        <v>4.7619047620000003</v>
      </c>
      <c r="K982">
        <v>11.917999999999999</v>
      </c>
      <c r="L982">
        <v>9.8000000000000007</v>
      </c>
    </row>
    <row r="983" spans="1:12" x14ac:dyDescent="0.25">
      <c r="A983" t="s">
        <v>1017</v>
      </c>
      <c r="B983">
        <v>58.15</v>
      </c>
      <c r="C983">
        <v>4</v>
      </c>
      <c r="D983">
        <v>11.63</v>
      </c>
      <c r="E983">
        <v>244.23</v>
      </c>
      <c r="F983" s="1">
        <v>43488</v>
      </c>
      <c r="G983" s="2">
        <v>0.73888888888888893</v>
      </c>
      <c r="H983" t="s">
        <v>29</v>
      </c>
      <c r="I983">
        <v>232.6</v>
      </c>
      <c r="J983">
        <v>4.7619047620000003</v>
      </c>
      <c r="K983">
        <v>11.63</v>
      </c>
      <c r="L983">
        <v>8.4</v>
      </c>
    </row>
    <row r="984" spans="1:12" x14ac:dyDescent="0.25">
      <c r="A984" t="s">
        <v>1018</v>
      </c>
      <c r="B984">
        <v>97.48</v>
      </c>
      <c r="C984">
        <v>9</v>
      </c>
      <c r="D984">
        <v>43.866</v>
      </c>
      <c r="E984">
        <v>921.18600000000004</v>
      </c>
      <c r="F984" s="1">
        <v>43538</v>
      </c>
      <c r="G984" s="2">
        <v>0.59652777777777777</v>
      </c>
      <c r="H984" t="s">
        <v>23</v>
      </c>
      <c r="I984">
        <v>877.32</v>
      </c>
      <c r="J984">
        <v>4.7619047620000003</v>
      </c>
      <c r="K984">
        <v>43.866</v>
      </c>
      <c r="L984">
        <v>7.4</v>
      </c>
    </row>
    <row r="985" spans="1:12" x14ac:dyDescent="0.25">
      <c r="A985" t="s">
        <v>1019</v>
      </c>
      <c r="B985">
        <v>99.96</v>
      </c>
      <c r="C985">
        <v>7</v>
      </c>
      <c r="D985">
        <v>34.985999999999997</v>
      </c>
      <c r="E985">
        <v>734.70600000000002</v>
      </c>
      <c r="F985" s="1">
        <v>43488</v>
      </c>
      <c r="G985" s="2">
        <v>0.43958333333333338</v>
      </c>
      <c r="H985" t="s">
        <v>29</v>
      </c>
      <c r="I985">
        <v>699.72</v>
      </c>
      <c r="J985">
        <v>4.7619047620000003</v>
      </c>
      <c r="K985">
        <v>34.985999999999997</v>
      </c>
      <c r="L985">
        <v>6.1</v>
      </c>
    </row>
    <row r="986" spans="1:12" x14ac:dyDescent="0.25">
      <c r="A986" t="s">
        <v>1020</v>
      </c>
      <c r="B986">
        <v>96.37</v>
      </c>
      <c r="C986">
        <v>7</v>
      </c>
      <c r="D986">
        <v>33.729500000000002</v>
      </c>
      <c r="E986">
        <v>708.31949999999995</v>
      </c>
      <c r="F986" s="1">
        <v>43474</v>
      </c>
      <c r="G986" s="2">
        <v>0.4861111111111111</v>
      </c>
      <c r="H986" t="s">
        <v>29</v>
      </c>
      <c r="I986">
        <v>674.59</v>
      </c>
      <c r="J986">
        <v>4.7619047620000003</v>
      </c>
      <c r="K986">
        <v>33.729500000000002</v>
      </c>
      <c r="L986">
        <v>6</v>
      </c>
    </row>
    <row r="987" spans="1:12" x14ac:dyDescent="0.25">
      <c r="A987" t="s">
        <v>1021</v>
      </c>
      <c r="B987">
        <v>63.71</v>
      </c>
      <c r="C987">
        <v>5</v>
      </c>
      <c r="D987">
        <v>15.9275</v>
      </c>
      <c r="E987">
        <v>334.47750000000002</v>
      </c>
      <c r="F987" s="1">
        <v>43503</v>
      </c>
      <c r="G987" s="2">
        <v>0.8125</v>
      </c>
      <c r="H987" t="s">
        <v>23</v>
      </c>
      <c r="I987">
        <v>318.55</v>
      </c>
      <c r="J987">
        <v>4.7619047620000003</v>
      </c>
      <c r="K987">
        <v>15.9275</v>
      </c>
      <c r="L987">
        <v>8.5</v>
      </c>
    </row>
    <row r="988" spans="1:12" x14ac:dyDescent="0.25">
      <c r="A988" t="s">
        <v>1022</v>
      </c>
      <c r="B988">
        <v>14.76</v>
      </c>
      <c r="C988">
        <v>2</v>
      </c>
      <c r="D988">
        <v>1.476</v>
      </c>
      <c r="E988">
        <v>30.995999999999999</v>
      </c>
      <c r="F988" s="1">
        <v>43514</v>
      </c>
      <c r="G988" s="2">
        <v>0.61249999999999993</v>
      </c>
      <c r="H988" t="s">
        <v>23</v>
      </c>
      <c r="I988">
        <v>29.52</v>
      </c>
      <c r="J988">
        <v>4.7619047620000003</v>
      </c>
      <c r="K988">
        <v>1.476</v>
      </c>
      <c r="L988">
        <v>4.3</v>
      </c>
    </row>
    <row r="989" spans="1:12" x14ac:dyDescent="0.25">
      <c r="A989" t="s">
        <v>1023</v>
      </c>
      <c r="B989">
        <v>62</v>
      </c>
      <c r="C989">
        <v>8</v>
      </c>
      <c r="D989">
        <v>24.8</v>
      </c>
      <c r="E989">
        <v>520.79999999999995</v>
      </c>
      <c r="F989" s="1">
        <v>43468</v>
      </c>
      <c r="G989" s="2">
        <v>0.79722222222222217</v>
      </c>
      <c r="H989" t="s">
        <v>33</v>
      </c>
      <c r="I989">
        <v>496</v>
      </c>
      <c r="J989">
        <v>4.7619047620000003</v>
      </c>
      <c r="K989">
        <v>24.8</v>
      </c>
      <c r="L989">
        <v>6.2</v>
      </c>
    </row>
    <row r="990" spans="1:12" x14ac:dyDescent="0.25">
      <c r="A990" t="s">
        <v>1024</v>
      </c>
      <c r="B990">
        <v>82.34</v>
      </c>
      <c r="C990">
        <v>10</v>
      </c>
      <c r="D990">
        <v>41.17</v>
      </c>
      <c r="E990">
        <v>864.57</v>
      </c>
      <c r="F990" s="1">
        <v>43553</v>
      </c>
      <c r="G990" s="2">
        <v>0.79999999999999993</v>
      </c>
      <c r="H990" t="s">
        <v>23</v>
      </c>
      <c r="I990">
        <v>823.4</v>
      </c>
      <c r="J990">
        <v>4.7619047620000003</v>
      </c>
      <c r="K990">
        <v>41.17</v>
      </c>
      <c r="L990">
        <v>4.3</v>
      </c>
    </row>
    <row r="991" spans="1:12" x14ac:dyDescent="0.25">
      <c r="A991" t="s">
        <v>1025</v>
      </c>
      <c r="B991">
        <v>75.37</v>
      </c>
      <c r="C991">
        <v>8</v>
      </c>
      <c r="D991">
        <v>30.148</v>
      </c>
      <c r="E991">
        <v>633.10799999999995</v>
      </c>
      <c r="F991" s="1">
        <v>43493</v>
      </c>
      <c r="G991" s="2">
        <v>0.65694444444444444</v>
      </c>
      <c r="H991" t="s">
        <v>33</v>
      </c>
      <c r="I991">
        <v>602.96</v>
      </c>
      <c r="J991">
        <v>4.7619047620000003</v>
      </c>
      <c r="K991">
        <v>30.148</v>
      </c>
      <c r="L991">
        <v>8.4</v>
      </c>
    </row>
    <row r="992" spans="1:12" x14ac:dyDescent="0.25">
      <c r="A992" t="s">
        <v>1026</v>
      </c>
      <c r="B992">
        <v>56.56</v>
      </c>
      <c r="C992">
        <v>5</v>
      </c>
      <c r="D992">
        <v>14.14</v>
      </c>
      <c r="E992">
        <v>296.94</v>
      </c>
      <c r="F992" s="1">
        <v>43546</v>
      </c>
      <c r="G992" s="2">
        <v>0.79583333333333339</v>
      </c>
      <c r="H992" t="s">
        <v>33</v>
      </c>
      <c r="I992">
        <v>282.8</v>
      </c>
      <c r="J992">
        <v>4.7619047620000003</v>
      </c>
      <c r="K992">
        <v>14.14</v>
      </c>
      <c r="L992">
        <v>4.5</v>
      </c>
    </row>
    <row r="993" spans="1:12" x14ac:dyDescent="0.25">
      <c r="A993" t="s">
        <v>1027</v>
      </c>
      <c r="B993">
        <v>76.599999999999994</v>
      </c>
      <c r="C993">
        <v>10</v>
      </c>
      <c r="D993">
        <v>38.299999999999997</v>
      </c>
      <c r="E993">
        <v>804.3</v>
      </c>
      <c r="F993" s="1">
        <v>43489</v>
      </c>
      <c r="G993" s="2">
        <v>0.75694444444444453</v>
      </c>
      <c r="H993" t="s">
        <v>23</v>
      </c>
      <c r="I993">
        <v>766</v>
      </c>
      <c r="J993">
        <v>4.7619047620000003</v>
      </c>
      <c r="K993">
        <v>38.299999999999997</v>
      </c>
      <c r="L993">
        <v>6</v>
      </c>
    </row>
    <row r="994" spans="1:12" x14ac:dyDescent="0.25">
      <c r="A994" t="s">
        <v>1028</v>
      </c>
      <c r="B994">
        <v>58.03</v>
      </c>
      <c r="C994">
        <v>2</v>
      </c>
      <c r="D994">
        <v>5.8029999999999999</v>
      </c>
      <c r="E994">
        <v>121.863</v>
      </c>
      <c r="F994" s="1">
        <v>43534</v>
      </c>
      <c r="G994" s="2">
        <v>0.8652777777777777</v>
      </c>
      <c r="H994" t="s">
        <v>23</v>
      </c>
      <c r="I994">
        <v>116.06</v>
      </c>
      <c r="J994">
        <v>4.7619047620000003</v>
      </c>
      <c r="K994">
        <v>5.8029999999999999</v>
      </c>
      <c r="L994">
        <v>8.8000000000000007</v>
      </c>
    </row>
    <row r="995" spans="1:12" x14ac:dyDescent="0.25">
      <c r="A995" t="s">
        <v>1029</v>
      </c>
      <c r="B995">
        <v>17.489999999999998</v>
      </c>
      <c r="C995">
        <v>10</v>
      </c>
      <c r="D995">
        <v>8.7449999999999992</v>
      </c>
      <c r="E995">
        <v>183.64500000000001</v>
      </c>
      <c r="F995" s="1">
        <v>43518</v>
      </c>
      <c r="G995" s="2">
        <v>0.77430555555555547</v>
      </c>
      <c r="H995" t="s">
        <v>23</v>
      </c>
      <c r="I995">
        <v>174.9</v>
      </c>
      <c r="J995">
        <v>4.7619047620000003</v>
      </c>
      <c r="K995">
        <v>8.7449999999999992</v>
      </c>
      <c r="L995">
        <v>6.6</v>
      </c>
    </row>
    <row r="996" spans="1:12" x14ac:dyDescent="0.25">
      <c r="A996" t="s">
        <v>1030</v>
      </c>
      <c r="B996">
        <v>60.95</v>
      </c>
      <c r="C996">
        <v>1</v>
      </c>
      <c r="D996">
        <v>3.0474999999999999</v>
      </c>
      <c r="E996">
        <v>63.997500000000002</v>
      </c>
      <c r="F996" s="1">
        <v>43514</v>
      </c>
      <c r="G996" s="2">
        <v>0.4861111111111111</v>
      </c>
      <c r="H996" t="s">
        <v>23</v>
      </c>
      <c r="I996">
        <v>60.95</v>
      </c>
      <c r="J996">
        <v>4.7619047620000003</v>
      </c>
      <c r="K996">
        <v>3.0474999999999999</v>
      </c>
      <c r="L996">
        <v>5.9</v>
      </c>
    </row>
    <row r="997" spans="1:12" x14ac:dyDescent="0.25">
      <c r="A997" t="s">
        <v>1031</v>
      </c>
      <c r="B997">
        <v>40.35</v>
      </c>
      <c r="C997">
        <v>1</v>
      </c>
      <c r="D997">
        <v>2.0175000000000001</v>
      </c>
      <c r="E997">
        <v>42.3675</v>
      </c>
      <c r="F997" s="1">
        <v>43494</v>
      </c>
      <c r="G997" s="2">
        <v>0.57361111111111118</v>
      </c>
      <c r="H997" t="s">
        <v>23</v>
      </c>
      <c r="I997">
        <v>40.35</v>
      </c>
      <c r="J997">
        <v>4.7619047620000003</v>
      </c>
      <c r="K997">
        <v>2.0175000000000001</v>
      </c>
      <c r="L997">
        <v>6.2</v>
      </c>
    </row>
    <row r="998" spans="1:12" x14ac:dyDescent="0.25">
      <c r="A998" t="s">
        <v>1032</v>
      </c>
      <c r="B998">
        <v>97.38</v>
      </c>
      <c r="C998">
        <v>10</v>
      </c>
      <c r="D998">
        <v>48.69</v>
      </c>
      <c r="E998">
        <v>1022.49</v>
      </c>
      <c r="F998" s="1">
        <v>43526</v>
      </c>
      <c r="G998" s="2">
        <v>0.71944444444444444</v>
      </c>
      <c r="H998" t="s">
        <v>23</v>
      </c>
      <c r="I998">
        <v>973.8</v>
      </c>
      <c r="J998">
        <v>4.7619047620000003</v>
      </c>
      <c r="K998">
        <v>48.69</v>
      </c>
      <c r="L998">
        <v>4.4000000000000004</v>
      </c>
    </row>
    <row r="999" spans="1:12" x14ac:dyDescent="0.25">
      <c r="A999" t="s">
        <v>1033</v>
      </c>
      <c r="B999">
        <v>31.84</v>
      </c>
      <c r="C999">
        <v>1</v>
      </c>
      <c r="D999">
        <v>1.5920000000000001</v>
      </c>
      <c r="E999">
        <v>33.432000000000002</v>
      </c>
      <c r="F999" s="1">
        <v>43505</v>
      </c>
      <c r="G999" s="2">
        <v>0.55694444444444446</v>
      </c>
      <c r="H999" t="s">
        <v>29</v>
      </c>
      <c r="I999">
        <v>31.84</v>
      </c>
      <c r="J999">
        <v>4.7619047620000003</v>
      </c>
      <c r="K999">
        <v>1.5920000000000001</v>
      </c>
      <c r="L999">
        <v>7.7</v>
      </c>
    </row>
    <row r="1000" spans="1:12" x14ac:dyDescent="0.25">
      <c r="A1000" t="s">
        <v>1034</v>
      </c>
      <c r="B1000">
        <v>65.819999999999993</v>
      </c>
      <c r="C1000">
        <v>1</v>
      </c>
      <c r="D1000">
        <v>3.2909999999999999</v>
      </c>
      <c r="E1000">
        <v>69.111000000000004</v>
      </c>
      <c r="F1000" s="1">
        <v>43518</v>
      </c>
      <c r="G1000" s="2">
        <v>0.6479166666666667</v>
      </c>
      <c r="H1000" t="s">
        <v>29</v>
      </c>
      <c r="I1000">
        <v>65.819999999999993</v>
      </c>
      <c r="J1000">
        <v>4.7619047620000003</v>
      </c>
      <c r="K1000">
        <v>3.2909999999999999</v>
      </c>
      <c r="L1000">
        <v>4.0999999999999996</v>
      </c>
    </row>
    <row r="1001" spans="1:12" x14ac:dyDescent="0.25">
      <c r="A1001" t="s">
        <v>1035</v>
      </c>
      <c r="B1001">
        <v>88.34</v>
      </c>
      <c r="C1001">
        <v>7</v>
      </c>
      <c r="D1001">
        <v>30.919</v>
      </c>
      <c r="E1001">
        <v>649.29899999999998</v>
      </c>
      <c r="F1001" s="1">
        <v>43514</v>
      </c>
      <c r="G1001" s="2">
        <v>0.56111111111111112</v>
      </c>
      <c r="H1001" t="s">
        <v>29</v>
      </c>
      <c r="I1001">
        <v>618.38</v>
      </c>
      <c r="J1001">
        <v>4.7619047620000003</v>
      </c>
      <c r="K1001">
        <v>30.919</v>
      </c>
      <c r="L1001">
        <v>6.6</v>
      </c>
    </row>
  </sheetData>
  <pageMargins left="0.7" right="0.7" top="0.75" bottom="0.75" header="0.3" footer="0.3"/>
  <pageSetup paperSize="9"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dimension ref="A1:C1001"/>
  <sheetViews>
    <sheetView topLeftCell="A982" workbookViewId="0">
      <selection activeCell="I21" sqref="I21"/>
    </sheetView>
  </sheetViews>
  <sheetFormatPr defaultRowHeight="15" x14ac:dyDescent="0.25"/>
  <cols>
    <col min="1" max="1" width="11.28515625" customWidth="1"/>
    <col min="2" max="2" width="13.7109375" bestFit="1" customWidth="1"/>
    <col min="3" max="3" width="7.42578125" bestFit="1" customWidth="1"/>
  </cols>
  <sheetData>
    <row r="1" spans="1:3" x14ac:dyDescent="0.25">
      <c r="A1" s="3" t="s">
        <v>0</v>
      </c>
      <c r="B1" s="3" t="s">
        <v>3</v>
      </c>
      <c r="C1" s="3" t="s">
        <v>4</v>
      </c>
    </row>
    <row r="2" spans="1:3" x14ac:dyDescent="0.25">
      <c r="A2" t="s">
        <v>212</v>
      </c>
      <c r="B2" t="s">
        <v>20</v>
      </c>
      <c r="C2" t="s">
        <v>31</v>
      </c>
    </row>
    <row r="3" spans="1:3" x14ac:dyDescent="0.25">
      <c r="A3" t="s">
        <v>213</v>
      </c>
      <c r="B3" t="s">
        <v>27</v>
      </c>
      <c r="C3" t="s">
        <v>21</v>
      </c>
    </row>
    <row r="4" spans="1:3" x14ac:dyDescent="0.25">
      <c r="A4" t="s">
        <v>214</v>
      </c>
      <c r="B4" t="s">
        <v>27</v>
      </c>
      <c r="C4" t="s">
        <v>31</v>
      </c>
    </row>
    <row r="5" spans="1:3" x14ac:dyDescent="0.25">
      <c r="A5" t="s">
        <v>215</v>
      </c>
      <c r="B5" t="s">
        <v>20</v>
      </c>
      <c r="C5" t="s">
        <v>31</v>
      </c>
    </row>
    <row r="6" spans="1:3" x14ac:dyDescent="0.25">
      <c r="A6" t="s">
        <v>216</v>
      </c>
      <c r="B6" t="s">
        <v>27</v>
      </c>
      <c r="C6" t="s">
        <v>31</v>
      </c>
    </row>
    <row r="7" spans="1:3" x14ac:dyDescent="0.25">
      <c r="A7" t="s">
        <v>217</v>
      </c>
      <c r="B7" t="s">
        <v>20</v>
      </c>
      <c r="C7" t="s">
        <v>31</v>
      </c>
    </row>
    <row r="8" spans="1:3" x14ac:dyDescent="0.25">
      <c r="A8" t="s">
        <v>218</v>
      </c>
      <c r="B8" t="s">
        <v>20</v>
      </c>
      <c r="C8" t="s">
        <v>31</v>
      </c>
    </row>
    <row r="9" spans="1:3" x14ac:dyDescent="0.25">
      <c r="A9" t="s">
        <v>219</v>
      </c>
      <c r="B9" t="s">
        <v>27</v>
      </c>
      <c r="C9" t="s">
        <v>31</v>
      </c>
    </row>
    <row r="10" spans="1:3" x14ac:dyDescent="0.25">
      <c r="A10" t="s">
        <v>220</v>
      </c>
      <c r="B10" t="s">
        <v>27</v>
      </c>
      <c r="C10" t="s">
        <v>21</v>
      </c>
    </row>
    <row r="11" spans="1:3" x14ac:dyDescent="0.25">
      <c r="A11" t="s">
        <v>221</v>
      </c>
      <c r="B11" t="s">
        <v>20</v>
      </c>
      <c r="C11" t="s">
        <v>31</v>
      </c>
    </row>
    <row r="12" spans="1:3" x14ac:dyDescent="0.25">
      <c r="A12" t="s">
        <v>222</v>
      </c>
      <c r="B12" t="s">
        <v>20</v>
      </c>
      <c r="C12" t="s">
        <v>21</v>
      </c>
    </row>
    <row r="13" spans="1:3" x14ac:dyDescent="0.25">
      <c r="A13" t="s">
        <v>223</v>
      </c>
      <c r="B13" t="s">
        <v>20</v>
      </c>
      <c r="C13" t="s">
        <v>31</v>
      </c>
    </row>
    <row r="14" spans="1:3" x14ac:dyDescent="0.25">
      <c r="A14" t="s">
        <v>224</v>
      </c>
      <c r="B14" t="s">
        <v>27</v>
      </c>
      <c r="C14" t="s">
        <v>31</v>
      </c>
    </row>
    <row r="15" spans="1:3" x14ac:dyDescent="0.25">
      <c r="A15" t="s">
        <v>225</v>
      </c>
      <c r="B15" t="s">
        <v>27</v>
      </c>
      <c r="C15" t="s">
        <v>21</v>
      </c>
    </row>
    <row r="16" spans="1:3" x14ac:dyDescent="0.25">
      <c r="A16" t="s">
        <v>226</v>
      </c>
      <c r="B16" t="s">
        <v>27</v>
      </c>
      <c r="C16" t="s">
        <v>21</v>
      </c>
    </row>
    <row r="17" spans="1:3" x14ac:dyDescent="0.25">
      <c r="A17" t="s">
        <v>227</v>
      </c>
      <c r="B17" t="s">
        <v>27</v>
      </c>
      <c r="C17" t="s">
        <v>21</v>
      </c>
    </row>
    <row r="18" spans="1:3" x14ac:dyDescent="0.25">
      <c r="A18" t="s">
        <v>228</v>
      </c>
      <c r="B18" t="s">
        <v>27</v>
      </c>
      <c r="C18" t="s">
        <v>21</v>
      </c>
    </row>
    <row r="19" spans="1:3" x14ac:dyDescent="0.25">
      <c r="A19" t="s">
        <v>229</v>
      </c>
      <c r="B19" t="s">
        <v>27</v>
      </c>
      <c r="C19" t="s">
        <v>31</v>
      </c>
    </row>
    <row r="20" spans="1:3" x14ac:dyDescent="0.25">
      <c r="A20" t="s">
        <v>230</v>
      </c>
      <c r="B20" t="s">
        <v>27</v>
      </c>
      <c r="C20" t="s">
        <v>31</v>
      </c>
    </row>
    <row r="21" spans="1:3" x14ac:dyDescent="0.25">
      <c r="A21" t="s">
        <v>231</v>
      </c>
      <c r="B21" t="s">
        <v>20</v>
      </c>
      <c r="C21" t="s">
        <v>21</v>
      </c>
    </row>
    <row r="22" spans="1:3" x14ac:dyDescent="0.25">
      <c r="A22" t="s">
        <v>232</v>
      </c>
      <c r="B22" t="s">
        <v>20</v>
      </c>
      <c r="C22" t="s">
        <v>31</v>
      </c>
    </row>
    <row r="23" spans="1:3" x14ac:dyDescent="0.25">
      <c r="A23" t="s">
        <v>233</v>
      </c>
      <c r="B23" t="s">
        <v>27</v>
      </c>
      <c r="C23" t="s">
        <v>21</v>
      </c>
    </row>
    <row r="24" spans="1:3" x14ac:dyDescent="0.25">
      <c r="A24" t="s">
        <v>234</v>
      </c>
      <c r="B24" t="s">
        <v>27</v>
      </c>
      <c r="C24" t="s">
        <v>31</v>
      </c>
    </row>
    <row r="25" spans="1:3" x14ac:dyDescent="0.25">
      <c r="A25" t="s">
        <v>235</v>
      </c>
      <c r="B25" t="s">
        <v>20</v>
      </c>
      <c r="C25" t="s">
        <v>21</v>
      </c>
    </row>
    <row r="26" spans="1:3" x14ac:dyDescent="0.25">
      <c r="A26" t="s">
        <v>236</v>
      </c>
      <c r="B26" t="s">
        <v>20</v>
      </c>
      <c r="C26" t="s">
        <v>21</v>
      </c>
    </row>
    <row r="27" spans="1:3" x14ac:dyDescent="0.25">
      <c r="A27" t="s">
        <v>237</v>
      </c>
      <c r="B27" t="s">
        <v>20</v>
      </c>
      <c r="C27" t="s">
        <v>21</v>
      </c>
    </row>
    <row r="28" spans="1:3" x14ac:dyDescent="0.25">
      <c r="A28" t="s">
        <v>238</v>
      </c>
      <c r="B28" t="s">
        <v>27</v>
      </c>
      <c r="C28" t="s">
        <v>31</v>
      </c>
    </row>
    <row r="29" spans="1:3" x14ac:dyDescent="0.25">
      <c r="A29" t="s">
        <v>239</v>
      </c>
      <c r="B29" t="s">
        <v>20</v>
      </c>
      <c r="C29" t="s">
        <v>31</v>
      </c>
    </row>
    <row r="30" spans="1:3" x14ac:dyDescent="0.25">
      <c r="A30" t="s">
        <v>240</v>
      </c>
      <c r="B30" t="s">
        <v>20</v>
      </c>
      <c r="C30" t="s">
        <v>31</v>
      </c>
    </row>
    <row r="31" spans="1:3" x14ac:dyDescent="0.25">
      <c r="A31" t="s">
        <v>241</v>
      </c>
      <c r="B31" t="s">
        <v>27</v>
      </c>
      <c r="C31" t="s">
        <v>21</v>
      </c>
    </row>
    <row r="32" spans="1:3" x14ac:dyDescent="0.25">
      <c r="A32" t="s">
        <v>242</v>
      </c>
      <c r="B32" t="s">
        <v>20</v>
      </c>
      <c r="C32" t="s">
        <v>21</v>
      </c>
    </row>
    <row r="33" spans="1:3" x14ac:dyDescent="0.25">
      <c r="A33" t="s">
        <v>243</v>
      </c>
      <c r="B33" t="s">
        <v>20</v>
      </c>
      <c r="C33" t="s">
        <v>21</v>
      </c>
    </row>
    <row r="34" spans="1:3" x14ac:dyDescent="0.25">
      <c r="A34" t="s">
        <v>244</v>
      </c>
      <c r="B34" t="s">
        <v>27</v>
      </c>
      <c r="C34" t="s">
        <v>21</v>
      </c>
    </row>
    <row r="35" spans="1:3" x14ac:dyDescent="0.25">
      <c r="A35" t="s">
        <v>245</v>
      </c>
      <c r="B35" t="s">
        <v>27</v>
      </c>
      <c r="C35" t="s">
        <v>21</v>
      </c>
    </row>
    <row r="36" spans="1:3" x14ac:dyDescent="0.25">
      <c r="A36" t="s">
        <v>246</v>
      </c>
      <c r="B36" t="s">
        <v>27</v>
      </c>
      <c r="C36" t="s">
        <v>31</v>
      </c>
    </row>
    <row r="37" spans="1:3" x14ac:dyDescent="0.25">
      <c r="A37" t="s">
        <v>247</v>
      </c>
      <c r="B37" t="s">
        <v>27</v>
      </c>
      <c r="C37" t="s">
        <v>21</v>
      </c>
    </row>
    <row r="38" spans="1:3" x14ac:dyDescent="0.25">
      <c r="A38" t="s">
        <v>248</v>
      </c>
      <c r="B38" t="s">
        <v>27</v>
      </c>
      <c r="C38" t="s">
        <v>31</v>
      </c>
    </row>
    <row r="39" spans="1:3" x14ac:dyDescent="0.25">
      <c r="A39" t="s">
        <v>249</v>
      </c>
      <c r="B39" t="s">
        <v>27</v>
      </c>
      <c r="C39" t="s">
        <v>31</v>
      </c>
    </row>
    <row r="40" spans="1:3" x14ac:dyDescent="0.25">
      <c r="A40" t="s">
        <v>250</v>
      </c>
      <c r="B40" t="s">
        <v>20</v>
      </c>
      <c r="C40" t="s">
        <v>21</v>
      </c>
    </row>
    <row r="41" spans="1:3" x14ac:dyDescent="0.25">
      <c r="A41" t="s">
        <v>251</v>
      </c>
      <c r="B41" t="s">
        <v>27</v>
      </c>
      <c r="C41" t="s">
        <v>31</v>
      </c>
    </row>
    <row r="42" spans="1:3" x14ac:dyDescent="0.25">
      <c r="A42" t="s">
        <v>252</v>
      </c>
      <c r="B42" t="s">
        <v>27</v>
      </c>
      <c r="C42" t="s">
        <v>21</v>
      </c>
    </row>
    <row r="43" spans="1:3" x14ac:dyDescent="0.25">
      <c r="A43" t="s">
        <v>253</v>
      </c>
      <c r="B43" t="s">
        <v>20</v>
      </c>
      <c r="C43" t="s">
        <v>21</v>
      </c>
    </row>
    <row r="44" spans="1:3" x14ac:dyDescent="0.25">
      <c r="A44" t="s">
        <v>254</v>
      </c>
      <c r="B44" t="s">
        <v>27</v>
      </c>
      <c r="C44" t="s">
        <v>31</v>
      </c>
    </row>
    <row r="45" spans="1:3" x14ac:dyDescent="0.25">
      <c r="A45" t="s">
        <v>255</v>
      </c>
      <c r="B45" t="s">
        <v>27</v>
      </c>
      <c r="C45" t="s">
        <v>21</v>
      </c>
    </row>
    <row r="46" spans="1:3" x14ac:dyDescent="0.25">
      <c r="A46" t="s">
        <v>256</v>
      </c>
      <c r="B46" t="s">
        <v>27</v>
      </c>
      <c r="C46" t="s">
        <v>31</v>
      </c>
    </row>
    <row r="47" spans="1:3" x14ac:dyDescent="0.25">
      <c r="A47" t="s">
        <v>257</v>
      </c>
      <c r="B47" t="s">
        <v>27</v>
      </c>
      <c r="C47" t="s">
        <v>31</v>
      </c>
    </row>
    <row r="48" spans="1:3" x14ac:dyDescent="0.25">
      <c r="A48" t="s">
        <v>258</v>
      </c>
      <c r="B48" t="s">
        <v>27</v>
      </c>
      <c r="C48" t="s">
        <v>31</v>
      </c>
    </row>
    <row r="49" spans="1:3" x14ac:dyDescent="0.25">
      <c r="A49" t="s">
        <v>259</v>
      </c>
      <c r="B49" t="s">
        <v>20</v>
      </c>
      <c r="C49" t="s">
        <v>21</v>
      </c>
    </row>
    <row r="50" spans="1:3" x14ac:dyDescent="0.25">
      <c r="A50" t="s">
        <v>260</v>
      </c>
      <c r="B50" t="s">
        <v>27</v>
      </c>
      <c r="C50" t="s">
        <v>31</v>
      </c>
    </row>
    <row r="51" spans="1:3" x14ac:dyDescent="0.25">
      <c r="A51" t="s">
        <v>261</v>
      </c>
      <c r="B51" t="s">
        <v>20</v>
      </c>
      <c r="C51" t="s">
        <v>21</v>
      </c>
    </row>
    <row r="52" spans="1:3" x14ac:dyDescent="0.25">
      <c r="A52" t="s">
        <v>262</v>
      </c>
      <c r="B52" t="s">
        <v>20</v>
      </c>
      <c r="C52" t="s">
        <v>31</v>
      </c>
    </row>
    <row r="53" spans="1:3" x14ac:dyDescent="0.25">
      <c r="A53" t="s">
        <v>263</v>
      </c>
      <c r="B53" t="s">
        <v>20</v>
      </c>
      <c r="C53" t="s">
        <v>31</v>
      </c>
    </row>
    <row r="54" spans="1:3" x14ac:dyDescent="0.25">
      <c r="A54" t="s">
        <v>264</v>
      </c>
      <c r="B54" t="s">
        <v>20</v>
      </c>
      <c r="C54" t="s">
        <v>21</v>
      </c>
    </row>
    <row r="55" spans="1:3" x14ac:dyDescent="0.25">
      <c r="A55" t="s">
        <v>265</v>
      </c>
      <c r="B55" t="s">
        <v>27</v>
      </c>
      <c r="C55" t="s">
        <v>21</v>
      </c>
    </row>
    <row r="56" spans="1:3" x14ac:dyDescent="0.25">
      <c r="A56" t="s">
        <v>266</v>
      </c>
      <c r="B56" t="s">
        <v>27</v>
      </c>
      <c r="C56" t="s">
        <v>21</v>
      </c>
    </row>
    <row r="57" spans="1:3" x14ac:dyDescent="0.25">
      <c r="A57" t="s">
        <v>267</v>
      </c>
      <c r="B57" t="s">
        <v>20</v>
      </c>
      <c r="C57" t="s">
        <v>21</v>
      </c>
    </row>
    <row r="58" spans="1:3" x14ac:dyDescent="0.25">
      <c r="A58" t="s">
        <v>268</v>
      </c>
      <c r="B58" t="s">
        <v>27</v>
      </c>
      <c r="C58" t="s">
        <v>21</v>
      </c>
    </row>
    <row r="59" spans="1:3" x14ac:dyDescent="0.25">
      <c r="A59" t="s">
        <v>269</v>
      </c>
      <c r="B59" t="s">
        <v>20</v>
      </c>
      <c r="C59" t="s">
        <v>31</v>
      </c>
    </row>
    <row r="60" spans="1:3" x14ac:dyDescent="0.25">
      <c r="A60" t="s">
        <v>270</v>
      </c>
      <c r="B60" t="s">
        <v>20</v>
      </c>
      <c r="C60" t="s">
        <v>31</v>
      </c>
    </row>
    <row r="61" spans="1:3" x14ac:dyDescent="0.25">
      <c r="A61" t="s">
        <v>271</v>
      </c>
      <c r="B61" t="s">
        <v>27</v>
      </c>
      <c r="C61" t="s">
        <v>21</v>
      </c>
    </row>
    <row r="62" spans="1:3" x14ac:dyDescent="0.25">
      <c r="A62" t="s">
        <v>272</v>
      </c>
      <c r="B62" t="s">
        <v>27</v>
      </c>
      <c r="C62" t="s">
        <v>31</v>
      </c>
    </row>
    <row r="63" spans="1:3" x14ac:dyDescent="0.25">
      <c r="A63" t="s">
        <v>273</v>
      </c>
      <c r="B63" t="s">
        <v>20</v>
      </c>
      <c r="C63" t="s">
        <v>21</v>
      </c>
    </row>
    <row r="64" spans="1:3" x14ac:dyDescent="0.25">
      <c r="A64" t="s">
        <v>274</v>
      </c>
      <c r="B64" t="s">
        <v>20</v>
      </c>
      <c r="C64" t="s">
        <v>21</v>
      </c>
    </row>
    <row r="65" spans="1:3" x14ac:dyDescent="0.25">
      <c r="A65" t="s">
        <v>275</v>
      </c>
      <c r="B65" t="s">
        <v>27</v>
      </c>
      <c r="C65" t="s">
        <v>31</v>
      </c>
    </row>
    <row r="66" spans="1:3" x14ac:dyDescent="0.25">
      <c r="A66" t="s">
        <v>276</v>
      </c>
      <c r="B66" t="s">
        <v>27</v>
      </c>
      <c r="C66" t="s">
        <v>31</v>
      </c>
    </row>
    <row r="67" spans="1:3" x14ac:dyDescent="0.25">
      <c r="A67" t="s">
        <v>277</v>
      </c>
      <c r="B67" t="s">
        <v>27</v>
      </c>
      <c r="C67" t="s">
        <v>31</v>
      </c>
    </row>
    <row r="68" spans="1:3" x14ac:dyDescent="0.25">
      <c r="A68" t="s">
        <v>278</v>
      </c>
      <c r="B68" t="s">
        <v>20</v>
      </c>
      <c r="C68" t="s">
        <v>31</v>
      </c>
    </row>
    <row r="69" spans="1:3" x14ac:dyDescent="0.25">
      <c r="A69" t="s">
        <v>279</v>
      </c>
      <c r="B69" t="s">
        <v>20</v>
      </c>
      <c r="C69" t="s">
        <v>31</v>
      </c>
    </row>
    <row r="70" spans="1:3" x14ac:dyDescent="0.25">
      <c r="A70" t="s">
        <v>280</v>
      </c>
      <c r="B70" t="s">
        <v>27</v>
      </c>
      <c r="C70" t="s">
        <v>31</v>
      </c>
    </row>
    <row r="71" spans="1:3" x14ac:dyDescent="0.25">
      <c r="A71" t="s">
        <v>281</v>
      </c>
      <c r="B71" t="s">
        <v>20</v>
      </c>
      <c r="C71" t="s">
        <v>31</v>
      </c>
    </row>
    <row r="72" spans="1:3" x14ac:dyDescent="0.25">
      <c r="A72" t="s">
        <v>282</v>
      </c>
      <c r="B72" t="s">
        <v>20</v>
      </c>
      <c r="C72" t="s">
        <v>21</v>
      </c>
    </row>
    <row r="73" spans="1:3" x14ac:dyDescent="0.25">
      <c r="A73" t="s">
        <v>283</v>
      </c>
      <c r="B73" t="s">
        <v>20</v>
      </c>
      <c r="C73" t="s">
        <v>31</v>
      </c>
    </row>
    <row r="74" spans="1:3" x14ac:dyDescent="0.25">
      <c r="A74" t="s">
        <v>284</v>
      </c>
      <c r="B74" t="s">
        <v>20</v>
      </c>
      <c r="C74" t="s">
        <v>31</v>
      </c>
    </row>
    <row r="75" spans="1:3" x14ac:dyDescent="0.25">
      <c r="A75" t="s">
        <v>285</v>
      </c>
      <c r="B75" t="s">
        <v>27</v>
      </c>
      <c r="C75" t="s">
        <v>31</v>
      </c>
    </row>
    <row r="76" spans="1:3" x14ac:dyDescent="0.25">
      <c r="A76" t="s">
        <v>286</v>
      </c>
      <c r="B76" t="s">
        <v>20</v>
      </c>
      <c r="C76" t="s">
        <v>31</v>
      </c>
    </row>
    <row r="77" spans="1:3" x14ac:dyDescent="0.25">
      <c r="A77" t="s">
        <v>287</v>
      </c>
      <c r="B77" t="s">
        <v>20</v>
      </c>
      <c r="C77" t="s">
        <v>31</v>
      </c>
    </row>
    <row r="78" spans="1:3" x14ac:dyDescent="0.25">
      <c r="A78" t="s">
        <v>288</v>
      </c>
      <c r="B78" t="s">
        <v>27</v>
      </c>
      <c r="C78" t="s">
        <v>21</v>
      </c>
    </row>
    <row r="79" spans="1:3" x14ac:dyDescent="0.25">
      <c r="A79" t="s">
        <v>289</v>
      </c>
      <c r="B79" t="s">
        <v>27</v>
      </c>
      <c r="C79" t="s">
        <v>31</v>
      </c>
    </row>
    <row r="80" spans="1:3" x14ac:dyDescent="0.25">
      <c r="A80" t="s">
        <v>290</v>
      </c>
      <c r="B80" t="s">
        <v>20</v>
      </c>
      <c r="C80" t="s">
        <v>31</v>
      </c>
    </row>
    <row r="81" spans="1:3" x14ac:dyDescent="0.25">
      <c r="A81" t="s">
        <v>291</v>
      </c>
      <c r="B81" t="s">
        <v>20</v>
      </c>
      <c r="C81" t="s">
        <v>31</v>
      </c>
    </row>
    <row r="82" spans="1:3" x14ac:dyDescent="0.25">
      <c r="A82" t="s">
        <v>292</v>
      </c>
      <c r="B82" t="s">
        <v>20</v>
      </c>
      <c r="C82" t="s">
        <v>31</v>
      </c>
    </row>
    <row r="83" spans="1:3" x14ac:dyDescent="0.25">
      <c r="A83" t="s">
        <v>293</v>
      </c>
      <c r="B83" t="s">
        <v>20</v>
      </c>
      <c r="C83" t="s">
        <v>31</v>
      </c>
    </row>
    <row r="84" spans="1:3" x14ac:dyDescent="0.25">
      <c r="A84" t="s">
        <v>294</v>
      </c>
      <c r="B84" t="s">
        <v>20</v>
      </c>
      <c r="C84" t="s">
        <v>31</v>
      </c>
    </row>
    <row r="85" spans="1:3" x14ac:dyDescent="0.25">
      <c r="A85" t="s">
        <v>295</v>
      </c>
      <c r="B85" t="s">
        <v>20</v>
      </c>
      <c r="C85" t="s">
        <v>31</v>
      </c>
    </row>
    <row r="86" spans="1:3" x14ac:dyDescent="0.25">
      <c r="A86" t="s">
        <v>296</v>
      </c>
      <c r="B86" t="s">
        <v>27</v>
      </c>
      <c r="C86" t="s">
        <v>21</v>
      </c>
    </row>
    <row r="87" spans="1:3" x14ac:dyDescent="0.25">
      <c r="A87" t="s">
        <v>297</v>
      </c>
      <c r="B87" t="s">
        <v>27</v>
      </c>
      <c r="C87" t="s">
        <v>21</v>
      </c>
    </row>
    <row r="88" spans="1:3" x14ac:dyDescent="0.25">
      <c r="A88" t="s">
        <v>298</v>
      </c>
      <c r="B88" t="s">
        <v>20</v>
      </c>
      <c r="C88" t="s">
        <v>21</v>
      </c>
    </row>
    <row r="89" spans="1:3" x14ac:dyDescent="0.25">
      <c r="A89" t="s">
        <v>299</v>
      </c>
      <c r="B89" t="s">
        <v>20</v>
      </c>
      <c r="C89" t="s">
        <v>21</v>
      </c>
    </row>
    <row r="90" spans="1:3" x14ac:dyDescent="0.25">
      <c r="A90" t="s">
        <v>300</v>
      </c>
      <c r="B90" t="s">
        <v>27</v>
      </c>
      <c r="C90" t="s">
        <v>31</v>
      </c>
    </row>
    <row r="91" spans="1:3" x14ac:dyDescent="0.25">
      <c r="A91" t="s">
        <v>301</v>
      </c>
      <c r="B91" t="s">
        <v>20</v>
      </c>
      <c r="C91" t="s">
        <v>21</v>
      </c>
    </row>
    <row r="92" spans="1:3" x14ac:dyDescent="0.25">
      <c r="A92" t="s">
        <v>302</v>
      </c>
      <c r="B92" t="s">
        <v>27</v>
      </c>
      <c r="C92" t="s">
        <v>31</v>
      </c>
    </row>
    <row r="93" spans="1:3" x14ac:dyDescent="0.25">
      <c r="A93" t="s">
        <v>303</v>
      </c>
      <c r="B93" t="s">
        <v>20</v>
      </c>
      <c r="C93" t="s">
        <v>21</v>
      </c>
    </row>
    <row r="94" spans="1:3" x14ac:dyDescent="0.25">
      <c r="A94" t="s">
        <v>304</v>
      </c>
      <c r="B94" t="s">
        <v>20</v>
      </c>
      <c r="C94" t="s">
        <v>31</v>
      </c>
    </row>
    <row r="95" spans="1:3" x14ac:dyDescent="0.25">
      <c r="A95" t="s">
        <v>305</v>
      </c>
      <c r="B95" t="s">
        <v>20</v>
      </c>
      <c r="C95" t="s">
        <v>21</v>
      </c>
    </row>
    <row r="96" spans="1:3" x14ac:dyDescent="0.25">
      <c r="A96" t="s">
        <v>306</v>
      </c>
      <c r="B96" t="s">
        <v>27</v>
      </c>
      <c r="C96" t="s">
        <v>21</v>
      </c>
    </row>
    <row r="97" spans="1:3" x14ac:dyDescent="0.25">
      <c r="A97" t="s">
        <v>307</v>
      </c>
      <c r="B97" t="s">
        <v>20</v>
      </c>
      <c r="C97" t="s">
        <v>21</v>
      </c>
    </row>
    <row r="98" spans="1:3" x14ac:dyDescent="0.25">
      <c r="A98" t="s">
        <v>308</v>
      </c>
      <c r="B98" t="s">
        <v>20</v>
      </c>
      <c r="C98" t="s">
        <v>21</v>
      </c>
    </row>
    <row r="99" spans="1:3" x14ac:dyDescent="0.25">
      <c r="A99" t="s">
        <v>309</v>
      </c>
      <c r="B99" t="s">
        <v>27</v>
      </c>
      <c r="C99" t="s">
        <v>21</v>
      </c>
    </row>
    <row r="100" spans="1:3" x14ac:dyDescent="0.25">
      <c r="A100" t="s">
        <v>310</v>
      </c>
      <c r="B100" t="s">
        <v>27</v>
      </c>
      <c r="C100" t="s">
        <v>21</v>
      </c>
    </row>
    <row r="101" spans="1:3" x14ac:dyDescent="0.25">
      <c r="A101" t="s">
        <v>311</v>
      </c>
      <c r="B101" t="s">
        <v>27</v>
      </c>
      <c r="C101" t="s">
        <v>31</v>
      </c>
    </row>
    <row r="102" spans="1:3" x14ac:dyDescent="0.25">
      <c r="A102" t="s">
        <v>312</v>
      </c>
      <c r="B102" t="s">
        <v>20</v>
      </c>
      <c r="C102" t="s">
        <v>21</v>
      </c>
    </row>
    <row r="103" spans="1:3" x14ac:dyDescent="0.25">
      <c r="A103" t="s">
        <v>313</v>
      </c>
      <c r="B103" t="s">
        <v>27</v>
      </c>
      <c r="C103" t="s">
        <v>21</v>
      </c>
    </row>
    <row r="104" spans="1:3" x14ac:dyDescent="0.25">
      <c r="A104" t="s">
        <v>314</v>
      </c>
      <c r="B104" t="s">
        <v>20</v>
      </c>
      <c r="C104" t="s">
        <v>31</v>
      </c>
    </row>
    <row r="105" spans="1:3" x14ac:dyDescent="0.25">
      <c r="A105" t="s">
        <v>315</v>
      </c>
      <c r="B105" t="s">
        <v>20</v>
      </c>
      <c r="C105" t="s">
        <v>31</v>
      </c>
    </row>
    <row r="106" spans="1:3" x14ac:dyDescent="0.25">
      <c r="A106" t="s">
        <v>316</v>
      </c>
      <c r="B106" t="s">
        <v>27</v>
      </c>
      <c r="C106" t="s">
        <v>21</v>
      </c>
    </row>
    <row r="107" spans="1:3" x14ac:dyDescent="0.25">
      <c r="A107" t="s">
        <v>317</v>
      </c>
      <c r="B107" t="s">
        <v>27</v>
      </c>
      <c r="C107" t="s">
        <v>31</v>
      </c>
    </row>
    <row r="108" spans="1:3" x14ac:dyDescent="0.25">
      <c r="A108" t="s">
        <v>318</v>
      </c>
      <c r="B108" t="s">
        <v>27</v>
      </c>
      <c r="C108" t="s">
        <v>21</v>
      </c>
    </row>
    <row r="109" spans="1:3" x14ac:dyDescent="0.25">
      <c r="A109" t="s">
        <v>319</v>
      </c>
      <c r="B109" t="s">
        <v>20</v>
      </c>
      <c r="C109" t="s">
        <v>31</v>
      </c>
    </row>
    <row r="110" spans="1:3" x14ac:dyDescent="0.25">
      <c r="A110" t="s">
        <v>320</v>
      </c>
      <c r="B110" t="s">
        <v>20</v>
      </c>
      <c r="C110" t="s">
        <v>21</v>
      </c>
    </row>
    <row r="111" spans="1:3" x14ac:dyDescent="0.25">
      <c r="A111" t="s">
        <v>321</v>
      </c>
      <c r="B111" t="s">
        <v>27</v>
      </c>
      <c r="C111" t="s">
        <v>31</v>
      </c>
    </row>
    <row r="112" spans="1:3" x14ac:dyDescent="0.25">
      <c r="A112" t="s">
        <v>322</v>
      </c>
      <c r="B112" t="s">
        <v>20</v>
      </c>
      <c r="C112" t="s">
        <v>31</v>
      </c>
    </row>
    <row r="113" spans="1:3" x14ac:dyDescent="0.25">
      <c r="A113" t="s">
        <v>323</v>
      </c>
      <c r="B113" t="s">
        <v>27</v>
      </c>
      <c r="C113" t="s">
        <v>21</v>
      </c>
    </row>
    <row r="114" spans="1:3" x14ac:dyDescent="0.25">
      <c r="A114" t="s">
        <v>324</v>
      </c>
      <c r="B114" t="s">
        <v>27</v>
      </c>
      <c r="C114" t="s">
        <v>21</v>
      </c>
    </row>
    <row r="115" spans="1:3" x14ac:dyDescent="0.25">
      <c r="A115" t="s">
        <v>325</v>
      </c>
      <c r="B115" t="s">
        <v>20</v>
      </c>
      <c r="C115" t="s">
        <v>21</v>
      </c>
    </row>
    <row r="116" spans="1:3" x14ac:dyDescent="0.25">
      <c r="A116" t="s">
        <v>326</v>
      </c>
      <c r="B116" t="s">
        <v>20</v>
      </c>
      <c r="C116" t="s">
        <v>31</v>
      </c>
    </row>
    <row r="117" spans="1:3" x14ac:dyDescent="0.25">
      <c r="A117" t="s">
        <v>327</v>
      </c>
      <c r="B117" t="s">
        <v>27</v>
      </c>
      <c r="C117" t="s">
        <v>31</v>
      </c>
    </row>
    <row r="118" spans="1:3" x14ac:dyDescent="0.25">
      <c r="A118" t="s">
        <v>328</v>
      </c>
      <c r="B118" t="s">
        <v>20</v>
      </c>
      <c r="C118" t="s">
        <v>21</v>
      </c>
    </row>
    <row r="119" spans="1:3" x14ac:dyDescent="0.25">
      <c r="A119" t="s">
        <v>329</v>
      </c>
      <c r="B119" t="s">
        <v>20</v>
      </c>
      <c r="C119" t="s">
        <v>21</v>
      </c>
    </row>
    <row r="120" spans="1:3" x14ac:dyDescent="0.25">
      <c r="A120" t="s">
        <v>330</v>
      </c>
      <c r="B120" t="s">
        <v>27</v>
      </c>
      <c r="C120" t="s">
        <v>31</v>
      </c>
    </row>
    <row r="121" spans="1:3" x14ac:dyDescent="0.25">
      <c r="A121" t="s">
        <v>331</v>
      </c>
      <c r="B121" t="s">
        <v>20</v>
      </c>
      <c r="C121" t="s">
        <v>21</v>
      </c>
    </row>
    <row r="122" spans="1:3" x14ac:dyDescent="0.25">
      <c r="A122" t="s">
        <v>332</v>
      </c>
      <c r="B122" t="s">
        <v>27</v>
      </c>
      <c r="C122" t="s">
        <v>31</v>
      </c>
    </row>
    <row r="123" spans="1:3" x14ac:dyDescent="0.25">
      <c r="A123" t="s">
        <v>333</v>
      </c>
      <c r="B123" t="s">
        <v>20</v>
      </c>
      <c r="C123" t="s">
        <v>31</v>
      </c>
    </row>
    <row r="124" spans="1:3" x14ac:dyDescent="0.25">
      <c r="A124" t="s">
        <v>334</v>
      </c>
      <c r="B124" t="s">
        <v>20</v>
      </c>
      <c r="C124" t="s">
        <v>31</v>
      </c>
    </row>
    <row r="125" spans="1:3" x14ac:dyDescent="0.25">
      <c r="A125" t="s">
        <v>335</v>
      </c>
      <c r="B125" t="s">
        <v>20</v>
      </c>
      <c r="C125" t="s">
        <v>21</v>
      </c>
    </row>
    <row r="126" spans="1:3" x14ac:dyDescent="0.25">
      <c r="A126" t="s">
        <v>336</v>
      </c>
      <c r="B126" t="s">
        <v>27</v>
      </c>
      <c r="C126" t="s">
        <v>31</v>
      </c>
    </row>
    <row r="127" spans="1:3" x14ac:dyDescent="0.25">
      <c r="A127" t="s">
        <v>337</v>
      </c>
      <c r="B127" t="s">
        <v>20</v>
      </c>
      <c r="C127" t="s">
        <v>31</v>
      </c>
    </row>
    <row r="128" spans="1:3" x14ac:dyDescent="0.25">
      <c r="A128" t="s">
        <v>338</v>
      </c>
      <c r="B128" t="s">
        <v>27</v>
      </c>
      <c r="C128" t="s">
        <v>31</v>
      </c>
    </row>
    <row r="129" spans="1:3" x14ac:dyDescent="0.25">
      <c r="A129" t="s">
        <v>339</v>
      </c>
      <c r="B129" t="s">
        <v>27</v>
      </c>
      <c r="C129" t="s">
        <v>21</v>
      </c>
    </row>
    <row r="130" spans="1:3" x14ac:dyDescent="0.25">
      <c r="A130" t="s">
        <v>340</v>
      </c>
      <c r="B130" t="s">
        <v>27</v>
      </c>
      <c r="C130" t="s">
        <v>21</v>
      </c>
    </row>
    <row r="131" spans="1:3" x14ac:dyDescent="0.25">
      <c r="A131" t="s">
        <v>341</v>
      </c>
      <c r="B131" t="s">
        <v>20</v>
      </c>
      <c r="C131" t="s">
        <v>31</v>
      </c>
    </row>
    <row r="132" spans="1:3" x14ac:dyDescent="0.25">
      <c r="A132" t="s">
        <v>342</v>
      </c>
      <c r="B132" t="s">
        <v>27</v>
      </c>
      <c r="C132" t="s">
        <v>21</v>
      </c>
    </row>
    <row r="133" spans="1:3" x14ac:dyDescent="0.25">
      <c r="A133" t="s">
        <v>343</v>
      </c>
      <c r="B133" t="s">
        <v>20</v>
      </c>
      <c r="C133" t="s">
        <v>21</v>
      </c>
    </row>
    <row r="134" spans="1:3" x14ac:dyDescent="0.25">
      <c r="A134" t="s">
        <v>344</v>
      </c>
      <c r="B134" t="s">
        <v>20</v>
      </c>
      <c r="C134" t="s">
        <v>21</v>
      </c>
    </row>
    <row r="135" spans="1:3" x14ac:dyDescent="0.25">
      <c r="A135" t="s">
        <v>345</v>
      </c>
      <c r="B135" t="s">
        <v>27</v>
      </c>
      <c r="C135" t="s">
        <v>21</v>
      </c>
    </row>
    <row r="136" spans="1:3" x14ac:dyDescent="0.25">
      <c r="A136" t="s">
        <v>346</v>
      </c>
      <c r="B136" t="s">
        <v>20</v>
      </c>
      <c r="C136" t="s">
        <v>31</v>
      </c>
    </row>
    <row r="137" spans="1:3" x14ac:dyDescent="0.25">
      <c r="A137" t="s">
        <v>347</v>
      </c>
      <c r="B137" t="s">
        <v>20</v>
      </c>
      <c r="C137" t="s">
        <v>31</v>
      </c>
    </row>
    <row r="138" spans="1:3" x14ac:dyDescent="0.25">
      <c r="A138" t="s">
        <v>348</v>
      </c>
      <c r="B138" t="s">
        <v>20</v>
      </c>
      <c r="C138" t="s">
        <v>21</v>
      </c>
    </row>
    <row r="139" spans="1:3" x14ac:dyDescent="0.25">
      <c r="A139" t="s">
        <v>349</v>
      </c>
      <c r="B139" t="s">
        <v>20</v>
      </c>
      <c r="C139" t="s">
        <v>21</v>
      </c>
    </row>
    <row r="140" spans="1:3" x14ac:dyDescent="0.25">
      <c r="A140" t="s">
        <v>350</v>
      </c>
      <c r="B140" t="s">
        <v>20</v>
      </c>
      <c r="C140" t="s">
        <v>21</v>
      </c>
    </row>
    <row r="141" spans="1:3" x14ac:dyDescent="0.25">
      <c r="A141" t="s">
        <v>351</v>
      </c>
      <c r="B141" t="s">
        <v>20</v>
      </c>
      <c r="C141" t="s">
        <v>31</v>
      </c>
    </row>
    <row r="142" spans="1:3" x14ac:dyDescent="0.25">
      <c r="A142" t="s">
        <v>352</v>
      </c>
      <c r="B142" t="s">
        <v>20</v>
      </c>
      <c r="C142" t="s">
        <v>21</v>
      </c>
    </row>
    <row r="143" spans="1:3" x14ac:dyDescent="0.25">
      <c r="A143" t="s">
        <v>353</v>
      </c>
      <c r="B143" t="s">
        <v>20</v>
      </c>
      <c r="C143" t="s">
        <v>31</v>
      </c>
    </row>
    <row r="144" spans="1:3" x14ac:dyDescent="0.25">
      <c r="A144" t="s">
        <v>354</v>
      </c>
      <c r="B144" t="s">
        <v>20</v>
      </c>
      <c r="C144" t="s">
        <v>21</v>
      </c>
    </row>
    <row r="145" spans="1:3" x14ac:dyDescent="0.25">
      <c r="A145" t="s">
        <v>355</v>
      </c>
      <c r="B145" t="s">
        <v>20</v>
      </c>
      <c r="C145" t="s">
        <v>31</v>
      </c>
    </row>
    <row r="146" spans="1:3" x14ac:dyDescent="0.25">
      <c r="A146" t="s">
        <v>356</v>
      </c>
      <c r="B146" t="s">
        <v>27</v>
      </c>
      <c r="C146" t="s">
        <v>21</v>
      </c>
    </row>
    <row r="147" spans="1:3" x14ac:dyDescent="0.25">
      <c r="A147" t="s">
        <v>357</v>
      </c>
      <c r="B147" t="s">
        <v>27</v>
      </c>
      <c r="C147" t="s">
        <v>21</v>
      </c>
    </row>
    <row r="148" spans="1:3" x14ac:dyDescent="0.25">
      <c r="A148" t="s">
        <v>358</v>
      </c>
      <c r="B148" t="s">
        <v>27</v>
      </c>
      <c r="C148" t="s">
        <v>31</v>
      </c>
    </row>
    <row r="149" spans="1:3" x14ac:dyDescent="0.25">
      <c r="A149" t="s">
        <v>359</v>
      </c>
      <c r="B149" t="s">
        <v>27</v>
      </c>
      <c r="C149" t="s">
        <v>21</v>
      </c>
    </row>
    <row r="150" spans="1:3" x14ac:dyDescent="0.25">
      <c r="A150" t="s">
        <v>360</v>
      </c>
      <c r="B150" t="s">
        <v>27</v>
      </c>
      <c r="C150" t="s">
        <v>31</v>
      </c>
    </row>
    <row r="151" spans="1:3" x14ac:dyDescent="0.25">
      <c r="A151" t="s">
        <v>361</v>
      </c>
      <c r="B151" t="s">
        <v>27</v>
      </c>
      <c r="C151" t="s">
        <v>31</v>
      </c>
    </row>
    <row r="152" spans="1:3" x14ac:dyDescent="0.25">
      <c r="A152" t="s">
        <v>362</v>
      </c>
      <c r="B152" t="s">
        <v>20</v>
      </c>
      <c r="C152" t="s">
        <v>31</v>
      </c>
    </row>
    <row r="153" spans="1:3" x14ac:dyDescent="0.25">
      <c r="A153" t="s">
        <v>363</v>
      </c>
      <c r="B153" t="s">
        <v>20</v>
      </c>
      <c r="C153" t="s">
        <v>31</v>
      </c>
    </row>
    <row r="154" spans="1:3" x14ac:dyDescent="0.25">
      <c r="A154" t="s">
        <v>364</v>
      </c>
      <c r="B154" t="s">
        <v>20</v>
      </c>
      <c r="C154" t="s">
        <v>31</v>
      </c>
    </row>
    <row r="155" spans="1:3" x14ac:dyDescent="0.25">
      <c r="A155" t="s">
        <v>365</v>
      </c>
      <c r="B155" t="s">
        <v>20</v>
      </c>
      <c r="C155" t="s">
        <v>31</v>
      </c>
    </row>
    <row r="156" spans="1:3" x14ac:dyDescent="0.25">
      <c r="A156" t="s">
        <v>366</v>
      </c>
      <c r="B156" t="s">
        <v>27</v>
      </c>
      <c r="C156" t="s">
        <v>31</v>
      </c>
    </row>
    <row r="157" spans="1:3" x14ac:dyDescent="0.25">
      <c r="A157" t="s">
        <v>367</v>
      </c>
      <c r="B157" t="s">
        <v>27</v>
      </c>
      <c r="C157" t="s">
        <v>31</v>
      </c>
    </row>
    <row r="158" spans="1:3" x14ac:dyDescent="0.25">
      <c r="A158" t="s">
        <v>368</v>
      </c>
      <c r="B158" t="s">
        <v>27</v>
      </c>
      <c r="C158" t="s">
        <v>31</v>
      </c>
    </row>
    <row r="159" spans="1:3" x14ac:dyDescent="0.25">
      <c r="A159" t="s">
        <v>369</v>
      </c>
      <c r="B159" t="s">
        <v>20</v>
      </c>
      <c r="C159" t="s">
        <v>31</v>
      </c>
    </row>
    <row r="160" spans="1:3" x14ac:dyDescent="0.25">
      <c r="A160" t="s">
        <v>370</v>
      </c>
      <c r="B160" t="s">
        <v>20</v>
      </c>
      <c r="C160" t="s">
        <v>31</v>
      </c>
    </row>
    <row r="161" spans="1:3" x14ac:dyDescent="0.25">
      <c r="A161" t="s">
        <v>371</v>
      </c>
      <c r="B161" t="s">
        <v>20</v>
      </c>
      <c r="C161" t="s">
        <v>21</v>
      </c>
    </row>
    <row r="162" spans="1:3" x14ac:dyDescent="0.25">
      <c r="A162" t="s">
        <v>372</v>
      </c>
      <c r="B162" t="s">
        <v>27</v>
      </c>
      <c r="C162" t="s">
        <v>31</v>
      </c>
    </row>
    <row r="163" spans="1:3" x14ac:dyDescent="0.25">
      <c r="A163" t="s">
        <v>373</v>
      </c>
      <c r="B163" t="s">
        <v>27</v>
      </c>
      <c r="C163" t="s">
        <v>21</v>
      </c>
    </row>
    <row r="164" spans="1:3" x14ac:dyDescent="0.25">
      <c r="A164" t="s">
        <v>374</v>
      </c>
      <c r="B164" t="s">
        <v>27</v>
      </c>
      <c r="C164" t="s">
        <v>21</v>
      </c>
    </row>
    <row r="165" spans="1:3" x14ac:dyDescent="0.25">
      <c r="A165" t="s">
        <v>375</v>
      </c>
      <c r="B165" t="s">
        <v>20</v>
      </c>
      <c r="C165" t="s">
        <v>21</v>
      </c>
    </row>
    <row r="166" spans="1:3" x14ac:dyDescent="0.25">
      <c r="A166" t="s">
        <v>376</v>
      </c>
      <c r="B166" t="s">
        <v>20</v>
      </c>
      <c r="C166" t="s">
        <v>31</v>
      </c>
    </row>
    <row r="167" spans="1:3" x14ac:dyDescent="0.25">
      <c r="A167" t="s">
        <v>377</v>
      </c>
      <c r="B167" t="s">
        <v>20</v>
      </c>
      <c r="C167" t="s">
        <v>21</v>
      </c>
    </row>
    <row r="168" spans="1:3" x14ac:dyDescent="0.25">
      <c r="A168" t="s">
        <v>378</v>
      </c>
      <c r="B168" t="s">
        <v>20</v>
      </c>
      <c r="C168" t="s">
        <v>21</v>
      </c>
    </row>
    <row r="169" spans="1:3" x14ac:dyDescent="0.25">
      <c r="A169" t="s">
        <v>379</v>
      </c>
      <c r="B169" t="s">
        <v>27</v>
      </c>
      <c r="C169" t="s">
        <v>21</v>
      </c>
    </row>
    <row r="170" spans="1:3" x14ac:dyDescent="0.25">
      <c r="A170" t="s">
        <v>380</v>
      </c>
      <c r="B170" t="s">
        <v>27</v>
      </c>
      <c r="C170" t="s">
        <v>31</v>
      </c>
    </row>
    <row r="171" spans="1:3" x14ac:dyDescent="0.25">
      <c r="A171" t="s">
        <v>381</v>
      </c>
      <c r="B171" t="s">
        <v>27</v>
      </c>
      <c r="C171" t="s">
        <v>21</v>
      </c>
    </row>
    <row r="172" spans="1:3" x14ac:dyDescent="0.25">
      <c r="A172" t="s">
        <v>382</v>
      </c>
      <c r="B172" t="s">
        <v>20</v>
      </c>
      <c r="C172" t="s">
        <v>31</v>
      </c>
    </row>
    <row r="173" spans="1:3" x14ac:dyDescent="0.25">
      <c r="A173" t="s">
        <v>383</v>
      </c>
      <c r="B173" t="s">
        <v>20</v>
      </c>
      <c r="C173" t="s">
        <v>21</v>
      </c>
    </row>
    <row r="174" spans="1:3" x14ac:dyDescent="0.25">
      <c r="A174" t="s">
        <v>384</v>
      </c>
      <c r="B174" t="s">
        <v>27</v>
      </c>
      <c r="C174" t="s">
        <v>31</v>
      </c>
    </row>
    <row r="175" spans="1:3" x14ac:dyDescent="0.25">
      <c r="A175" t="s">
        <v>385</v>
      </c>
      <c r="B175" t="s">
        <v>27</v>
      </c>
      <c r="C175" t="s">
        <v>21</v>
      </c>
    </row>
    <row r="176" spans="1:3" x14ac:dyDescent="0.25">
      <c r="A176" t="s">
        <v>386</v>
      </c>
      <c r="B176" t="s">
        <v>20</v>
      </c>
      <c r="C176" t="s">
        <v>21</v>
      </c>
    </row>
    <row r="177" spans="1:3" x14ac:dyDescent="0.25">
      <c r="A177" t="s">
        <v>387</v>
      </c>
      <c r="B177" t="s">
        <v>27</v>
      </c>
      <c r="C177" t="s">
        <v>31</v>
      </c>
    </row>
    <row r="178" spans="1:3" x14ac:dyDescent="0.25">
      <c r="A178" t="s">
        <v>388</v>
      </c>
      <c r="B178" t="s">
        <v>20</v>
      </c>
      <c r="C178" t="s">
        <v>21</v>
      </c>
    </row>
    <row r="179" spans="1:3" x14ac:dyDescent="0.25">
      <c r="A179" t="s">
        <v>389</v>
      </c>
      <c r="B179" t="s">
        <v>20</v>
      </c>
      <c r="C179" t="s">
        <v>31</v>
      </c>
    </row>
    <row r="180" spans="1:3" x14ac:dyDescent="0.25">
      <c r="A180" t="s">
        <v>390</v>
      </c>
      <c r="B180" t="s">
        <v>27</v>
      </c>
      <c r="C180" t="s">
        <v>21</v>
      </c>
    </row>
    <row r="181" spans="1:3" x14ac:dyDescent="0.25">
      <c r="A181" t="s">
        <v>391</v>
      </c>
      <c r="B181" t="s">
        <v>20</v>
      </c>
      <c r="C181" t="s">
        <v>21</v>
      </c>
    </row>
    <row r="182" spans="1:3" x14ac:dyDescent="0.25">
      <c r="A182" t="s">
        <v>392</v>
      </c>
      <c r="B182" t="s">
        <v>27</v>
      </c>
      <c r="C182" t="s">
        <v>21</v>
      </c>
    </row>
    <row r="183" spans="1:3" x14ac:dyDescent="0.25">
      <c r="A183" t="s">
        <v>393</v>
      </c>
      <c r="B183" t="s">
        <v>27</v>
      </c>
      <c r="C183" t="s">
        <v>21</v>
      </c>
    </row>
    <row r="184" spans="1:3" x14ac:dyDescent="0.25">
      <c r="A184" t="s">
        <v>394</v>
      </c>
      <c r="B184" t="s">
        <v>27</v>
      </c>
      <c r="C184" t="s">
        <v>31</v>
      </c>
    </row>
    <row r="185" spans="1:3" x14ac:dyDescent="0.25">
      <c r="A185" t="s">
        <v>395</v>
      </c>
      <c r="B185" t="s">
        <v>27</v>
      </c>
      <c r="C185" t="s">
        <v>31</v>
      </c>
    </row>
    <row r="186" spans="1:3" x14ac:dyDescent="0.25">
      <c r="A186" t="s">
        <v>396</v>
      </c>
      <c r="B186" t="s">
        <v>20</v>
      </c>
      <c r="C186" t="s">
        <v>31</v>
      </c>
    </row>
    <row r="187" spans="1:3" x14ac:dyDescent="0.25">
      <c r="A187" t="s">
        <v>397</v>
      </c>
      <c r="B187" t="s">
        <v>27</v>
      </c>
      <c r="C187" t="s">
        <v>21</v>
      </c>
    </row>
    <row r="188" spans="1:3" x14ac:dyDescent="0.25">
      <c r="A188" t="s">
        <v>398</v>
      </c>
      <c r="B188" t="s">
        <v>27</v>
      </c>
      <c r="C188" t="s">
        <v>31</v>
      </c>
    </row>
    <row r="189" spans="1:3" x14ac:dyDescent="0.25">
      <c r="A189" t="s">
        <v>399</v>
      </c>
      <c r="B189" t="s">
        <v>27</v>
      </c>
      <c r="C189" t="s">
        <v>31</v>
      </c>
    </row>
    <row r="190" spans="1:3" x14ac:dyDescent="0.25">
      <c r="A190" t="s">
        <v>400</v>
      </c>
      <c r="B190" t="s">
        <v>27</v>
      </c>
      <c r="C190" t="s">
        <v>21</v>
      </c>
    </row>
    <row r="191" spans="1:3" x14ac:dyDescent="0.25">
      <c r="A191" t="s">
        <v>401</v>
      </c>
      <c r="B191" t="s">
        <v>27</v>
      </c>
      <c r="C191" t="s">
        <v>21</v>
      </c>
    </row>
    <row r="192" spans="1:3" x14ac:dyDescent="0.25">
      <c r="A192" t="s">
        <v>402</v>
      </c>
      <c r="B192" t="s">
        <v>27</v>
      </c>
      <c r="C192" t="s">
        <v>21</v>
      </c>
    </row>
    <row r="193" spans="1:3" x14ac:dyDescent="0.25">
      <c r="A193" t="s">
        <v>403</v>
      </c>
      <c r="B193" t="s">
        <v>20</v>
      </c>
      <c r="C193" t="s">
        <v>31</v>
      </c>
    </row>
    <row r="194" spans="1:3" x14ac:dyDescent="0.25">
      <c r="A194" t="s">
        <v>404</v>
      </c>
      <c r="B194" t="s">
        <v>27</v>
      </c>
      <c r="C194" t="s">
        <v>21</v>
      </c>
    </row>
    <row r="195" spans="1:3" x14ac:dyDescent="0.25">
      <c r="A195" t="s">
        <v>405</v>
      </c>
      <c r="B195" t="s">
        <v>20</v>
      </c>
      <c r="C195" t="s">
        <v>31</v>
      </c>
    </row>
    <row r="196" spans="1:3" x14ac:dyDescent="0.25">
      <c r="A196" t="s">
        <v>406</v>
      </c>
      <c r="B196" t="s">
        <v>20</v>
      </c>
      <c r="C196" t="s">
        <v>21</v>
      </c>
    </row>
    <row r="197" spans="1:3" x14ac:dyDescent="0.25">
      <c r="A197" t="s">
        <v>407</v>
      </c>
      <c r="B197" t="s">
        <v>27</v>
      </c>
      <c r="C197" t="s">
        <v>21</v>
      </c>
    </row>
    <row r="198" spans="1:3" x14ac:dyDescent="0.25">
      <c r="A198" t="s">
        <v>408</v>
      </c>
      <c r="B198" t="s">
        <v>27</v>
      </c>
      <c r="C198" t="s">
        <v>21</v>
      </c>
    </row>
    <row r="199" spans="1:3" x14ac:dyDescent="0.25">
      <c r="A199" t="s">
        <v>409</v>
      </c>
      <c r="B199" t="s">
        <v>27</v>
      </c>
      <c r="C199" t="s">
        <v>31</v>
      </c>
    </row>
    <row r="200" spans="1:3" x14ac:dyDescent="0.25">
      <c r="A200" t="s">
        <v>410</v>
      </c>
      <c r="B200" t="s">
        <v>27</v>
      </c>
      <c r="C200" t="s">
        <v>21</v>
      </c>
    </row>
    <row r="201" spans="1:3" x14ac:dyDescent="0.25">
      <c r="A201" t="s">
        <v>411</v>
      </c>
      <c r="B201" t="s">
        <v>20</v>
      </c>
      <c r="C201" t="s">
        <v>21</v>
      </c>
    </row>
    <row r="202" spans="1:3" x14ac:dyDescent="0.25">
      <c r="A202" t="s">
        <v>412</v>
      </c>
      <c r="B202" t="s">
        <v>20</v>
      </c>
      <c r="C202" t="s">
        <v>21</v>
      </c>
    </row>
    <row r="203" spans="1:3" x14ac:dyDescent="0.25">
      <c r="A203" t="s">
        <v>413</v>
      </c>
      <c r="B203" t="s">
        <v>27</v>
      </c>
      <c r="C203" t="s">
        <v>31</v>
      </c>
    </row>
    <row r="204" spans="1:3" x14ac:dyDescent="0.25">
      <c r="A204" t="s">
        <v>414</v>
      </c>
      <c r="B204" t="s">
        <v>20</v>
      </c>
      <c r="C204" t="s">
        <v>31</v>
      </c>
    </row>
    <row r="205" spans="1:3" x14ac:dyDescent="0.25">
      <c r="A205" t="s">
        <v>415</v>
      </c>
      <c r="B205" t="s">
        <v>27</v>
      </c>
      <c r="C205" t="s">
        <v>21</v>
      </c>
    </row>
    <row r="206" spans="1:3" x14ac:dyDescent="0.25">
      <c r="A206" t="s">
        <v>416</v>
      </c>
      <c r="B206" t="s">
        <v>20</v>
      </c>
      <c r="C206" t="s">
        <v>31</v>
      </c>
    </row>
    <row r="207" spans="1:3" x14ac:dyDescent="0.25">
      <c r="A207" t="s">
        <v>417</v>
      </c>
      <c r="B207" t="s">
        <v>27</v>
      </c>
      <c r="C207" t="s">
        <v>21</v>
      </c>
    </row>
    <row r="208" spans="1:3" x14ac:dyDescent="0.25">
      <c r="A208" t="s">
        <v>418</v>
      </c>
      <c r="B208" t="s">
        <v>27</v>
      </c>
      <c r="C208" t="s">
        <v>21</v>
      </c>
    </row>
    <row r="209" spans="1:3" x14ac:dyDescent="0.25">
      <c r="A209" t="s">
        <v>419</v>
      </c>
      <c r="B209" t="s">
        <v>20</v>
      </c>
      <c r="C209" t="s">
        <v>21</v>
      </c>
    </row>
    <row r="210" spans="1:3" x14ac:dyDescent="0.25">
      <c r="A210" t="s">
        <v>420</v>
      </c>
      <c r="B210" t="s">
        <v>27</v>
      </c>
      <c r="C210" t="s">
        <v>21</v>
      </c>
    </row>
    <row r="211" spans="1:3" x14ac:dyDescent="0.25">
      <c r="A211" t="s">
        <v>421</v>
      </c>
      <c r="B211" t="s">
        <v>20</v>
      </c>
      <c r="C211" t="s">
        <v>31</v>
      </c>
    </row>
    <row r="212" spans="1:3" x14ac:dyDescent="0.25">
      <c r="A212" t="s">
        <v>422</v>
      </c>
      <c r="B212" t="s">
        <v>27</v>
      </c>
      <c r="C212" t="s">
        <v>31</v>
      </c>
    </row>
    <row r="213" spans="1:3" x14ac:dyDescent="0.25">
      <c r="A213" t="s">
        <v>423</v>
      </c>
      <c r="B213" t="s">
        <v>27</v>
      </c>
      <c r="C213" t="s">
        <v>21</v>
      </c>
    </row>
    <row r="214" spans="1:3" x14ac:dyDescent="0.25">
      <c r="A214" t="s">
        <v>424</v>
      </c>
      <c r="B214" t="s">
        <v>20</v>
      </c>
      <c r="C214" t="s">
        <v>21</v>
      </c>
    </row>
    <row r="215" spans="1:3" x14ac:dyDescent="0.25">
      <c r="A215" t="s">
        <v>425</v>
      </c>
      <c r="B215" t="s">
        <v>27</v>
      </c>
      <c r="C215" t="s">
        <v>31</v>
      </c>
    </row>
    <row r="216" spans="1:3" x14ac:dyDescent="0.25">
      <c r="A216" t="s">
        <v>426</v>
      </c>
      <c r="B216" t="s">
        <v>20</v>
      </c>
      <c r="C216" t="s">
        <v>21</v>
      </c>
    </row>
    <row r="217" spans="1:3" x14ac:dyDescent="0.25">
      <c r="A217" t="s">
        <v>427</v>
      </c>
      <c r="B217" t="s">
        <v>27</v>
      </c>
      <c r="C217" t="s">
        <v>21</v>
      </c>
    </row>
    <row r="218" spans="1:3" x14ac:dyDescent="0.25">
      <c r="A218" t="s">
        <v>428</v>
      </c>
      <c r="B218" t="s">
        <v>20</v>
      </c>
      <c r="C218" t="s">
        <v>31</v>
      </c>
    </row>
    <row r="219" spans="1:3" x14ac:dyDescent="0.25">
      <c r="A219" t="s">
        <v>429</v>
      </c>
      <c r="B219" t="s">
        <v>20</v>
      </c>
      <c r="C219" t="s">
        <v>21</v>
      </c>
    </row>
    <row r="220" spans="1:3" x14ac:dyDescent="0.25">
      <c r="A220" t="s">
        <v>430</v>
      </c>
      <c r="B220" t="s">
        <v>27</v>
      </c>
      <c r="C220" t="s">
        <v>21</v>
      </c>
    </row>
    <row r="221" spans="1:3" x14ac:dyDescent="0.25">
      <c r="A221" t="s">
        <v>431</v>
      </c>
      <c r="B221" t="s">
        <v>27</v>
      </c>
      <c r="C221" t="s">
        <v>21</v>
      </c>
    </row>
    <row r="222" spans="1:3" x14ac:dyDescent="0.25">
      <c r="A222" t="s">
        <v>432</v>
      </c>
      <c r="B222" t="s">
        <v>27</v>
      </c>
      <c r="C222" t="s">
        <v>21</v>
      </c>
    </row>
    <row r="223" spans="1:3" x14ac:dyDescent="0.25">
      <c r="A223" t="s">
        <v>433</v>
      </c>
      <c r="B223" t="s">
        <v>27</v>
      </c>
      <c r="C223" t="s">
        <v>31</v>
      </c>
    </row>
    <row r="224" spans="1:3" x14ac:dyDescent="0.25">
      <c r="A224" t="s">
        <v>434</v>
      </c>
      <c r="B224" t="s">
        <v>20</v>
      </c>
      <c r="C224" t="s">
        <v>21</v>
      </c>
    </row>
    <row r="225" spans="1:3" x14ac:dyDescent="0.25">
      <c r="A225" t="s">
        <v>435</v>
      </c>
      <c r="B225" t="s">
        <v>20</v>
      </c>
      <c r="C225" t="s">
        <v>31</v>
      </c>
    </row>
    <row r="226" spans="1:3" x14ac:dyDescent="0.25">
      <c r="A226" t="s">
        <v>436</v>
      </c>
      <c r="B226" t="s">
        <v>27</v>
      </c>
      <c r="C226" t="s">
        <v>21</v>
      </c>
    </row>
    <row r="227" spans="1:3" x14ac:dyDescent="0.25">
      <c r="A227" t="s">
        <v>437</v>
      </c>
      <c r="B227" t="s">
        <v>27</v>
      </c>
      <c r="C227" t="s">
        <v>31</v>
      </c>
    </row>
    <row r="228" spans="1:3" x14ac:dyDescent="0.25">
      <c r="A228" t="s">
        <v>438</v>
      </c>
      <c r="B228" t="s">
        <v>20</v>
      </c>
      <c r="C228" t="s">
        <v>31</v>
      </c>
    </row>
    <row r="229" spans="1:3" x14ac:dyDescent="0.25">
      <c r="A229" t="s">
        <v>439</v>
      </c>
      <c r="B229" t="s">
        <v>27</v>
      </c>
      <c r="C229" t="s">
        <v>21</v>
      </c>
    </row>
    <row r="230" spans="1:3" x14ac:dyDescent="0.25">
      <c r="A230" t="s">
        <v>440</v>
      </c>
      <c r="B230" t="s">
        <v>20</v>
      </c>
      <c r="C230" t="s">
        <v>21</v>
      </c>
    </row>
    <row r="231" spans="1:3" x14ac:dyDescent="0.25">
      <c r="A231" t="s">
        <v>441</v>
      </c>
      <c r="B231" t="s">
        <v>20</v>
      </c>
      <c r="C231" t="s">
        <v>31</v>
      </c>
    </row>
    <row r="232" spans="1:3" x14ac:dyDescent="0.25">
      <c r="A232" t="s">
        <v>442</v>
      </c>
      <c r="B232" t="s">
        <v>27</v>
      </c>
      <c r="C232" t="s">
        <v>31</v>
      </c>
    </row>
    <row r="233" spans="1:3" x14ac:dyDescent="0.25">
      <c r="A233" t="s">
        <v>443</v>
      </c>
      <c r="B233" t="s">
        <v>20</v>
      </c>
      <c r="C233" t="s">
        <v>21</v>
      </c>
    </row>
    <row r="234" spans="1:3" x14ac:dyDescent="0.25">
      <c r="A234" t="s">
        <v>444</v>
      </c>
      <c r="B234" t="s">
        <v>27</v>
      </c>
      <c r="C234" t="s">
        <v>21</v>
      </c>
    </row>
    <row r="235" spans="1:3" x14ac:dyDescent="0.25">
      <c r="A235" t="s">
        <v>445</v>
      </c>
      <c r="B235" t="s">
        <v>27</v>
      </c>
      <c r="C235" t="s">
        <v>21</v>
      </c>
    </row>
    <row r="236" spans="1:3" x14ac:dyDescent="0.25">
      <c r="A236" t="s">
        <v>446</v>
      </c>
      <c r="B236" t="s">
        <v>27</v>
      </c>
      <c r="C236" t="s">
        <v>21</v>
      </c>
    </row>
    <row r="237" spans="1:3" x14ac:dyDescent="0.25">
      <c r="A237" t="s">
        <v>447</v>
      </c>
      <c r="B237" t="s">
        <v>27</v>
      </c>
      <c r="C237" t="s">
        <v>31</v>
      </c>
    </row>
    <row r="238" spans="1:3" x14ac:dyDescent="0.25">
      <c r="A238" t="s">
        <v>448</v>
      </c>
      <c r="B238" t="s">
        <v>20</v>
      </c>
      <c r="C238" t="s">
        <v>31</v>
      </c>
    </row>
    <row r="239" spans="1:3" x14ac:dyDescent="0.25">
      <c r="A239" t="s">
        <v>449</v>
      </c>
      <c r="B239" t="s">
        <v>27</v>
      </c>
      <c r="C239" t="s">
        <v>31</v>
      </c>
    </row>
    <row r="240" spans="1:3" x14ac:dyDescent="0.25">
      <c r="A240" t="s">
        <v>450</v>
      </c>
      <c r="B240" t="s">
        <v>27</v>
      </c>
      <c r="C240" t="s">
        <v>31</v>
      </c>
    </row>
    <row r="241" spans="1:3" x14ac:dyDescent="0.25">
      <c r="A241" t="s">
        <v>451</v>
      </c>
      <c r="B241" t="s">
        <v>27</v>
      </c>
      <c r="C241" t="s">
        <v>31</v>
      </c>
    </row>
    <row r="242" spans="1:3" x14ac:dyDescent="0.25">
      <c r="A242" t="s">
        <v>452</v>
      </c>
      <c r="B242" t="s">
        <v>27</v>
      </c>
      <c r="C242" t="s">
        <v>21</v>
      </c>
    </row>
    <row r="243" spans="1:3" x14ac:dyDescent="0.25">
      <c r="A243" t="s">
        <v>453</v>
      </c>
      <c r="B243" t="s">
        <v>20</v>
      </c>
      <c r="C243" t="s">
        <v>21</v>
      </c>
    </row>
    <row r="244" spans="1:3" x14ac:dyDescent="0.25">
      <c r="A244" t="s">
        <v>454</v>
      </c>
      <c r="B244" t="s">
        <v>27</v>
      </c>
      <c r="C244" t="s">
        <v>21</v>
      </c>
    </row>
    <row r="245" spans="1:3" x14ac:dyDescent="0.25">
      <c r="A245" t="s">
        <v>455</v>
      </c>
      <c r="B245" t="s">
        <v>20</v>
      </c>
      <c r="C245" t="s">
        <v>21</v>
      </c>
    </row>
    <row r="246" spans="1:3" x14ac:dyDescent="0.25">
      <c r="A246" t="s">
        <v>456</v>
      </c>
      <c r="B246" t="s">
        <v>20</v>
      </c>
      <c r="C246" t="s">
        <v>21</v>
      </c>
    </row>
    <row r="247" spans="1:3" x14ac:dyDescent="0.25">
      <c r="A247" t="s">
        <v>457</v>
      </c>
      <c r="B247" t="s">
        <v>27</v>
      </c>
      <c r="C247" t="s">
        <v>21</v>
      </c>
    </row>
    <row r="248" spans="1:3" x14ac:dyDescent="0.25">
      <c r="A248" t="s">
        <v>458</v>
      </c>
      <c r="B248" t="s">
        <v>20</v>
      </c>
      <c r="C248" t="s">
        <v>21</v>
      </c>
    </row>
    <row r="249" spans="1:3" x14ac:dyDescent="0.25">
      <c r="A249" t="s">
        <v>459</v>
      </c>
      <c r="B249" t="s">
        <v>20</v>
      </c>
      <c r="C249" t="s">
        <v>31</v>
      </c>
    </row>
    <row r="250" spans="1:3" x14ac:dyDescent="0.25">
      <c r="A250" t="s">
        <v>460</v>
      </c>
      <c r="B250" t="s">
        <v>27</v>
      </c>
      <c r="C250" t="s">
        <v>31</v>
      </c>
    </row>
    <row r="251" spans="1:3" x14ac:dyDescent="0.25">
      <c r="A251" t="s">
        <v>461</v>
      </c>
      <c r="B251" t="s">
        <v>20</v>
      </c>
      <c r="C251" t="s">
        <v>31</v>
      </c>
    </row>
    <row r="252" spans="1:3" x14ac:dyDescent="0.25">
      <c r="A252" t="s">
        <v>462</v>
      </c>
      <c r="B252" t="s">
        <v>20</v>
      </c>
      <c r="C252" t="s">
        <v>31</v>
      </c>
    </row>
    <row r="253" spans="1:3" x14ac:dyDescent="0.25">
      <c r="A253" t="s">
        <v>463</v>
      </c>
      <c r="B253" t="s">
        <v>20</v>
      </c>
      <c r="C253" t="s">
        <v>21</v>
      </c>
    </row>
    <row r="254" spans="1:3" x14ac:dyDescent="0.25">
      <c r="A254" t="s">
        <v>464</v>
      </c>
      <c r="B254" t="s">
        <v>27</v>
      </c>
      <c r="C254" t="s">
        <v>31</v>
      </c>
    </row>
    <row r="255" spans="1:3" x14ac:dyDescent="0.25">
      <c r="A255" t="s">
        <v>465</v>
      </c>
      <c r="B255" t="s">
        <v>20</v>
      </c>
      <c r="C255" t="s">
        <v>21</v>
      </c>
    </row>
    <row r="256" spans="1:3" x14ac:dyDescent="0.25">
      <c r="A256" t="s">
        <v>466</v>
      </c>
      <c r="B256" t="s">
        <v>27</v>
      </c>
      <c r="C256" t="s">
        <v>31</v>
      </c>
    </row>
    <row r="257" spans="1:3" x14ac:dyDescent="0.25">
      <c r="A257" t="s">
        <v>467</v>
      </c>
      <c r="B257" t="s">
        <v>27</v>
      </c>
      <c r="C257" t="s">
        <v>31</v>
      </c>
    </row>
    <row r="258" spans="1:3" x14ac:dyDescent="0.25">
      <c r="A258" t="s">
        <v>468</v>
      </c>
      <c r="B258" t="s">
        <v>27</v>
      </c>
      <c r="C258" t="s">
        <v>21</v>
      </c>
    </row>
    <row r="259" spans="1:3" x14ac:dyDescent="0.25">
      <c r="A259" t="s">
        <v>469</v>
      </c>
      <c r="B259" t="s">
        <v>27</v>
      </c>
      <c r="C259" t="s">
        <v>31</v>
      </c>
    </row>
    <row r="260" spans="1:3" x14ac:dyDescent="0.25">
      <c r="A260" t="s">
        <v>470</v>
      </c>
      <c r="B260" t="s">
        <v>27</v>
      </c>
      <c r="C260" t="s">
        <v>21</v>
      </c>
    </row>
    <row r="261" spans="1:3" x14ac:dyDescent="0.25">
      <c r="A261" t="s">
        <v>471</v>
      </c>
      <c r="B261" t="s">
        <v>27</v>
      </c>
      <c r="C261" t="s">
        <v>31</v>
      </c>
    </row>
    <row r="262" spans="1:3" x14ac:dyDescent="0.25">
      <c r="A262" t="s">
        <v>472</v>
      </c>
      <c r="B262" t="s">
        <v>20</v>
      </c>
      <c r="C262" t="s">
        <v>31</v>
      </c>
    </row>
    <row r="263" spans="1:3" x14ac:dyDescent="0.25">
      <c r="A263" t="s">
        <v>473</v>
      </c>
      <c r="B263" t="s">
        <v>27</v>
      </c>
      <c r="C263" t="s">
        <v>31</v>
      </c>
    </row>
    <row r="264" spans="1:3" x14ac:dyDescent="0.25">
      <c r="A264" t="s">
        <v>474</v>
      </c>
      <c r="B264" t="s">
        <v>20</v>
      </c>
      <c r="C264" t="s">
        <v>31</v>
      </c>
    </row>
    <row r="265" spans="1:3" x14ac:dyDescent="0.25">
      <c r="A265" t="s">
        <v>475</v>
      </c>
      <c r="B265" t="s">
        <v>27</v>
      </c>
      <c r="C265" t="s">
        <v>21</v>
      </c>
    </row>
    <row r="266" spans="1:3" x14ac:dyDescent="0.25">
      <c r="A266" t="s">
        <v>476</v>
      </c>
      <c r="B266" t="s">
        <v>20</v>
      </c>
      <c r="C266" t="s">
        <v>31</v>
      </c>
    </row>
    <row r="267" spans="1:3" x14ac:dyDescent="0.25">
      <c r="A267" t="s">
        <v>477</v>
      </c>
      <c r="B267" t="s">
        <v>20</v>
      </c>
      <c r="C267" t="s">
        <v>21</v>
      </c>
    </row>
    <row r="268" spans="1:3" x14ac:dyDescent="0.25">
      <c r="A268" t="s">
        <v>478</v>
      </c>
      <c r="B268" t="s">
        <v>20</v>
      </c>
      <c r="C268" t="s">
        <v>21</v>
      </c>
    </row>
    <row r="269" spans="1:3" x14ac:dyDescent="0.25">
      <c r="A269" t="s">
        <v>479</v>
      </c>
      <c r="B269" t="s">
        <v>27</v>
      </c>
      <c r="C269" t="s">
        <v>31</v>
      </c>
    </row>
    <row r="270" spans="1:3" x14ac:dyDescent="0.25">
      <c r="A270" t="s">
        <v>480</v>
      </c>
      <c r="B270" t="s">
        <v>27</v>
      </c>
      <c r="C270" t="s">
        <v>21</v>
      </c>
    </row>
    <row r="271" spans="1:3" x14ac:dyDescent="0.25">
      <c r="A271" t="s">
        <v>481</v>
      </c>
      <c r="B271" t="s">
        <v>20</v>
      </c>
      <c r="C271" t="s">
        <v>21</v>
      </c>
    </row>
    <row r="272" spans="1:3" x14ac:dyDescent="0.25">
      <c r="A272" t="s">
        <v>482</v>
      </c>
      <c r="B272" t="s">
        <v>20</v>
      </c>
      <c r="C272" t="s">
        <v>31</v>
      </c>
    </row>
    <row r="273" spans="1:3" x14ac:dyDescent="0.25">
      <c r="A273" t="s">
        <v>483</v>
      </c>
      <c r="B273" t="s">
        <v>27</v>
      </c>
      <c r="C273" t="s">
        <v>31</v>
      </c>
    </row>
    <row r="274" spans="1:3" x14ac:dyDescent="0.25">
      <c r="A274" t="s">
        <v>484</v>
      </c>
      <c r="B274" t="s">
        <v>20</v>
      </c>
      <c r="C274" t="s">
        <v>21</v>
      </c>
    </row>
    <row r="275" spans="1:3" x14ac:dyDescent="0.25">
      <c r="A275" t="s">
        <v>485</v>
      </c>
      <c r="B275" t="s">
        <v>20</v>
      </c>
      <c r="C275" t="s">
        <v>21</v>
      </c>
    </row>
    <row r="276" spans="1:3" x14ac:dyDescent="0.25">
      <c r="A276" t="s">
        <v>486</v>
      </c>
      <c r="B276" t="s">
        <v>27</v>
      </c>
      <c r="C276" t="s">
        <v>21</v>
      </c>
    </row>
    <row r="277" spans="1:3" x14ac:dyDescent="0.25">
      <c r="A277" t="s">
        <v>487</v>
      </c>
      <c r="B277" t="s">
        <v>27</v>
      </c>
      <c r="C277" t="s">
        <v>31</v>
      </c>
    </row>
    <row r="278" spans="1:3" x14ac:dyDescent="0.25">
      <c r="A278" t="s">
        <v>488</v>
      </c>
      <c r="B278" t="s">
        <v>27</v>
      </c>
      <c r="C278" t="s">
        <v>21</v>
      </c>
    </row>
    <row r="279" spans="1:3" x14ac:dyDescent="0.25">
      <c r="A279" t="s">
        <v>489</v>
      </c>
      <c r="B279" t="s">
        <v>27</v>
      </c>
      <c r="C279" t="s">
        <v>31</v>
      </c>
    </row>
    <row r="280" spans="1:3" x14ac:dyDescent="0.25">
      <c r="A280" t="s">
        <v>490</v>
      </c>
      <c r="B280" t="s">
        <v>20</v>
      </c>
      <c r="C280" t="s">
        <v>31</v>
      </c>
    </row>
    <row r="281" spans="1:3" x14ac:dyDescent="0.25">
      <c r="A281" t="s">
        <v>491</v>
      </c>
      <c r="B281" t="s">
        <v>20</v>
      </c>
      <c r="C281" t="s">
        <v>21</v>
      </c>
    </row>
    <row r="282" spans="1:3" x14ac:dyDescent="0.25">
      <c r="A282" t="s">
        <v>492</v>
      </c>
      <c r="B282" t="s">
        <v>20</v>
      </c>
      <c r="C282" t="s">
        <v>21</v>
      </c>
    </row>
    <row r="283" spans="1:3" x14ac:dyDescent="0.25">
      <c r="A283" t="s">
        <v>493</v>
      </c>
      <c r="B283" t="s">
        <v>27</v>
      </c>
      <c r="C283" t="s">
        <v>31</v>
      </c>
    </row>
    <row r="284" spans="1:3" x14ac:dyDescent="0.25">
      <c r="A284" t="s">
        <v>494</v>
      </c>
      <c r="B284" t="s">
        <v>20</v>
      </c>
      <c r="C284" t="s">
        <v>21</v>
      </c>
    </row>
    <row r="285" spans="1:3" x14ac:dyDescent="0.25">
      <c r="A285" t="s">
        <v>495</v>
      </c>
      <c r="B285" t="s">
        <v>27</v>
      </c>
      <c r="C285" t="s">
        <v>31</v>
      </c>
    </row>
    <row r="286" spans="1:3" x14ac:dyDescent="0.25">
      <c r="A286" t="s">
        <v>496</v>
      </c>
      <c r="B286" t="s">
        <v>27</v>
      </c>
      <c r="C286" t="s">
        <v>31</v>
      </c>
    </row>
    <row r="287" spans="1:3" x14ac:dyDescent="0.25">
      <c r="A287" t="s">
        <v>497</v>
      </c>
      <c r="B287" t="s">
        <v>20</v>
      </c>
      <c r="C287" t="s">
        <v>21</v>
      </c>
    </row>
    <row r="288" spans="1:3" x14ac:dyDescent="0.25">
      <c r="A288" t="s">
        <v>498</v>
      </c>
      <c r="B288" t="s">
        <v>27</v>
      </c>
      <c r="C288" t="s">
        <v>21</v>
      </c>
    </row>
    <row r="289" spans="1:3" x14ac:dyDescent="0.25">
      <c r="A289" t="s">
        <v>499</v>
      </c>
      <c r="B289" t="s">
        <v>20</v>
      </c>
      <c r="C289" t="s">
        <v>21</v>
      </c>
    </row>
    <row r="290" spans="1:3" x14ac:dyDescent="0.25">
      <c r="A290" t="s">
        <v>500</v>
      </c>
      <c r="B290" t="s">
        <v>20</v>
      </c>
      <c r="C290" t="s">
        <v>31</v>
      </c>
    </row>
    <row r="291" spans="1:3" x14ac:dyDescent="0.25">
      <c r="A291" t="s">
        <v>501</v>
      </c>
      <c r="B291" t="s">
        <v>20</v>
      </c>
      <c r="C291" t="s">
        <v>21</v>
      </c>
    </row>
    <row r="292" spans="1:3" x14ac:dyDescent="0.25">
      <c r="A292" t="s">
        <v>502</v>
      </c>
      <c r="B292" t="s">
        <v>20</v>
      </c>
      <c r="C292" t="s">
        <v>21</v>
      </c>
    </row>
    <row r="293" spans="1:3" x14ac:dyDescent="0.25">
      <c r="A293" t="s">
        <v>503</v>
      </c>
      <c r="B293" t="s">
        <v>27</v>
      </c>
      <c r="C293" t="s">
        <v>31</v>
      </c>
    </row>
    <row r="294" spans="1:3" x14ac:dyDescent="0.25">
      <c r="A294" t="s">
        <v>504</v>
      </c>
      <c r="B294" t="s">
        <v>27</v>
      </c>
      <c r="C294" t="s">
        <v>31</v>
      </c>
    </row>
    <row r="295" spans="1:3" x14ac:dyDescent="0.25">
      <c r="A295" t="s">
        <v>505</v>
      </c>
      <c r="B295" t="s">
        <v>20</v>
      </c>
      <c r="C295" t="s">
        <v>21</v>
      </c>
    </row>
    <row r="296" spans="1:3" x14ac:dyDescent="0.25">
      <c r="A296" t="s">
        <v>506</v>
      </c>
      <c r="B296" t="s">
        <v>20</v>
      </c>
      <c r="C296" t="s">
        <v>21</v>
      </c>
    </row>
    <row r="297" spans="1:3" x14ac:dyDescent="0.25">
      <c r="A297" t="s">
        <v>507</v>
      </c>
      <c r="B297" t="s">
        <v>20</v>
      </c>
      <c r="C297" t="s">
        <v>21</v>
      </c>
    </row>
    <row r="298" spans="1:3" x14ac:dyDescent="0.25">
      <c r="A298" t="s">
        <v>508</v>
      </c>
      <c r="B298" t="s">
        <v>20</v>
      </c>
      <c r="C298" t="s">
        <v>31</v>
      </c>
    </row>
    <row r="299" spans="1:3" x14ac:dyDescent="0.25">
      <c r="A299" t="s">
        <v>509</v>
      </c>
      <c r="B299" t="s">
        <v>20</v>
      </c>
      <c r="C299" t="s">
        <v>31</v>
      </c>
    </row>
    <row r="300" spans="1:3" x14ac:dyDescent="0.25">
      <c r="A300" t="s">
        <v>510</v>
      </c>
      <c r="B300" t="s">
        <v>20</v>
      </c>
      <c r="C300" t="s">
        <v>21</v>
      </c>
    </row>
    <row r="301" spans="1:3" x14ac:dyDescent="0.25">
      <c r="A301" t="s">
        <v>511</v>
      </c>
      <c r="B301" t="s">
        <v>27</v>
      </c>
      <c r="C301" t="s">
        <v>31</v>
      </c>
    </row>
    <row r="302" spans="1:3" x14ac:dyDescent="0.25">
      <c r="A302" t="s">
        <v>512</v>
      </c>
      <c r="B302" t="s">
        <v>27</v>
      </c>
      <c r="C302" t="s">
        <v>21</v>
      </c>
    </row>
    <row r="303" spans="1:3" x14ac:dyDescent="0.25">
      <c r="A303" t="s">
        <v>513</v>
      </c>
      <c r="B303" t="s">
        <v>27</v>
      </c>
      <c r="C303" t="s">
        <v>31</v>
      </c>
    </row>
    <row r="304" spans="1:3" x14ac:dyDescent="0.25">
      <c r="A304" t="s">
        <v>514</v>
      </c>
      <c r="B304" t="s">
        <v>27</v>
      </c>
      <c r="C304" t="s">
        <v>31</v>
      </c>
    </row>
    <row r="305" spans="1:3" x14ac:dyDescent="0.25">
      <c r="A305" t="s">
        <v>515</v>
      </c>
      <c r="B305" t="s">
        <v>27</v>
      </c>
      <c r="C305" t="s">
        <v>31</v>
      </c>
    </row>
    <row r="306" spans="1:3" x14ac:dyDescent="0.25">
      <c r="A306" t="s">
        <v>516</v>
      </c>
      <c r="B306" t="s">
        <v>27</v>
      </c>
      <c r="C306" t="s">
        <v>31</v>
      </c>
    </row>
    <row r="307" spans="1:3" x14ac:dyDescent="0.25">
      <c r="A307" t="s">
        <v>517</v>
      </c>
      <c r="B307" t="s">
        <v>27</v>
      </c>
      <c r="C307" t="s">
        <v>21</v>
      </c>
    </row>
    <row r="308" spans="1:3" x14ac:dyDescent="0.25">
      <c r="A308" t="s">
        <v>518</v>
      </c>
      <c r="B308" t="s">
        <v>27</v>
      </c>
      <c r="C308" t="s">
        <v>31</v>
      </c>
    </row>
    <row r="309" spans="1:3" x14ac:dyDescent="0.25">
      <c r="A309" t="s">
        <v>519</v>
      </c>
      <c r="B309" t="s">
        <v>20</v>
      </c>
      <c r="C309" t="s">
        <v>31</v>
      </c>
    </row>
    <row r="310" spans="1:3" x14ac:dyDescent="0.25">
      <c r="A310" t="s">
        <v>520</v>
      </c>
      <c r="B310" t="s">
        <v>20</v>
      </c>
      <c r="C310" t="s">
        <v>21</v>
      </c>
    </row>
    <row r="311" spans="1:3" x14ac:dyDescent="0.25">
      <c r="A311" t="s">
        <v>521</v>
      </c>
      <c r="B311" t="s">
        <v>20</v>
      </c>
      <c r="C311" t="s">
        <v>21</v>
      </c>
    </row>
    <row r="312" spans="1:3" x14ac:dyDescent="0.25">
      <c r="A312" t="s">
        <v>522</v>
      </c>
      <c r="B312" t="s">
        <v>27</v>
      </c>
      <c r="C312" t="s">
        <v>21</v>
      </c>
    </row>
    <row r="313" spans="1:3" x14ac:dyDescent="0.25">
      <c r="A313" t="s">
        <v>523</v>
      </c>
      <c r="B313" t="s">
        <v>27</v>
      </c>
      <c r="C313" t="s">
        <v>31</v>
      </c>
    </row>
    <row r="314" spans="1:3" x14ac:dyDescent="0.25">
      <c r="A314" t="s">
        <v>524</v>
      </c>
      <c r="B314" t="s">
        <v>27</v>
      </c>
      <c r="C314" t="s">
        <v>31</v>
      </c>
    </row>
    <row r="315" spans="1:3" x14ac:dyDescent="0.25">
      <c r="A315" t="s">
        <v>525</v>
      </c>
      <c r="B315" t="s">
        <v>20</v>
      </c>
      <c r="C315" t="s">
        <v>21</v>
      </c>
    </row>
    <row r="316" spans="1:3" x14ac:dyDescent="0.25">
      <c r="A316" t="s">
        <v>526</v>
      </c>
      <c r="B316" t="s">
        <v>27</v>
      </c>
      <c r="C316" t="s">
        <v>21</v>
      </c>
    </row>
    <row r="317" spans="1:3" x14ac:dyDescent="0.25">
      <c r="A317" t="s">
        <v>527</v>
      </c>
      <c r="B317" t="s">
        <v>20</v>
      </c>
      <c r="C317" t="s">
        <v>21</v>
      </c>
    </row>
    <row r="318" spans="1:3" x14ac:dyDescent="0.25">
      <c r="A318" t="s">
        <v>528</v>
      </c>
      <c r="B318" t="s">
        <v>20</v>
      </c>
      <c r="C318" t="s">
        <v>21</v>
      </c>
    </row>
    <row r="319" spans="1:3" x14ac:dyDescent="0.25">
      <c r="A319" t="s">
        <v>529</v>
      </c>
      <c r="B319" t="s">
        <v>20</v>
      </c>
      <c r="C319" t="s">
        <v>21</v>
      </c>
    </row>
    <row r="320" spans="1:3" x14ac:dyDescent="0.25">
      <c r="A320" t="s">
        <v>530</v>
      </c>
      <c r="B320" t="s">
        <v>27</v>
      </c>
      <c r="C320" t="s">
        <v>31</v>
      </c>
    </row>
    <row r="321" spans="1:3" x14ac:dyDescent="0.25">
      <c r="A321" t="s">
        <v>531</v>
      </c>
      <c r="B321" t="s">
        <v>27</v>
      </c>
      <c r="C321" t="s">
        <v>31</v>
      </c>
    </row>
    <row r="322" spans="1:3" x14ac:dyDescent="0.25">
      <c r="A322" t="s">
        <v>532</v>
      </c>
      <c r="B322" t="s">
        <v>27</v>
      </c>
      <c r="C322" t="s">
        <v>21</v>
      </c>
    </row>
    <row r="323" spans="1:3" x14ac:dyDescent="0.25">
      <c r="A323" t="s">
        <v>533</v>
      </c>
      <c r="B323" t="s">
        <v>27</v>
      </c>
      <c r="C323" t="s">
        <v>21</v>
      </c>
    </row>
    <row r="324" spans="1:3" x14ac:dyDescent="0.25">
      <c r="A324" t="s">
        <v>534</v>
      </c>
      <c r="B324" t="s">
        <v>20</v>
      </c>
      <c r="C324" t="s">
        <v>21</v>
      </c>
    </row>
    <row r="325" spans="1:3" x14ac:dyDescent="0.25">
      <c r="A325" t="s">
        <v>535</v>
      </c>
      <c r="B325" t="s">
        <v>20</v>
      </c>
      <c r="C325" t="s">
        <v>21</v>
      </c>
    </row>
    <row r="326" spans="1:3" x14ac:dyDescent="0.25">
      <c r="A326" t="s">
        <v>536</v>
      </c>
      <c r="B326" t="s">
        <v>20</v>
      </c>
      <c r="C326" t="s">
        <v>31</v>
      </c>
    </row>
    <row r="327" spans="1:3" x14ac:dyDescent="0.25">
      <c r="A327" t="s">
        <v>537</v>
      </c>
      <c r="B327" t="s">
        <v>20</v>
      </c>
      <c r="C327" t="s">
        <v>21</v>
      </c>
    </row>
    <row r="328" spans="1:3" x14ac:dyDescent="0.25">
      <c r="A328" t="s">
        <v>538</v>
      </c>
      <c r="B328" t="s">
        <v>27</v>
      </c>
      <c r="C328" t="s">
        <v>31</v>
      </c>
    </row>
    <row r="329" spans="1:3" x14ac:dyDescent="0.25">
      <c r="A329" t="s">
        <v>539</v>
      </c>
      <c r="B329" t="s">
        <v>27</v>
      </c>
      <c r="C329" t="s">
        <v>21</v>
      </c>
    </row>
    <row r="330" spans="1:3" x14ac:dyDescent="0.25">
      <c r="A330" t="s">
        <v>540</v>
      </c>
      <c r="B330" t="s">
        <v>27</v>
      </c>
      <c r="C330" t="s">
        <v>31</v>
      </c>
    </row>
    <row r="331" spans="1:3" x14ac:dyDescent="0.25">
      <c r="A331" t="s">
        <v>541</v>
      </c>
      <c r="B331" t="s">
        <v>20</v>
      </c>
      <c r="C331" t="s">
        <v>31</v>
      </c>
    </row>
    <row r="332" spans="1:3" x14ac:dyDescent="0.25">
      <c r="A332" t="s">
        <v>542</v>
      </c>
      <c r="B332" t="s">
        <v>20</v>
      </c>
      <c r="C332" t="s">
        <v>21</v>
      </c>
    </row>
    <row r="333" spans="1:3" x14ac:dyDescent="0.25">
      <c r="A333" t="s">
        <v>543</v>
      </c>
      <c r="B333" t="s">
        <v>27</v>
      </c>
      <c r="C333" t="s">
        <v>21</v>
      </c>
    </row>
    <row r="334" spans="1:3" x14ac:dyDescent="0.25">
      <c r="A334" t="s">
        <v>544</v>
      </c>
      <c r="B334" t="s">
        <v>20</v>
      </c>
      <c r="C334" t="s">
        <v>31</v>
      </c>
    </row>
    <row r="335" spans="1:3" x14ac:dyDescent="0.25">
      <c r="A335" t="s">
        <v>545</v>
      </c>
      <c r="B335" t="s">
        <v>20</v>
      </c>
      <c r="C335" t="s">
        <v>21</v>
      </c>
    </row>
    <row r="336" spans="1:3" x14ac:dyDescent="0.25">
      <c r="A336" t="s">
        <v>546</v>
      </c>
      <c r="B336" t="s">
        <v>20</v>
      </c>
      <c r="C336" t="s">
        <v>21</v>
      </c>
    </row>
    <row r="337" spans="1:3" x14ac:dyDescent="0.25">
      <c r="A337" t="s">
        <v>547</v>
      </c>
      <c r="B337" t="s">
        <v>27</v>
      </c>
      <c r="C337" t="s">
        <v>21</v>
      </c>
    </row>
    <row r="338" spans="1:3" x14ac:dyDescent="0.25">
      <c r="A338" t="s">
        <v>548</v>
      </c>
      <c r="B338" t="s">
        <v>27</v>
      </c>
      <c r="C338" t="s">
        <v>21</v>
      </c>
    </row>
    <row r="339" spans="1:3" x14ac:dyDescent="0.25">
      <c r="A339" t="s">
        <v>549</v>
      </c>
      <c r="B339" t="s">
        <v>27</v>
      </c>
      <c r="C339" t="s">
        <v>31</v>
      </c>
    </row>
    <row r="340" spans="1:3" x14ac:dyDescent="0.25">
      <c r="A340" t="s">
        <v>550</v>
      </c>
      <c r="B340" t="s">
        <v>20</v>
      </c>
      <c r="C340" t="s">
        <v>31</v>
      </c>
    </row>
    <row r="341" spans="1:3" x14ac:dyDescent="0.25">
      <c r="A341" t="s">
        <v>551</v>
      </c>
      <c r="B341" t="s">
        <v>20</v>
      </c>
      <c r="C341" t="s">
        <v>21</v>
      </c>
    </row>
    <row r="342" spans="1:3" x14ac:dyDescent="0.25">
      <c r="A342" t="s">
        <v>552</v>
      </c>
      <c r="B342" t="s">
        <v>20</v>
      </c>
      <c r="C342" t="s">
        <v>31</v>
      </c>
    </row>
    <row r="343" spans="1:3" x14ac:dyDescent="0.25">
      <c r="A343" t="s">
        <v>553</v>
      </c>
      <c r="B343" t="s">
        <v>20</v>
      </c>
      <c r="C343" t="s">
        <v>31</v>
      </c>
    </row>
    <row r="344" spans="1:3" x14ac:dyDescent="0.25">
      <c r="A344" t="s">
        <v>554</v>
      </c>
      <c r="B344" t="s">
        <v>27</v>
      </c>
      <c r="C344" t="s">
        <v>31</v>
      </c>
    </row>
    <row r="345" spans="1:3" x14ac:dyDescent="0.25">
      <c r="A345" t="s">
        <v>555</v>
      </c>
      <c r="B345" t="s">
        <v>20</v>
      </c>
      <c r="C345" t="s">
        <v>31</v>
      </c>
    </row>
    <row r="346" spans="1:3" x14ac:dyDescent="0.25">
      <c r="A346" t="s">
        <v>556</v>
      </c>
      <c r="B346" t="s">
        <v>27</v>
      </c>
      <c r="C346" t="s">
        <v>21</v>
      </c>
    </row>
    <row r="347" spans="1:3" x14ac:dyDescent="0.25">
      <c r="A347" t="s">
        <v>557</v>
      </c>
      <c r="B347" t="s">
        <v>20</v>
      </c>
      <c r="C347" t="s">
        <v>21</v>
      </c>
    </row>
    <row r="348" spans="1:3" x14ac:dyDescent="0.25">
      <c r="A348" t="s">
        <v>558</v>
      </c>
      <c r="B348" t="s">
        <v>20</v>
      </c>
      <c r="C348" t="s">
        <v>21</v>
      </c>
    </row>
    <row r="349" spans="1:3" x14ac:dyDescent="0.25">
      <c r="A349" t="s">
        <v>559</v>
      </c>
      <c r="B349" t="s">
        <v>27</v>
      </c>
      <c r="C349" t="s">
        <v>31</v>
      </c>
    </row>
    <row r="350" spans="1:3" x14ac:dyDescent="0.25">
      <c r="A350" t="s">
        <v>560</v>
      </c>
      <c r="B350" t="s">
        <v>27</v>
      </c>
      <c r="C350" t="s">
        <v>31</v>
      </c>
    </row>
    <row r="351" spans="1:3" x14ac:dyDescent="0.25">
      <c r="A351" t="s">
        <v>561</v>
      </c>
      <c r="B351" t="s">
        <v>20</v>
      </c>
      <c r="C351" t="s">
        <v>21</v>
      </c>
    </row>
    <row r="352" spans="1:3" x14ac:dyDescent="0.25">
      <c r="A352" t="s">
        <v>562</v>
      </c>
      <c r="B352" t="s">
        <v>27</v>
      </c>
      <c r="C352" t="s">
        <v>31</v>
      </c>
    </row>
    <row r="353" spans="1:3" x14ac:dyDescent="0.25">
      <c r="A353" t="s">
        <v>563</v>
      </c>
      <c r="B353" t="s">
        <v>20</v>
      </c>
      <c r="C353" t="s">
        <v>31</v>
      </c>
    </row>
    <row r="354" spans="1:3" x14ac:dyDescent="0.25">
      <c r="A354" t="s">
        <v>564</v>
      </c>
      <c r="B354" t="s">
        <v>20</v>
      </c>
      <c r="C354" t="s">
        <v>21</v>
      </c>
    </row>
    <row r="355" spans="1:3" x14ac:dyDescent="0.25">
      <c r="A355" t="s">
        <v>565</v>
      </c>
      <c r="B355" t="s">
        <v>27</v>
      </c>
      <c r="C355" t="s">
        <v>31</v>
      </c>
    </row>
    <row r="356" spans="1:3" x14ac:dyDescent="0.25">
      <c r="A356" t="s">
        <v>566</v>
      </c>
      <c r="B356" t="s">
        <v>27</v>
      </c>
      <c r="C356" t="s">
        <v>31</v>
      </c>
    </row>
    <row r="357" spans="1:3" x14ac:dyDescent="0.25">
      <c r="A357" t="s">
        <v>567</v>
      </c>
      <c r="B357" t="s">
        <v>20</v>
      </c>
      <c r="C357" t="s">
        <v>31</v>
      </c>
    </row>
    <row r="358" spans="1:3" x14ac:dyDescent="0.25">
      <c r="A358" t="s">
        <v>568</v>
      </c>
      <c r="B358" t="s">
        <v>27</v>
      </c>
      <c r="C358" t="s">
        <v>31</v>
      </c>
    </row>
    <row r="359" spans="1:3" x14ac:dyDescent="0.25">
      <c r="A359" t="s">
        <v>569</v>
      </c>
      <c r="B359" t="s">
        <v>27</v>
      </c>
      <c r="C359" t="s">
        <v>21</v>
      </c>
    </row>
    <row r="360" spans="1:3" x14ac:dyDescent="0.25">
      <c r="A360" t="s">
        <v>570</v>
      </c>
      <c r="B360" t="s">
        <v>27</v>
      </c>
      <c r="C360" t="s">
        <v>21</v>
      </c>
    </row>
    <row r="361" spans="1:3" x14ac:dyDescent="0.25">
      <c r="A361" t="s">
        <v>571</v>
      </c>
      <c r="B361" t="s">
        <v>27</v>
      </c>
      <c r="C361" t="s">
        <v>31</v>
      </c>
    </row>
    <row r="362" spans="1:3" x14ac:dyDescent="0.25">
      <c r="A362" t="s">
        <v>572</v>
      </c>
      <c r="B362" t="s">
        <v>20</v>
      </c>
      <c r="C362" t="s">
        <v>21</v>
      </c>
    </row>
    <row r="363" spans="1:3" x14ac:dyDescent="0.25">
      <c r="A363" t="s">
        <v>573</v>
      </c>
      <c r="B363" t="s">
        <v>27</v>
      </c>
      <c r="C363" t="s">
        <v>31</v>
      </c>
    </row>
    <row r="364" spans="1:3" x14ac:dyDescent="0.25">
      <c r="A364" t="s">
        <v>574</v>
      </c>
      <c r="B364" t="s">
        <v>27</v>
      </c>
      <c r="C364" t="s">
        <v>21</v>
      </c>
    </row>
    <row r="365" spans="1:3" x14ac:dyDescent="0.25">
      <c r="A365" t="s">
        <v>575</v>
      </c>
      <c r="B365" t="s">
        <v>20</v>
      </c>
      <c r="C365" t="s">
        <v>21</v>
      </c>
    </row>
    <row r="366" spans="1:3" x14ac:dyDescent="0.25">
      <c r="A366" t="s">
        <v>576</v>
      </c>
      <c r="B366" t="s">
        <v>27</v>
      </c>
      <c r="C366" t="s">
        <v>31</v>
      </c>
    </row>
    <row r="367" spans="1:3" x14ac:dyDescent="0.25">
      <c r="A367" t="s">
        <v>577</v>
      </c>
      <c r="B367" t="s">
        <v>20</v>
      </c>
      <c r="C367" t="s">
        <v>31</v>
      </c>
    </row>
    <row r="368" spans="1:3" x14ac:dyDescent="0.25">
      <c r="A368" t="s">
        <v>578</v>
      </c>
      <c r="B368" t="s">
        <v>20</v>
      </c>
      <c r="C368" t="s">
        <v>21</v>
      </c>
    </row>
    <row r="369" spans="1:3" x14ac:dyDescent="0.25">
      <c r="A369" t="s">
        <v>579</v>
      </c>
      <c r="B369" t="s">
        <v>20</v>
      </c>
      <c r="C369" t="s">
        <v>31</v>
      </c>
    </row>
    <row r="370" spans="1:3" x14ac:dyDescent="0.25">
      <c r="A370" t="s">
        <v>580</v>
      </c>
      <c r="B370" t="s">
        <v>27</v>
      </c>
      <c r="C370" t="s">
        <v>21</v>
      </c>
    </row>
    <row r="371" spans="1:3" x14ac:dyDescent="0.25">
      <c r="A371" t="s">
        <v>581</v>
      </c>
      <c r="B371" t="s">
        <v>20</v>
      </c>
      <c r="C371" t="s">
        <v>31</v>
      </c>
    </row>
    <row r="372" spans="1:3" x14ac:dyDescent="0.25">
      <c r="A372" t="s">
        <v>582</v>
      </c>
      <c r="B372" t="s">
        <v>27</v>
      </c>
      <c r="C372" t="s">
        <v>21</v>
      </c>
    </row>
    <row r="373" spans="1:3" x14ac:dyDescent="0.25">
      <c r="A373" t="s">
        <v>583</v>
      </c>
      <c r="B373" t="s">
        <v>27</v>
      </c>
      <c r="C373" t="s">
        <v>31</v>
      </c>
    </row>
    <row r="374" spans="1:3" x14ac:dyDescent="0.25">
      <c r="A374" t="s">
        <v>584</v>
      </c>
      <c r="B374" t="s">
        <v>27</v>
      </c>
      <c r="C374" t="s">
        <v>21</v>
      </c>
    </row>
    <row r="375" spans="1:3" x14ac:dyDescent="0.25">
      <c r="A375" t="s">
        <v>585</v>
      </c>
      <c r="B375" t="s">
        <v>27</v>
      </c>
      <c r="C375" t="s">
        <v>21</v>
      </c>
    </row>
    <row r="376" spans="1:3" x14ac:dyDescent="0.25">
      <c r="A376" t="s">
        <v>586</v>
      </c>
      <c r="B376" t="s">
        <v>27</v>
      </c>
      <c r="C376" t="s">
        <v>31</v>
      </c>
    </row>
    <row r="377" spans="1:3" x14ac:dyDescent="0.25">
      <c r="A377" t="s">
        <v>587</v>
      </c>
      <c r="B377" t="s">
        <v>27</v>
      </c>
      <c r="C377" t="s">
        <v>21</v>
      </c>
    </row>
    <row r="378" spans="1:3" x14ac:dyDescent="0.25">
      <c r="A378" t="s">
        <v>588</v>
      </c>
      <c r="B378" t="s">
        <v>27</v>
      </c>
      <c r="C378" t="s">
        <v>21</v>
      </c>
    </row>
    <row r="379" spans="1:3" x14ac:dyDescent="0.25">
      <c r="A379" t="s">
        <v>589</v>
      </c>
      <c r="B379" t="s">
        <v>27</v>
      </c>
      <c r="C379" t="s">
        <v>31</v>
      </c>
    </row>
    <row r="380" spans="1:3" x14ac:dyDescent="0.25">
      <c r="A380" t="s">
        <v>590</v>
      </c>
      <c r="B380" t="s">
        <v>20</v>
      </c>
      <c r="C380" t="s">
        <v>31</v>
      </c>
    </row>
    <row r="381" spans="1:3" x14ac:dyDescent="0.25">
      <c r="A381" t="s">
        <v>591</v>
      </c>
      <c r="B381" t="s">
        <v>27</v>
      </c>
      <c r="C381" t="s">
        <v>31</v>
      </c>
    </row>
    <row r="382" spans="1:3" x14ac:dyDescent="0.25">
      <c r="A382" t="s">
        <v>592</v>
      </c>
      <c r="B382" t="s">
        <v>20</v>
      </c>
      <c r="C382" t="s">
        <v>21</v>
      </c>
    </row>
    <row r="383" spans="1:3" x14ac:dyDescent="0.25">
      <c r="A383" t="s">
        <v>593</v>
      </c>
      <c r="B383" t="s">
        <v>20</v>
      </c>
      <c r="C383" t="s">
        <v>21</v>
      </c>
    </row>
    <row r="384" spans="1:3" x14ac:dyDescent="0.25">
      <c r="A384" t="s">
        <v>594</v>
      </c>
      <c r="B384" t="s">
        <v>20</v>
      </c>
      <c r="C384" t="s">
        <v>31</v>
      </c>
    </row>
    <row r="385" spans="1:3" x14ac:dyDescent="0.25">
      <c r="A385" t="s">
        <v>595</v>
      </c>
      <c r="B385" t="s">
        <v>20</v>
      </c>
      <c r="C385" t="s">
        <v>21</v>
      </c>
    </row>
    <row r="386" spans="1:3" x14ac:dyDescent="0.25">
      <c r="A386" t="s">
        <v>596</v>
      </c>
      <c r="B386" t="s">
        <v>27</v>
      </c>
      <c r="C386" t="s">
        <v>31</v>
      </c>
    </row>
    <row r="387" spans="1:3" x14ac:dyDescent="0.25">
      <c r="A387" t="s">
        <v>597</v>
      </c>
      <c r="B387" t="s">
        <v>27</v>
      </c>
      <c r="C387" t="s">
        <v>31</v>
      </c>
    </row>
    <row r="388" spans="1:3" x14ac:dyDescent="0.25">
      <c r="A388" t="s">
        <v>598</v>
      </c>
      <c r="B388" t="s">
        <v>27</v>
      </c>
      <c r="C388" t="s">
        <v>21</v>
      </c>
    </row>
    <row r="389" spans="1:3" x14ac:dyDescent="0.25">
      <c r="A389" t="s">
        <v>599</v>
      </c>
      <c r="B389" t="s">
        <v>20</v>
      </c>
      <c r="C389" t="s">
        <v>31</v>
      </c>
    </row>
    <row r="390" spans="1:3" x14ac:dyDescent="0.25">
      <c r="A390" t="s">
        <v>600</v>
      </c>
      <c r="B390" t="s">
        <v>27</v>
      </c>
      <c r="C390" t="s">
        <v>31</v>
      </c>
    </row>
    <row r="391" spans="1:3" x14ac:dyDescent="0.25">
      <c r="A391" t="s">
        <v>601</v>
      </c>
      <c r="B391" t="s">
        <v>27</v>
      </c>
      <c r="C391" t="s">
        <v>21</v>
      </c>
    </row>
    <row r="392" spans="1:3" x14ac:dyDescent="0.25">
      <c r="A392" t="s">
        <v>602</v>
      </c>
      <c r="B392" t="s">
        <v>27</v>
      </c>
      <c r="C392" t="s">
        <v>21</v>
      </c>
    </row>
    <row r="393" spans="1:3" x14ac:dyDescent="0.25">
      <c r="A393" t="s">
        <v>603</v>
      </c>
      <c r="B393" t="s">
        <v>27</v>
      </c>
      <c r="C393" t="s">
        <v>21</v>
      </c>
    </row>
    <row r="394" spans="1:3" x14ac:dyDescent="0.25">
      <c r="A394" t="s">
        <v>604</v>
      </c>
      <c r="B394" t="s">
        <v>27</v>
      </c>
      <c r="C394" t="s">
        <v>21</v>
      </c>
    </row>
    <row r="395" spans="1:3" x14ac:dyDescent="0.25">
      <c r="A395" t="s">
        <v>605</v>
      </c>
      <c r="B395" t="s">
        <v>27</v>
      </c>
      <c r="C395" t="s">
        <v>21</v>
      </c>
    </row>
    <row r="396" spans="1:3" x14ac:dyDescent="0.25">
      <c r="A396" t="s">
        <v>606</v>
      </c>
      <c r="B396" t="s">
        <v>20</v>
      </c>
      <c r="C396" t="s">
        <v>21</v>
      </c>
    </row>
    <row r="397" spans="1:3" x14ac:dyDescent="0.25">
      <c r="A397" t="s">
        <v>607</v>
      </c>
      <c r="B397" t="s">
        <v>20</v>
      </c>
      <c r="C397" t="s">
        <v>31</v>
      </c>
    </row>
    <row r="398" spans="1:3" x14ac:dyDescent="0.25">
      <c r="A398" t="s">
        <v>608</v>
      </c>
      <c r="B398" t="s">
        <v>20</v>
      </c>
      <c r="C398" t="s">
        <v>31</v>
      </c>
    </row>
    <row r="399" spans="1:3" x14ac:dyDescent="0.25">
      <c r="A399" t="s">
        <v>609</v>
      </c>
      <c r="B399" t="s">
        <v>27</v>
      </c>
      <c r="C399" t="s">
        <v>31</v>
      </c>
    </row>
    <row r="400" spans="1:3" x14ac:dyDescent="0.25">
      <c r="A400" t="s">
        <v>610</v>
      </c>
      <c r="B400" t="s">
        <v>27</v>
      </c>
      <c r="C400" t="s">
        <v>31</v>
      </c>
    </row>
    <row r="401" spans="1:3" x14ac:dyDescent="0.25">
      <c r="A401" t="s">
        <v>611</v>
      </c>
      <c r="B401" t="s">
        <v>20</v>
      </c>
      <c r="C401" t="s">
        <v>31</v>
      </c>
    </row>
    <row r="402" spans="1:3" x14ac:dyDescent="0.25">
      <c r="A402" t="s">
        <v>612</v>
      </c>
      <c r="B402" t="s">
        <v>27</v>
      </c>
      <c r="C402" t="s">
        <v>31</v>
      </c>
    </row>
    <row r="403" spans="1:3" x14ac:dyDescent="0.25">
      <c r="A403" t="s">
        <v>613</v>
      </c>
      <c r="B403" t="s">
        <v>27</v>
      </c>
      <c r="C403" t="s">
        <v>31</v>
      </c>
    </row>
    <row r="404" spans="1:3" x14ac:dyDescent="0.25">
      <c r="A404" t="s">
        <v>614</v>
      </c>
      <c r="B404" t="s">
        <v>27</v>
      </c>
      <c r="C404" t="s">
        <v>21</v>
      </c>
    </row>
    <row r="405" spans="1:3" x14ac:dyDescent="0.25">
      <c r="A405" t="s">
        <v>615</v>
      </c>
      <c r="B405" t="s">
        <v>27</v>
      </c>
      <c r="C405" t="s">
        <v>31</v>
      </c>
    </row>
    <row r="406" spans="1:3" x14ac:dyDescent="0.25">
      <c r="A406" t="s">
        <v>616</v>
      </c>
      <c r="B406" t="s">
        <v>27</v>
      </c>
      <c r="C406" t="s">
        <v>31</v>
      </c>
    </row>
    <row r="407" spans="1:3" x14ac:dyDescent="0.25">
      <c r="A407" t="s">
        <v>617</v>
      </c>
      <c r="B407" t="s">
        <v>20</v>
      </c>
      <c r="C407" t="s">
        <v>21</v>
      </c>
    </row>
    <row r="408" spans="1:3" x14ac:dyDescent="0.25">
      <c r="A408" t="s">
        <v>618</v>
      </c>
      <c r="B408" t="s">
        <v>20</v>
      </c>
      <c r="C408" t="s">
        <v>21</v>
      </c>
    </row>
    <row r="409" spans="1:3" x14ac:dyDescent="0.25">
      <c r="A409" t="s">
        <v>619</v>
      </c>
      <c r="B409" t="s">
        <v>20</v>
      </c>
      <c r="C409" t="s">
        <v>21</v>
      </c>
    </row>
    <row r="410" spans="1:3" x14ac:dyDescent="0.25">
      <c r="A410" t="s">
        <v>620</v>
      </c>
      <c r="B410" t="s">
        <v>27</v>
      </c>
      <c r="C410" t="s">
        <v>31</v>
      </c>
    </row>
    <row r="411" spans="1:3" x14ac:dyDescent="0.25">
      <c r="A411" t="s">
        <v>621</v>
      </c>
      <c r="B411" t="s">
        <v>27</v>
      </c>
      <c r="C411" t="s">
        <v>31</v>
      </c>
    </row>
    <row r="412" spans="1:3" x14ac:dyDescent="0.25">
      <c r="A412" t="s">
        <v>622</v>
      </c>
      <c r="B412" t="s">
        <v>27</v>
      </c>
      <c r="C412" t="s">
        <v>21</v>
      </c>
    </row>
    <row r="413" spans="1:3" x14ac:dyDescent="0.25">
      <c r="A413" t="s">
        <v>623</v>
      </c>
      <c r="B413" t="s">
        <v>27</v>
      </c>
      <c r="C413" t="s">
        <v>21</v>
      </c>
    </row>
    <row r="414" spans="1:3" x14ac:dyDescent="0.25">
      <c r="A414" t="s">
        <v>624</v>
      </c>
      <c r="B414" t="s">
        <v>27</v>
      </c>
      <c r="C414" t="s">
        <v>31</v>
      </c>
    </row>
    <row r="415" spans="1:3" x14ac:dyDescent="0.25">
      <c r="A415" t="s">
        <v>625</v>
      </c>
      <c r="B415" t="s">
        <v>27</v>
      </c>
      <c r="C415" t="s">
        <v>31</v>
      </c>
    </row>
    <row r="416" spans="1:3" x14ac:dyDescent="0.25">
      <c r="A416" t="s">
        <v>626</v>
      </c>
      <c r="B416" t="s">
        <v>20</v>
      </c>
      <c r="C416" t="s">
        <v>31</v>
      </c>
    </row>
    <row r="417" spans="1:3" x14ac:dyDescent="0.25">
      <c r="A417" t="s">
        <v>627</v>
      </c>
      <c r="B417" t="s">
        <v>20</v>
      </c>
      <c r="C417" t="s">
        <v>21</v>
      </c>
    </row>
    <row r="418" spans="1:3" x14ac:dyDescent="0.25">
      <c r="A418" t="s">
        <v>628</v>
      </c>
      <c r="B418" t="s">
        <v>20</v>
      </c>
      <c r="C418" t="s">
        <v>21</v>
      </c>
    </row>
    <row r="419" spans="1:3" x14ac:dyDescent="0.25">
      <c r="A419" t="s">
        <v>629</v>
      </c>
      <c r="B419" t="s">
        <v>20</v>
      </c>
      <c r="C419" t="s">
        <v>21</v>
      </c>
    </row>
    <row r="420" spans="1:3" x14ac:dyDescent="0.25">
      <c r="A420" t="s">
        <v>630</v>
      </c>
      <c r="B420" t="s">
        <v>20</v>
      </c>
      <c r="C420" t="s">
        <v>31</v>
      </c>
    </row>
    <row r="421" spans="1:3" x14ac:dyDescent="0.25">
      <c r="A421" t="s">
        <v>631</v>
      </c>
      <c r="B421" t="s">
        <v>27</v>
      </c>
      <c r="C421" t="s">
        <v>31</v>
      </c>
    </row>
    <row r="422" spans="1:3" x14ac:dyDescent="0.25">
      <c r="A422" t="s">
        <v>632</v>
      </c>
      <c r="B422" t="s">
        <v>27</v>
      </c>
      <c r="C422" t="s">
        <v>31</v>
      </c>
    </row>
    <row r="423" spans="1:3" x14ac:dyDescent="0.25">
      <c r="A423" t="s">
        <v>633</v>
      </c>
      <c r="B423" t="s">
        <v>27</v>
      </c>
      <c r="C423" t="s">
        <v>21</v>
      </c>
    </row>
    <row r="424" spans="1:3" x14ac:dyDescent="0.25">
      <c r="A424" t="s">
        <v>634</v>
      </c>
      <c r="B424" t="s">
        <v>27</v>
      </c>
      <c r="C424" t="s">
        <v>21</v>
      </c>
    </row>
    <row r="425" spans="1:3" x14ac:dyDescent="0.25">
      <c r="A425" t="s">
        <v>635</v>
      </c>
      <c r="B425" t="s">
        <v>20</v>
      </c>
      <c r="C425" t="s">
        <v>21</v>
      </c>
    </row>
    <row r="426" spans="1:3" x14ac:dyDescent="0.25">
      <c r="A426" t="s">
        <v>636</v>
      </c>
      <c r="B426" t="s">
        <v>27</v>
      </c>
      <c r="C426" t="s">
        <v>31</v>
      </c>
    </row>
    <row r="427" spans="1:3" x14ac:dyDescent="0.25">
      <c r="A427" t="s">
        <v>637</v>
      </c>
      <c r="B427" t="s">
        <v>27</v>
      </c>
      <c r="C427" t="s">
        <v>21</v>
      </c>
    </row>
    <row r="428" spans="1:3" x14ac:dyDescent="0.25">
      <c r="A428" t="s">
        <v>638</v>
      </c>
      <c r="B428" t="s">
        <v>27</v>
      </c>
      <c r="C428" t="s">
        <v>31</v>
      </c>
    </row>
    <row r="429" spans="1:3" x14ac:dyDescent="0.25">
      <c r="A429" t="s">
        <v>639</v>
      </c>
      <c r="B429" t="s">
        <v>27</v>
      </c>
      <c r="C429" t="s">
        <v>21</v>
      </c>
    </row>
    <row r="430" spans="1:3" x14ac:dyDescent="0.25">
      <c r="A430" t="s">
        <v>640</v>
      </c>
      <c r="B430" t="s">
        <v>20</v>
      </c>
      <c r="C430" t="s">
        <v>21</v>
      </c>
    </row>
    <row r="431" spans="1:3" x14ac:dyDescent="0.25">
      <c r="A431" t="s">
        <v>641</v>
      </c>
      <c r="B431" t="s">
        <v>27</v>
      </c>
      <c r="C431" t="s">
        <v>31</v>
      </c>
    </row>
    <row r="432" spans="1:3" x14ac:dyDescent="0.25">
      <c r="A432" t="s">
        <v>642</v>
      </c>
      <c r="B432" t="s">
        <v>20</v>
      </c>
      <c r="C432" t="s">
        <v>21</v>
      </c>
    </row>
    <row r="433" spans="1:3" x14ac:dyDescent="0.25">
      <c r="A433" t="s">
        <v>643</v>
      </c>
      <c r="B433" t="s">
        <v>20</v>
      </c>
      <c r="C433" t="s">
        <v>21</v>
      </c>
    </row>
    <row r="434" spans="1:3" x14ac:dyDescent="0.25">
      <c r="A434" t="s">
        <v>644</v>
      </c>
      <c r="B434" t="s">
        <v>27</v>
      </c>
      <c r="C434" t="s">
        <v>31</v>
      </c>
    </row>
    <row r="435" spans="1:3" x14ac:dyDescent="0.25">
      <c r="A435" t="s">
        <v>645</v>
      </c>
      <c r="B435" t="s">
        <v>20</v>
      </c>
      <c r="C435" t="s">
        <v>31</v>
      </c>
    </row>
    <row r="436" spans="1:3" x14ac:dyDescent="0.25">
      <c r="A436" t="s">
        <v>646</v>
      </c>
      <c r="B436" t="s">
        <v>27</v>
      </c>
      <c r="C436" t="s">
        <v>21</v>
      </c>
    </row>
    <row r="437" spans="1:3" x14ac:dyDescent="0.25">
      <c r="A437" t="s">
        <v>647</v>
      </c>
      <c r="B437" t="s">
        <v>20</v>
      </c>
      <c r="C437" t="s">
        <v>21</v>
      </c>
    </row>
    <row r="438" spans="1:3" x14ac:dyDescent="0.25">
      <c r="A438" t="s">
        <v>648</v>
      </c>
      <c r="B438" t="s">
        <v>20</v>
      </c>
      <c r="C438" t="s">
        <v>31</v>
      </c>
    </row>
    <row r="439" spans="1:3" x14ac:dyDescent="0.25">
      <c r="A439" t="s">
        <v>649</v>
      </c>
      <c r="B439" t="s">
        <v>20</v>
      </c>
      <c r="C439" t="s">
        <v>31</v>
      </c>
    </row>
    <row r="440" spans="1:3" x14ac:dyDescent="0.25">
      <c r="A440" t="s">
        <v>650</v>
      </c>
      <c r="B440" t="s">
        <v>20</v>
      </c>
      <c r="C440" t="s">
        <v>31</v>
      </c>
    </row>
    <row r="441" spans="1:3" x14ac:dyDescent="0.25">
      <c r="A441" t="s">
        <v>651</v>
      </c>
      <c r="B441" t="s">
        <v>20</v>
      </c>
      <c r="C441" t="s">
        <v>21</v>
      </c>
    </row>
    <row r="442" spans="1:3" x14ac:dyDescent="0.25">
      <c r="A442" t="s">
        <v>652</v>
      </c>
      <c r="B442" t="s">
        <v>20</v>
      </c>
      <c r="C442" t="s">
        <v>31</v>
      </c>
    </row>
    <row r="443" spans="1:3" x14ac:dyDescent="0.25">
      <c r="A443" t="s">
        <v>653</v>
      </c>
      <c r="B443" t="s">
        <v>20</v>
      </c>
      <c r="C443" t="s">
        <v>31</v>
      </c>
    </row>
    <row r="444" spans="1:3" x14ac:dyDescent="0.25">
      <c r="A444" t="s">
        <v>654</v>
      </c>
      <c r="B444" t="s">
        <v>20</v>
      </c>
      <c r="C444" t="s">
        <v>31</v>
      </c>
    </row>
    <row r="445" spans="1:3" x14ac:dyDescent="0.25">
      <c r="A445" t="s">
        <v>655</v>
      </c>
      <c r="B445" t="s">
        <v>20</v>
      </c>
      <c r="C445" t="s">
        <v>21</v>
      </c>
    </row>
    <row r="446" spans="1:3" x14ac:dyDescent="0.25">
      <c r="A446" t="s">
        <v>656</v>
      </c>
      <c r="B446" t="s">
        <v>27</v>
      </c>
      <c r="C446" t="s">
        <v>21</v>
      </c>
    </row>
    <row r="447" spans="1:3" x14ac:dyDescent="0.25">
      <c r="A447" t="s">
        <v>657</v>
      </c>
      <c r="B447" t="s">
        <v>20</v>
      </c>
      <c r="C447" t="s">
        <v>21</v>
      </c>
    </row>
    <row r="448" spans="1:3" x14ac:dyDescent="0.25">
      <c r="A448" t="s">
        <v>658</v>
      </c>
      <c r="B448" t="s">
        <v>20</v>
      </c>
      <c r="C448" t="s">
        <v>21</v>
      </c>
    </row>
    <row r="449" spans="1:3" x14ac:dyDescent="0.25">
      <c r="A449" t="s">
        <v>659</v>
      </c>
      <c r="B449" t="s">
        <v>27</v>
      </c>
      <c r="C449" t="s">
        <v>21</v>
      </c>
    </row>
    <row r="450" spans="1:3" x14ac:dyDescent="0.25">
      <c r="A450" t="s">
        <v>660</v>
      </c>
      <c r="B450" t="s">
        <v>20</v>
      </c>
      <c r="C450" t="s">
        <v>31</v>
      </c>
    </row>
    <row r="451" spans="1:3" x14ac:dyDescent="0.25">
      <c r="A451" t="s">
        <v>661</v>
      </c>
      <c r="B451" t="s">
        <v>20</v>
      </c>
      <c r="C451" t="s">
        <v>21</v>
      </c>
    </row>
    <row r="452" spans="1:3" x14ac:dyDescent="0.25">
      <c r="A452" t="s">
        <v>662</v>
      </c>
      <c r="B452" t="s">
        <v>27</v>
      </c>
      <c r="C452" t="s">
        <v>31</v>
      </c>
    </row>
    <row r="453" spans="1:3" x14ac:dyDescent="0.25">
      <c r="A453" t="s">
        <v>663</v>
      </c>
      <c r="B453" t="s">
        <v>20</v>
      </c>
      <c r="C453" t="s">
        <v>31</v>
      </c>
    </row>
    <row r="454" spans="1:3" x14ac:dyDescent="0.25">
      <c r="A454" t="s">
        <v>664</v>
      </c>
      <c r="B454" t="s">
        <v>20</v>
      </c>
      <c r="C454" t="s">
        <v>31</v>
      </c>
    </row>
    <row r="455" spans="1:3" x14ac:dyDescent="0.25">
      <c r="A455" t="s">
        <v>665</v>
      </c>
      <c r="B455" t="s">
        <v>27</v>
      </c>
      <c r="C455" t="s">
        <v>21</v>
      </c>
    </row>
    <row r="456" spans="1:3" x14ac:dyDescent="0.25">
      <c r="A456" t="s">
        <v>666</v>
      </c>
      <c r="B456" t="s">
        <v>27</v>
      </c>
      <c r="C456" t="s">
        <v>31</v>
      </c>
    </row>
    <row r="457" spans="1:3" x14ac:dyDescent="0.25">
      <c r="A457" t="s">
        <v>667</v>
      </c>
      <c r="B457" t="s">
        <v>27</v>
      </c>
      <c r="C457" t="s">
        <v>31</v>
      </c>
    </row>
    <row r="458" spans="1:3" x14ac:dyDescent="0.25">
      <c r="A458" t="s">
        <v>668</v>
      </c>
      <c r="B458" t="s">
        <v>20</v>
      </c>
      <c r="C458" t="s">
        <v>31</v>
      </c>
    </row>
    <row r="459" spans="1:3" x14ac:dyDescent="0.25">
      <c r="A459" t="s">
        <v>669</v>
      </c>
      <c r="B459" t="s">
        <v>27</v>
      </c>
      <c r="C459" t="s">
        <v>31</v>
      </c>
    </row>
    <row r="460" spans="1:3" x14ac:dyDescent="0.25">
      <c r="A460" t="s">
        <v>670</v>
      </c>
      <c r="B460" t="s">
        <v>20</v>
      </c>
      <c r="C460" t="s">
        <v>31</v>
      </c>
    </row>
    <row r="461" spans="1:3" x14ac:dyDescent="0.25">
      <c r="A461" t="s">
        <v>671</v>
      </c>
      <c r="B461" t="s">
        <v>20</v>
      </c>
      <c r="C461" t="s">
        <v>31</v>
      </c>
    </row>
    <row r="462" spans="1:3" x14ac:dyDescent="0.25">
      <c r="A462" t="s">
        <v>672</v>
      </c>
      <c r="B462" t="s">
        <v>27</v>
      </c>
      <c r="C462" t="s">
        <v>31</v>
      </c>
    </row>
    <row r="463" spans="1:3" x14ac:dyDescent="0.25">
      <c r="A463" t="s">
        <v>673</v>
      </c>
      <c r="B463" t="s">
        <v>27</v>
      </c>
      <c r="C463" t="s">
        <v>21</v>
      </c>
    </row>
    <row r="464" spans="1:3" x14ac:dyDescent="0.25">
      <c r="A464" t="s">
        <v>674</v>
      </c>
      <c r="B464" t="s">
        <v>20</v>
      </c>
      <c r="C464" t="s">
        <v>21</v>
      </c>
    </row>
    <row r="465" spans="1:3" x14ac:dyDescent="0.25">
      <c r="A465" t="s">
        <v>675</v>
      </c>
      <c r="B465" t="s">
        <v>27</v>
      </c>
      <c r="C465" t="s">
        <v>31</v>
      </c>
    </row>
    <row r="466" spans="1:3" x14ac:dyDescent="0.25">
      <c r="A466" t="s">
        <v>676</v>
      </c>
      <c r="B466" t="s">
        <v>20</v>
      </c>
      <c r="C466" t="s">
        <v>21</v>
      </c>
    </row>
    <row r="467" spans="1:3" x14ac:dyDescent="0.25">
      <c r="A467" t="s">
        <v>677</v>
      </c>
      <c r="B467" t="s">
        <v>20</v>
      </c>
      <c r="C467" t="s">
        <v>21</v>
      </c>
    </row>
    <row r="468" spans="1:3" x14ac:dyDescent="0.25">
      <c r="A468" t="s">
        <v>678</v>
      </c>
      <c r="B468" t="s">
        <v>20</v>
      </c>
      <c r="C468" t="s">
        <v>31</v>
      </c>
    </row>
    <row r="469" spans="1:3" x14ac:dyDescent="0.25">
      <c r="A469" t="s">
        <v>679</v>
      </c>
      <c r="B469" t="s">
        <v>20</v>
      </c>
      <c r="C469" t="s">
        <v>21</v>
      </c>
    </row>
    <row r="470" spans="1:3" x14ac:dyDescent="0.25">
      <c r="A470" t="s">
        <v>680</v>
      </c>
      <c r="B470" t="s">
        <v>20</v>
      </c>
      <c r="C470" t="s">
        <v>31</v>
      </c>
    </row>
    <row r="471" spans="1:3" x14ac:dyDescent="0.25">
      <c r="A471" t="s">
        <v>681</v>
      </c>
      <c r="B471" t="s">
        <v>20</v>
      </c>
      <c r="C471" t="s">
        <v>31</v>
      </c>
    </row>
    <row r="472" spans="1:3" x14ac:dyDescent="0.25">
      <c r="A472" t="s">
        <v>682</v>
      </c>
      <c r="B472" t="s">
        <v>27</v>
      </c>
      <c r="C472" t="s">
        <v>31</v>
      </c>
    </row>
    <row r="473" spans="1:3" x14ac:dyDescent="0.25">
      <c r="A473" t="s">
        <v>683</v>
      </c>
      <c r="B473" t="s">
        <v>20</v>
      </c>
      <c r="C473" t="s">
        <v>31</v>
      </c>
    </row>
    <row r="474" spans="1:3" x14ac:dyDescent="0.25">
      <c r="A474" t="s">
        <v>684</v>
      </c>
      <c r="B474" t="s">
        <v>20</v>
      </c>
      <c r="C474" t="s">
        <v>21</v>
      </c>
    </row>
    <row r="475" spans="1:3" x14ac:dyDescent="0.25">
      <c r="A475" t="s">
        <v>685</v>
      </c>
      <c r="B475" t="s">
        <v>27</v>
      </c>
      <c r="C475" t="s">
        <v>31</v>
      </c>
    </row>
    <row r="476" spans="1:3" x14ac:dyDescent="0.25">
      <c r="A476" t="s">
        <v>686</v>
      </c>
      <c r="B476" t="s">
        <v>27</v>
      </c>
      <c r="C476" t="s">
        <v>31</v>
      </c>
    </row>
    <row r="477" spans="1:3" x14ac:dyDescent="0.25">
      <c r="A477" t="s">
        <v>687</v>
      </c>
      <c r="B477" t="s">
        <v>27</v>
      </c>
      <c r="C477" t="s">
        <v>21</v>
      </c>
    </row>
    <row r="478" spans="1:3" x14ac:dyDescent="0.25">
      <c r="A478" t="s">
        <v>688</v>
      </c>
      <c r="B478" t="s">
        <v>20</v>
      </c>
      <c r="C478" t="s">
        <v>31</v>
      </c>
    </row>
    <row r="479" spans="1:3" x14ac:dyDescent="0.25">
      <c r="A479" t="s">
        <v>689</v>
      </c>
      <c r="B479" t="s">
        <v>20</v>
      </c>
      <c r="C479" t="s">
        <v>31</v>
      </c>
    </row>
    <row r="480" spans="1:3" x14ac:dyDescent="0.25">
      <c r="A480" t="s">
        <v>690</v>
      </c>
      <c r="B480" t="s">
        <v>20</v>
      </c>
      <c r="C480" t="s">
        <v>31</v>
      </c>
    </row>
    <row r="481" spans="1:3" x14ac:dyDescent="0.25">
      <c r="A481" t="s">
        <v>691</v>
      </c>
      <c r="B481" t="s">
        <v>27</v>
      </c>
      <c r="C481" t="s">
        <v>21</v>
      </c>
    </row>
    <row r="482" spans="1:3" x14ac:dyDescent="0.25">
      <c r="A482" t="s">
        <v>692</v>
      </c>
      <c r="B482" t="s">
        <v>27</v>
      </c>
      <c r="C482" t="s">
        <v>21</v>
      </c>
    </row>
    <row r="483" spans="1:3" x14ac:dyDescent="0.25">
      <c r="A483" t="s">
        <v>693</v>
      </c>
      <c r="B483" t="s">
        <v>20</v>
      </c>
      <c r="C483" t="s">
        <v>21</v>
      </c>
    </row>
    <row r="484" spans="1:3" x14ac:dyDescent="0.25">
      <c r="A484" t="s">
        <v>694</v>
      </c>
      <c r="B484" t="s">
        <v>20</v>
      </c>
      <c r="C484" t="s">
        <v>21</v>
      </c>
    </row>
    <row r="485" spans="1:3" x14ac:dyDescent="0.25">
      <c r="A485" t="s">
        <v>695</v>
      </c>
      <c r="B485" t="s">
        <v>20</v>
      </c>
      <c r="C485" t="s">
        <v>31</v>
      </c>
    </row>
    <row r="486" spans="1:3" x14ac:dyDescent="0.25">
      <c r="A486" t="s">
        <v>696</v>
      </c>
      <c r="B486" t="s">
        <v>27</v>
      </c>
      <c r="C486" t="s">
        <v>21</v>
      </c>
    </row>
    <row r="487" spans="1:3" x14ac:dyDescent="0.25">
      <c r="A487" t="s">
        <v>697</v>
      </c>
      <c r="B487" t="s">
        <v>20</v>
      </c>
      <c r="C487" t="s">
        <v>31</v>
      </c>
    </row>
    <row r="488" spans="1:3" x14ac:dyDescent="0.25">
      <c r="A488" t="s">
        <v>698</v>
      </c>
      <c r="B488" t="s">
        <v>20</v>
      </c>
      <c r="C488" t="s">
        <v>21</v>
      </c>
    </row>
    <row r="489" spans="1:3" x14ac:dyDescent="0.25">
      <c r="A489" t="s">
        <v>699</v>
      </c>
      <c r="B489" t="s">
        <v>20</v>
      </c>
      <c r="C489" t="s">
        <v>21</v>
      </c>
    </row>
    <row r="490" spans="1:3" x14ac:dyDescent="0.25">
      <c r="A490" t="s">
        <v>700</v>
      </c>
      <c r="B490" t="s">
        <v>27</v>
      </c>
      <c r="C490" t="s">
        <v>21</v>
      </c>
    </row>
    <row r="491" spans="1:3" x14ac:dyDescent="0.25">
      <c r="A491" t="s">
        <v>701</v>
      </c>
      <c r="B491" t="s">
        <v>27</v>
      </c>
      <c r="C491" t="s">
        <v>21</v>
      </c>
    </row>
    <row r="492" spans="1:3" x14ac:dyDescent="0.25">
      <c r="A492" t="s">
        <v>702</v>
      </c>
      <c r="B492" t="s">
        <v>20</v>
      </c>
      <c r="C492" t="s">
        <v>31</v>
      </c>
    </row>
    <row r="493" spans="1:3" x14ac:dyDescent="0.25">
      <c r="A493" t="s">
        <v>703</v>
      </c>
      <c r="B493" t="s">
        <v>27</v>
      </c>
      <c r="C493" t="s">
        <v>21</v>
      </c>
    </row>
    <row r="494" spans="1:3" x14ac:dyDescent="0.25">
      <c r="A494" t="s">
        <v>704</v>
      </c>
      <c r="B494" t="s">
        <v>20</v>
      </c>
      <c r="C494" t="s">
        <v>21</v>
      </c>
    </row>
    <row r="495" spans="1:3" x14ac:dyDescent="0.25">
      <c r="A495" t="s">
        <v>705</v>
      </c>
      <c r="B495" t="s">
        <v>27</v>
      </c>
      <c r="C495" t="s">
        <v>21</v>
      </c>
    </row>
    <row r="496" spans="1:3" x14ac:dyDescent="0.25">
      <c r="A496" t="s">
        <v>706</v>
      </c>
      <c r="B496" t="s">
        <v>20</v>
      </c>
      <c r="C496" t="s">
        <v>31</v>
      </c>
    </row>
    <row r="497" spans="1:3" x14ac:dyDescent="0.25">
      <c r="A497" t="s">
        <v>707</v>
      </c>
      <c r="B497" t="s">
        <v>20</v>
      </c>
      <c r="C497" t="s">
        <v>31</v>
      </c>
    </row>
    <row r="498" spans="1:3" x14ac:dyDescent="0.25">
      <c r="A498" t="s">
        <v>708</v>
      </c>
      <c r="B498" t="s">
        <v>27</v>
      </c>
      <c r="C498" t="s">
        <v>21</v>
      </c>
    </row>
    <row r="499" spans="1:3" x14ac:dyDescent="0.25">
      <c r="A499" t="s">
        <v>709</v>
      </c>
      <c r="B499" t="s">
        <v>27</v>
      </c>
      <c r="C499" t="s">
        <v>31</v>
      </c>
    </row>
    <row r="500" spans="1:3" x14ac:dyDescent="0.25">
      <c r="A500" t="s">
        <v>710</v>
      </c>
      <c r="B500" t="s">
        <v>27</v>
      </c>
      <c r="C500" t="s">
        <v>21</v>
      </c>
    </row>
    <row r="501" spans="1:3" x14ac:dyDescent="0.25">
      <c r="A501" t="s">
        <v>711</v>
      </c>
      <c r="B501" t="s">
        <v>20</v>
      </c>
      <c r="C501" t="s">
        <v>31</v>
      </c>
    </row>
    <row r="502" spans="1:3" x14ac:dyDescent="0.25">
      <c r="A502" t="s">
        <v>712</v>
      </c>
      <c r="B502" t="s">
        <v>20</v>
      </c>
      <c r="C502" t="s">
        <v>21</v>
      </c>
    </row>
    <row r="503" spans="1:3" x14ac:dyDescent="0.25">
      <c r="A503" t="s">
        <v>713</v>
      </c>
      <c r="B503" t="s">
        <v>20</v>
      </c>
      <c r="C503" t="s">
        <v>21</v>
      </c>
    </row>
    <row r="504" spans="1:3" x14ac:dyDescent="0.25">
      <c r="A504" t="s">
        <v>714</v>
      </c>
      <c r="B504" t="s">
        <v>27</v>
      </c>
      <c r="C504" t="s">
        <v>31</v>
      </c>
    </row>
    <row r="505" spans="1:3" x14ac:dyDescent="0.25">
      <c r="A505" t="s">
        <v>715</v>
      </c>
      <c r="B505" t="s">
        <v>20</v>
      </c>
      <c r="C505" t="s">
        <v>31</v>
      </c>
    </row>
    <row r="506" spans="1:3" x14ac:dyDescent="0.25">
      <c r="A506" t="s">
        <v>716</v>
      </c>
      <c r="B506" t="s">
        <v>20</v>
      </c>
      <c r="C506" t="s">
        <v>21</v>
      </c>
    </row>
    <row r="507" spans="1:3" x14ac:dyDescent="0.25">
      <c r="A507" t="s">
        <v>717</v>
      </c>
      <c r="B507" t="s">
        <v>27</v>
      </c>
      <c r="C507" t="s">
        <v>21</v>
      </c>
    </row>
    <row r="508" spans="1:3" x14ac:dyDescent="0.25">
      <c r="A508" t="s">
        <v>718</v>
      </c>
      <c r="B508" t="s">
        <v>27</v>
      </c>
      <c r="C508" t="s">
        <v>21</v>
      </c>
    </row>
    <row r="509" spans="1:3" x14ac:dyDescent="0.25">
      <c r="A509" t="s">
        <v>719</v>
      </c>
      <c r="B509" t="s">
        <v>20</v>
      </c>
      <c r="C509" t="s">
        <v>31</v>
      </c>
    </row>
    <row r="510" spans="1:3" x14ac:dyDescent="0.25">
      <c r="A510" t="s">
        <v>720</v>
      </c>
      <c r="B510" t="s">
        <v>20</v>
      </c>
      <c r="C510" t="s">
        <v>21</v>
      </c>
    </row>
    <row r="511" spans="1:3" x14ac:dyDescent="0.25">
      <c r="A511" t="s">
        <v>721</v>
      </c>
      <c r="B511" t="s">
        <v>20</v>
      </c>
      <c r="C511" t="s">
        <v>21</v>
      </c>
    </row>
    <row r="512" spans="1:3" x14ac:dyDescent="0.25">
      <c r="A512" t="s">
        <v>722</v>
      </c>
      <c r="B512" t="s">
        <v>20</v>
      </c>
      <c r="C512" t="s">
        <v>21</v>
      </c>
    </row>
    <row r="513" spans="1:3" x14ac:dyDescent="0.25">
      <c r="A513" t="s">
        <v>723</v>
      </c>
      <c r="B513" t="s">
        <v>20</v>
      </c>
      <c r="C513" t="s">
        <v>31</v>
      </c>
    </row>
    <row r="514" spans="1:3" x14ac:dyDescent="0.25">
      <c r="A514" t="s">
        <v>724</v>
      </c>
      <c r="B514" t="s">
        <v>20</v>
      </c>
      <c r="C514" t="s">
        <v>31</v>
      </c>
    </row>
    <row r="515" spans="1:3" x14ac:dyDescent="0.25">
      <c r="A515" t="s">
        <v>725</v>
      </c>
      <c r="B515" t="s">
        <v>27</v>
      </c>
      <c r="C515" t="s">
        <v>21</v>
      </c>
    </row>
    <row r="516" spans="1:3" x14ac:dyDescent="0.25">
      <c r="A516" t="s">
        <v>726</v>
      </c>
      <c r="B516" t="s">
        <v>20</v>
      </c>
      <c r="C516" t="s">
        <v>21</v>
      </c>
    </row>
    <row r="517" spans="1:3" x14ac:dyDescent="0.25">
      <c r="A517" t="s">
        <v>727</v>
      </c>
      <c r="B517" t="s">
        <v>20</v>
      </c>
      <c r="C517" t="s">
        <v>31</v>
      </c>
    </row>
    <row r="518" spans="1:3" x14ac:dyDescent="0.25">
      <c r="A518" t="s">
        <v>728</v>
      </c>
      <c r="B518" t="s">
        <v>20</v>
      </c>
      <c r="C518" t="s">
        <v>31</v>
      </c>
    </row>
    <row r="519" spans="1:3" x14ac:dyDescent="0.25">
      <c r="A519" t="s">
        <v>729</v>
      </c>
      <c r="B519" t="s">
        <v>20</v>
      </c>
      <c r="C519" t="s">
        <v>21</v>
      </c>
    </row>
    <row r="520" spans="1:3" x14ac:dyDescent="0.25">
      <c r="A520" t="s">
        <v>730</v>
      </c>
      <c r="B520" t="s">
        <v>27</v>
      </c>
      <c r="C520" t="s">
        <v>21</v>
      </c>
    </row>
    <row r="521" spans="1:3" x14ac:dyDescent="0.25">
      <c r="A521" t="s">
        <v>731</v>
      </c>
      <c r="B521" t="s">
        <v>20</v>
      </c>
      <c r="C521" t="s">
        <v>21</v>
      </c>
    </row>
    <row r="522" spans="1:3" x14ac:dyDescent="0.25">
      <c r="A522" t="s">
        <v>732</v>
      </c>
      <c r="B522" t="s">
        <v>20</v>
      </c>
      <c r="C522" t="s">
        <v>21</v>
      </c>
    </row>
    <row r="523" spans="1:3" x14ac:dyDescent="0.25">
      <c r="A523" t="s">
        <v>733</v>
      </c>
      <c r="B523" t="s">
        <v>27</v>
      </c>
      <c r="C523" t="s">
        <v>31</v>
      </c>
    </row>
    <row r="524" spans="1:3" x14ac:dyDescent="0.25">
      <c r="A524" t="s">
        <v>734</v>
      </c>
      <c r="B524" t="s">
        <v>20</v>
      </c>
      <c r="C524" t="s">
        <v>31</v>
      </c>
    </row>
    <row r="525" spans="1:3" x14ac:dyDescent="0.25">
      <c r="A525" t="s">
        <v>735</v>
      </c>
      <c r="B525" t="s">
        <v>27</v>
      </c>
      <c r="C525" t="s">
        <v>31</v>
      </c>
    </row>
    <row r="526" spans="1:3" x14ac:dyDescent="0.25">
      <c r="A526" t="s">
        <v>736</v>
      </c>
      <c r="B526" t="s">
        <v>27</v>
      </c>
      <c r="C526" t="s">
        <v>21</v>
      </c>
    </row>
    <row r="527" spans="1:3" x14ac:dyDescent="0.25">
      <c r="A527" t="s">
        <v>737</v>
      </c>
      <c r="B527" t="s">
        <v>27</v>
      </c>
      <c r="C527" t="s">
        <v>31</v>
      </c>
    </row>
    <row r="528" spans="1:3" x14ac:dyDescent="0.25">
      <c r="A528" t="s">
        <v>738</v>
      </c>
      <c r="B528" t="s">
        <v>20</v>
      </c>
      <c r="C528" t="s">
        <v>21</v>
      </c>
    </row>
    <row r="529" spans="1:3" x14ac:dyDescent="0.25">
      <c r="A529" t="s">
        <v>739</v>
      </c>
      <c r="B529" t="s">
        <v>20</v>
      </c>
      <c r="C529" t="s">
        <v>31</v>
      </c>
    </row>
    <row r="530" spans="1:3" x14ac:dyDescent="0.25">
      <c r="A530" t="s">
        <v>740</v>
      </c>
      <c r="B530" t="s">
        <v>20</v>
      </c>
      <c r="C530" t="s">
        <v>21</v>
      </c>
    </row>
    <row r="531" spans="1:3" x14ac:dyDescent="0.25">
      <c r="A531" t="s">
        <v>741</v>
      </c>
      <c r="B531" t="s">
        <v>27</v>
      </c>
      <c r="C531" t="s">
        <v>31</v>
      </c>
    </row>
    <row r="532" spans="1:3" x14ac:dyDescent="0.25">
      <c r="A532" t="s">
        <v>742</v>
      </c>
      <c r="B532" t="s">
        <v>27</v>
      </c>
      <c r="C532" t="s">
        <v>21</v>
      </c>
    </row>
    <row r="533" spans="1:3" x14ac:dyDescent="0.25">
      <c r="A533" t="s">
        <v>743</v>
      </c>
      <c r="B533" t="s">
        <v>20</v>
      </c>
      <c r="C533" t="s">
        <v>31</v>
      </c>
    </row>
    <row r="534" spans="1:3" x14ac:dyDescent="0.25">
      <c r="A534" t="s">
        <v>744</v>
      </c>
      <c r="B534" t="s">
        <v>27</v>
      </c>
      <c r="C534" t="s">
        <v>31</v>
      </c>
    </row>
    <row r="535" spans="1:3" x14ac:dyDescent="0.25">
      <c r="A535" t="s">
        <v>745</v>
      </c>
      <c r="B535" t="s">
        <v>27</v>
      </c>
      <c r="C535" t="s">
        <v>31</v>
      </c>
    </row>
    <row r="536" spans="1:3" x14ac:dyDescent="0.25">
      <c r="A536" t="s">
        <v>746</v>
      </c>
      <c r="B536" t="s">
        <v>20</v>
      </c>
      <c r="C536" t="s">
        <v>31</v>
      </c>
    </row>
    <row r="537" spans="1:3" x14ac:dyDescent="0.25">
      <c r="A537" t="s">
        <v>747</v>
      </c>
      <c r="B537" t="s">
        <v>20</v>
      </c>
      <c r="C537" t="s">
        <v>21</v>
      </c>
    </row>
    <row r="538" spans="1:3" x14ac:dyDescent="0.25">
      <c r="A538" t="s">
        <v>748</v>
      </c>
      <c r="B538" t="s">
        <v>27</v>
      </c>
      <c r="C538" t="s">
        <v>21</v>
      </c>
    </row>
    <row r="539" spans="1:3" x14ac:dyDescent="0.25">
      <c r="A539" t="s">
        <v>749</v>
      </c>
      <c r="B539" t="s">
        <v>27</v>
      </c>
      <c r="C539" t="s">
        <v>21</v>
      </c>
    </row>
    <row r="540" spans="1:3" x14ac:dyDescent="0.25">
      <c r="A540" t="s">
        <v>750</v>
      </c>
      <c r="B540" t="s">
        <v>20</v>
      </c>
      <c r="C540" t="s">
        <v>31</v>
      </c>
    </row>
    <row r="541" spans="1:3" x14ac:dyDescent="0.25">
      <c r="A541" t="s">
        <v>751</v>
      </c>
      <c r="B541" t="s">
        <v>27</v>
      </c>
      <c r="C541" t="s">
        <v>21</v>
      </c>
    </row>
    <row r="542" spans="1:3" x14ac:dyDescent="0.25">
      <c r="A542" t="s">
        <v>752</v>
      </c>
      <c r="B542" t="s">
        <v>20</v>
      </c>
      <c r="C542" t="s">
        <v>21</v>
      </c>
    </row>
    <row r="543" spans="1:3" x14ac:dyDescent="0.25">
      <c r="A543" t="s">
        <v>753</v>
      </c>
      <c r="B543" t="s">
        <v>20</v>
      </c>
      <c r="C543" t="s">
        <v>31</v>
      </c>
    </row>
    <row r="544" spans="1:3" x14ac:dyDescent="0.25">
      <c r="A544" t="s">
        <v>754</v>
      </c>
      <c r="B544" t="s">
        <v>27</v>
      </c>
      <c r="C544" t="s">
        <v>31</v>
      </c>
    </row>
    <row r="545" spans="1:3" x14ac:dyDescent="0.25">
      <c r="A545" t="s">
        <v>755</v>
      </c>
      <c r="B545" t="s">
        <v>20</v>
      </c>
      <c r="C545" t="s">
        <v>21</v>
      </c>
    </row>
    <row r="546" spans="1:3" x14ac:dyDescent="0.25">
      <c r="A546" t="s">
        <v>756</v>
      </c>
      <c r="B546" t="s">
        <v>27</v>
      </c>
      <c r="C546" t="s">
        <v>21</v>
      </c>
    </row>
    <row r="547" spans="1:3" x14ac:dyDescent="0.25">
      <c r="A547" t="s">
        <v>757</v>
      </c>
      <c r="B547" t="s">
        <v>20</v>
      </c>
      <c r="C547" t="s">
        <v>21</v>
      </c>
    </row>
    <row r="548" spans="1:3" x14ac:dyDescent="0.25">
      <c r="A548" t="s">
        <v>758</v>
      </c>
      <c r="B548" t="s">
        <v>27</v>
      </c>
      <c r="C548" t="s">
        <v>31</v>
      </c>
    </row>
    <row r="549" spans="1:3" x14ac:dyDescent="0.25">
      <c r="A549" t="s">
        <v>759</v>
      </c>
      <c r="B549" t="s">
        <v>20</v>
      </c>
      <c r="C549" t="s">
        <v>21</v>
      </c>
    </row>
    <row r="550" spans="1:3" x14ac:dyDescent="0.25">
      <c r="A550" t="s">
        <v>760</v>
      </c>
      <c r="B550" t="s">
        <v>20</v>
      </c>
      <c r="C550" t="s">
        <v>31</v>
      </c>
    </row>
    <row r="551" spans="1:3" x14ac:dyDescent="0.25">
      <c r="A551" t="s">
        <v>761</v>
      </c>
      <c r="B551" t="s">
        <v>20</v>
      </c>
      <c r="C551" t="s">
        <v>21</v>
      </c>
    </row>
    <row r="552" spans="1:3" x14ac:dyDescent="0.25">
      <c r="A552" t="s">
        <v>762</v>
      </c>
      <c r="B552" t="s">
        <v>20</v>
      </c>
      <c r="C552" t="s">
        <v>31</v>
      </c>
    </row>
    <row r="553" spans="1:3" x14ac:dyDescent="0.25">
      <c r="A553" t="s">
        <v>763</v>
      </c>
      <c r="B553" t="s">
        <v>27</v>
      </c>
      <c r="C553" t="s">
        <v>31</v>
      </c>
    </row>
    <row r="554" spans="1:3" x14ac:dyDescent="0.25">
      <c r="A554" t="s">
        <v>764</v>
      </c>
      <c r="B554" t="s">
        <v>27</v>
      </c>
      <c r="C554" t="s">
        <v>31</v>
      </c>
    </row>
    <row r="555" spans="1:3" x14ac:dyDescent="0.25">
      <c r="A555" t="s">
        <v>765</v>
      </c>
      <c r="B555" t="s">
        <v>20</v>
      </c>
      <c r="C555" t="s">
        <v>21</v>
      </c>
    </row>
    <row r="556" spans="1:3" x14ac:dyDescent="0.25">
      <c r="A556" t="s">
        <v>766</v>
      </c>
      <c r="B556" t="s">
        <v>20</v>
      </c>
      <c r="C556" t="s">
        <v>21</v>
      </c>
    </row>
    <row r="557" spans="1:3" x14ac:dyDescent="0.25">
      <c r="A557" t="s">
        <v>767</v>
      </c>
      <c r="B557" t="s">
        <v>27</v>
      </c>
      <c r="C557" t="s">
        <v>31</v>
      </c>
    </row>
    <row r="558" spans="1:3" x14ac:dyDescent="0.25">
      <c r="A558" t="s">
        <v>768</v>
      </c>
      <c r="B558" t="s">
        <v>20</v>
      </c>
      <c r="C558" t="s">
        <v>31</v>
      </c>
    </row>
    <row r="559" spans="1:3" x14ac:dyDescent="0.25">
      <c r="A559" t="s">
        <v>769</v>
      </c>
      <c r="B559" t="s">
        <v>27</v>
      </c>
      <c r="C559" t="s">
        <v>31</v>
      </c>
    </row>
    <row r="560" spans="1:3" x14ac:dyDescent="0.25">
      <c r="A560" t="s">
        <v>770</v>
      </c>
      <c r="B560" t="s">
        <v>20</v>
      </c>
      <c r="C560" t="s">
        <v>31</v>
      </c>
    </row>
    <row r="561" spans="1:3" x14ac:dyDescent="0.25">
      <c r="A561" t="s">
        <v>771</v>
      </c>
      <c r="B561" t="s">
        <v>20</v>
      </c>
      <c r="C561" t="s">
        <v>31</v>
      </c>
    </row>
    <row r="562" spans="1:3" x14ac:dyDescent="0.25">
      <c r="A562" t="s">
        <v>772</v>
      </c>
      <c r="B562" t="s">
        <v>20</v>
      </c>
      <c r="C562" t="s">
        <v>21</v>
      </c>
    </row>
    <row r="563" spans="1:3" x14ac:dyDescent="0.25">
      <c r="A563" t="s">
        <v>773</v>
      </c>
      <c r="B563" t="s">
        <v>27</v>
      </c>
      <c r="C563" t="s">
        <v>31</v>
      </c>
    </row>
    <row r="564" spans="1:3" x14ac:dyDescent="0.25">
      <c r="A564" t="s">
        <v>774</v>
      </c>
      <c r="B564" t="s">
        <v>20</v>
      </c>
      <c r="C564" t="s">
        <v>31</v>
      </c>
    </row>
    <row r="565" spans="1:3" x14ac:dyDescent="0.25">
      <c r="A565" t="s">
        <v>775</v>
      </c>
      <c r="B565" t="s">
        <v>27</v>
      </c>
      <c r="C565" t="s">
        <v>31</v>
      </c>
    </row>
    <row r="566" spans="1:3" x14ac:dyDescent="0.25">
      <c r="A566" t="s">
        <v>776</v>
      </c>
      <c r="B566" t="s">
        <v>27</v>
      </c>
      <c r="C566" t="s">
        <v>31</v>
      </c>
    </row>
    <row r="567" spans="1:3" x14ac:dyDescent="0.25">
      <c r="A567" t="s">
        <v>777</v>
      </c>
      <c r="B567" t="s">
        <v>27</v>
      </c>
      <c r="C567" t="s">
        <v>31</v>
      </c>
    </row>
    <row r="568" spans="1:3" x14ac:dyDescent="0.25">
      <c r="A568" t="s">
        <v>778</v>
      </c>
      <c r="B568" t="s">
        <v>20</v>
      </c>
      <c r="C568" t="s">
        <v>21</v>
      </c>
    </row>
    <row r="569" spans="1:3" x14ac:dyDescent="0.25">
      <c r="A569" t="s">
        <v>779</v>
      </c>
      <c r="B569" t="s">
        <v>20</v>
      </c>
      <c r="C569" t="s">
        <v>31</v>
      </c>
    </row>
    <row r="570" spans="1:3" x14ac:dyDescent="0.25">
      <c r="A570" t="s">
        <v>780</v>
      </c>
      <c r="B570" t="s">
        <v>20</v>
      </c>
      <c r="C570" t="s">
        <v>21</v>
      </c>
    </row>
    <row r="571" spans="1:3" x14ac:dyDescent="0.25">
      <c r="A571" t="s">
        <v>781</v>
      </c>
      <c r="B571" t="s">
        <v>20</v>
      </c>
      <c r="C571" t="s">
        <v>21</v>
      </c>
    </row>
    <row r="572" spans="1:3" x14ac:dyDescent="0.25">
      <c r="A572" t="s">
        <v>782</v>
      </c>
      <c r="B572" t="s">
        <v>20</v>
      </c>
      <c r="C572" t="s">
        <v>31</v>
      </c>
    </row>
    <row r="573" spans="1:3" x14ac:dyDescent="0.25">
      <c r="A573" t="s">
        <v>783</v>
      </c>
      <c r="B573" t="s">
        <v>20</v>
      </c>
      <c r="C573" t="s">
        <v>21</v>
      </c>
    </row>
    <row r="574" spans="1:3" x14ac:dyDescent="0.25">
      <c r="A574" t="s">
        <v>784</v>
      </c>
      <c r="B574" t="s">
        <v>20</v>
      </c>
      <c r="C574" t="s">
        <v>21</v>
      </c>
    </row>
    <row r="575" spans="1:3" x14ac:dyDescent="0.25">
      <c r="A575" t="s">
        <v>785</v>
      </c>
      <c r="B575" t="s">
        <v>20</v>
      </c>
      <c r="C575" t="s">
        <v>31</v>
      </c>
    </row>
    <row r="576" spans="1:3" x14ac:dyDescent="0.25">
      <c r="A576" t="s">
        <v>786</v>
      </c>
      <c r="B576" t="s">
        <v>20</v>
      </c>
      <c r="C576" t="s">
        <v>21</v>
      </c>
    </row>
    <row r="577" spans="1:3" x14ac:dyDescent="0.25">
      <c r="A577" t="s">
        <v>787</v>
      </c>
      <c r="B577" t="s">
        <v>27</v>
      </c>
      <c r="C577" t="s">
        <v>21</v>
      </c>
    </row>
    <row r="578" spans="1:3" x14ac:dyDescent="0.25">
      <c r="A578" t="s">
        <v>788</v>
      </c>
      <c r="B578" t="s">
        <v>20</v>
      </c>
      <c r="C578" t="s">
        <v>21</v>
      </c>
    </row>
    <row r="579" spans="1:3" x14ac:dyDescent="0.25">
      <c r="A579" t="s">
        <v>789</v>
      </c>
      <c r="B579" t="s">
        <v>27</v>
      </c>
      <c r="C579" t="s">
        <v>31</v>
      </c>
    </row>
    <row r="580" spans="1:3" x14ac:dyDescent="0.25">
      <c r="A580" t="s">
        <v>790</v>
      </c>
      <c r="B580" t="s">
        <v>20</v>
      </c>
      <c r="C580" t="s">
        <v>21</v>
      </c>
    </row>
    <row r="581" spans="1:3" x14ac:dyDescent="0.25">
      <c r="A581" t="s">
        <v>791</v>
      </c>
      <c r="B581" t="s">
        <v>27</v>
      </c>
      <c r="C581" t="s">
        <v>21</v>
      </c>
    </row>
    <row r="582" spans="1:3" x14ac:dyDescent="0.25">
      <c r="A582" t="s">
        <v>792</v>
      </c>
      <c r="B582" t="s">
        <v>20</v>
      </c>
      <c r="C582" t="s">
        <v>21</v>
      </c>
    </row>
    <row r="583" spans="1:3" x14ac:dyDescent="0.25">
      <c r="A583" t="s">
        <v>793</v>
      </c>
      <c r="B583" t="s">
        <v>27</v>
      </c>
      <c r="C583" t="s">
        <v>21</v>
      </c>
    </row>
    <row r="584" spans="1:3" x14ac:dyDescent="0.25">
      <c r="A584" t="s">
        <v>794</v>
      </c>
      <c r="B584" t="s">
        <v>20</v>
      </c>
      <c r="C584" t="s">
        <v>31</v>
      </c>
    </row>
    <row r="585" spans="1:3" x14ac:dyDescent="0.25">
      <c r="A585" t="s">
        <v>795</v>
      </c>
      <c r="B585" t="s">
        <v>27</v>
      </c>
      <c r="C585" t="s">
        <v>21</v>
      </c>
    </row>
    <row r="586" spans="1:3" x14ac:dyDescent="0.25">
      <c r="A586" t="s">
        <v>796</v>
      </c>
      <c r="B586" t="s">
        <v>20</v>
      </c>
      <c r="C586" t="s">
        <v>21</v>
      </c>
    </row>
    <row r="587" spans="1:3" x14ac:dyDescent="0.25">
      <c r="A587" t="s">
        <v>797</v>
      </c>
      <c r="B587" t="s">
        <v>27</v>
      </c>
      <c r="C587" t="s">
        <v>31</v>
      </c>
    </row>
    <row r="588" spans="1:3" x14ac:dyDescent="0.25">
      <c r="A588" t="s">
        <v>798</v>
      </c>
      <c r="B588" t="s">
        <v>20</v>
      </c>
      <c r="C588" t="s">
        <v>21</v>
      </c>
    </row>
    <row r="589" spans="1:3" x14ac:dyDescent="0.25">
      <c r="A589" t="s">
        <v>799</v>
      </c>
      <c r="B589" t="s">
        <v>20</v>
      </c>
      <c r="C589" t="s">
        <v>21</v>
      </c>
    </row>
    <row r="590" spans="1:3" x14ac:dyDescent="0.25">
      <c r="A590" t="s">
        <v>800</v>
      </c>
      <c r="B590" t="s">
        <v>20</v>
      </c>
      <c r="C590" t="s">
        <v>31</v>
      </c>
    </row>
    <row r="591" spans="1:3" x14ac:dyDescent="0.25">
      <c r="A591" t="s">
        <v>801</v>
      </c>
      <c r="B591" t="s">
        <v>27</v>
      </c>
      <c r="C591" t="s">
        <v>21</v>
      </c>
    </row>
    <row r="592" spans="1:3" x14ac:dyDescent="0.25">
      <c r="A592" t="s">
        <v>802</v>
      </c>
      <c r="B592" t="s">
        <v>27</v>
      </c>
      <c r="C592" t="s">
        <v>21</v>
      </c>
    </row>
    <row r="593" spans="1:3" x14ac:dyDescent="0.25">
      <c r="A593" t="s">
        <v>803</v>
      </c>
      <c r="B593" t="s">
        <v>27</v>
      </c>
      <c r="C593" t="s">
        <v>31</v>
      </c>
    </row>
    <row r="594" spans="1:3" x14ac:dyDescent="0.25">
      <c r="A594" t="s">
        <v>804</v>
      </c>
      <c r="B594" t="s">
        <v>27</v>
      </c>
      <c r="C594" t="s">
        <v>21</v>
      </c>
    </row>
    <row r="595" spans="1:3" x14ac:dyDescent="0.25">
      <c r="A595" t="s">
        <v>805</v>
      </c>
      <c r="B595" t="s">
        <v>27</v>
      </c>
      <c r="C595" t="s">
        <v>21</v>
      </c>
    </row>
    <row r="596" spans="1:3" x14ac:dyDescent="0.25">
      <c r="A596" t="s">
        <v>806</v>
      </c>
      <c r="B596" t="s">
        <v>20</v>
      </c>
      <c r="C596" t="s">
        <v>21</v>
      </c>
    </row>
    <row r="597" spans="1:3" x14ac:dyDescent="0.25">
      <c r="A597" t="s">
        <v>807</v>
      </c>
      <c r="B597" t="s">
        <v>20</v>
      </c>
      <c r="C597" t="s">
        <v>21</v>
      </c>
    </row>
    <row r="598" spans="1:3" x14ac:dyDescent="0.25">
      <c r="A598" t="s">
        <v>808</v>
      </c>
      <c r="B598" t="s">
        <v>20</v>
      </c>
      <c r="C598" t="s">
        <v>21</v>
      </c>
    </row>
    <row r="599" spans="1:3" x14ac:dyDescent="0.25">
      <c r="A599" t="s">
        <v>809</v>
      </c>
      <c r="B599" t="s">
        <v>27</v>
      </c>
      <c r="C599" t="s">
        <v>21</v>
      </c>
    </row>
    <row r="600" spans="1:3" x14ac:dyDescent="0.25">
      <c r="A600" t="s">
        <v>810</v>
      </c>
      <c r="B600" t="s">
        <v>20</v>
      </c>
      <c r="C600" t="s">
        <v>31</v>
      </c>
    </row>
    <row r="601" spans="1:3" x14ac:dyDescent="0.25">
      <c r="A601" t="s">
        <v>811</v>
      </c>
      <c r="B601" t="s">
        <v>27</v>
      </c>
      <c r="C601" t="s">
        <v>21</v>
      </c>
    </row>
    <row r="602" spans="1:3" x14ac:dyDescent="0.25">
      <c r="A602" t="s">
        <v>812</v>
      </c>
      <c r="B602" t="s">
        <v>20</v>
      </c>
      <c r="C602" t="s">
        <v>31</v>
      </c>
    </row>
    <row r="603" spans="1:3" x14ac:dyDescent="0.25">
      <c r="A603" t="s">
        <v>813</v>
      </c>
      <c r="B603" t="s">
        <v>27</v>
      </c>
      <c r="C603" t="s">
        <v>31</v>
      </c>
    </row>
    <row r="604" spans="1:3" x14ac:dyDescent="0.25">
      <c r="A604" t="s">
        <v>814</v>
      </c>
      <c r="B604" t="s">
        <v>20</v>
      </c>
      <c r="C604" t="s">
        <v>31</v>
      </c>
    </row>
    <row r="605" spans="1:3" x14ac:dyDescent="0.25">
      <c r="A605" t="s">
        <v>815</v>
      </c>
      <c r="B605" t="s">
        <v>20</v>
      </c>
      <c r="C605" t="s">
        <v>31</v>
      </c>
    </row>
    <row r="606" spans="1:3" x14ac:dyDescent="0.25">
      <c r="A606" t="s">
        <v>816</v>
      </c>
      <c r="B606" t="s">
        <v>27</v>
      </c>
      <c r="C606" t="s">
        <v>31</v>
      </c>
    </row>
    <row r="607" spans="1:3" x14ac:dyDescent="0.25">
      <c r="A607" t="s">
        <v>817</v>
      </c>
      <c r="B607" t="s">
        <v>27</v>
      </c>
      <c r="C607" t="s">
        <v>21</v>
      </c>
    </row>
    <row r="608" spans="1:3" x14ac:dyDescent="0.25">
      <c r="A608" t="s">
        <v>818</v>
      </c>
      <c r="B608" t="s">
        <v>20</v>
      </c>
      <c r="C608" t="s">
        <v>21</v>
      </c>
    </row>
    <row r="609" spans="1:3" x14ac:dyDescent="0.25">
      <c r="A609" t="s">
        <v>819</v>
      </c>
      <c r="B609" t="s">
        <v>27</v>
      </c>
      <c r="C609" t="s">
        <v>21</v>
      </c>
    </row>
    <row r="610" spans="1:3" x14ac:dyDescent="0.25">
      <c r="A610" t="s">
        <v>820</v>
      </c>
      <c r="B610" t="s">
        <v>20</v>
      </c>
      <c r="C610" t="s">
        <v>21</v>
      </c>
    </row>
    <row r="611" spans="1:3" x14ac:dyDescent="0.25">
      <c r="A611" t="s">
        <v>821</v>
      </c>
      <c r="B611" t="s">
        <v>27</v>
      </c>
      <c r="C611" t="s">
        <v>31</v>
      </c>
    </row>
    <row r="612" spans="1:3" x14ac:dyDescent="0.25">
      <c r="A612" t="s">
        <v>822</v>
      </c>
      <c r="B612" t="s">
        <v>27</v>
      </c>
      <c r="C612" t="s">
        <v>31</v>
      </c>
    </row>
    <row r="613" spans="1:3" x14ac:dyDescent="0.25">
      <c r="A613" t="s">
        <v>823</v>
      </c>
      <c r="B613" t="s">
        <v>27</v>
      </c>
      <c r="C613" t="s">
        <v>21</v>
      </c>
    </row>
    <row r="614" spans="1:3" x14ac:dyDescent="0.25">
      <c r="A614" t="s">
        <v>824</v>
      </c>
      <c r="B614" t="s">
        <v>20</v>
      </c>
      <c r="C614" t="s">
        <v>31</v>
      </c>
    </row>
    <row r="615" spans="1:3" x14ac:dyDescent="0.25">
      <c r="A615" t="s">
        <v>825</v>
      </c>
      <c r="B615" t="s">
        <v>27</v>
      </c>
      <c r="C615" t="s">
        <v>31</v>
      </c>
    </row>
    <row r="616" spans="1:3" x14ac:dyDescent="0.25">
      <c r="A616" t="s">
        <v>826</v>
      </c>
      <c r="B616" t="s">
        <v>27</v>
      </c>
      <c r="C616" t="s">
        <v>31</v>
      </c>
    </row>
    <row r="617" spans="1:3" x14ac:dyDescent="0.25">
      <c r="A617" t="s">
        <v>827</v>
      </c>
      <c r="B617" t="s">
        <v>20</v>
      </c>
      <c r="C617" t="s">
        <v>31</v>
      </c>
    </row>
    <row r="618" spans="1:3" x14ac:dyDescent="0.25">
      <c r="A618" t="s">
        <v>828</v>
      </c>
      <c r="B618" t="s">
        <v>27</v>
      </c>
      <c r="C618" t="s">
        <v>21</v>
      </c>
    </row>
    <row r="619" spans="1:3" x14ac:dyDescent="0.25">
      <c r="A619" t="s">
        <v>829</v>
      </c>
      <c r="B619" t="s">
        <v>20</v>
      </c>
      <c r="C619" t="s">
        <v>31</v>
      </c>
    </row>
    <row r="620" spans="1:3" x14ac:dyDescent="0.25">
      <c r="A620" t="s">
        <v>830</v>
      </c>
      <c r="B620" t="s">
        <v>27</v>
      </c>
      <c r="C620" t="s">
        <v>21</v>
      </c>
    </row>
    <row r="621" spans="1:3" x14ac:dyDescent="0.25">
      <c r="A621" t="s">
        <v>831</v>
      </c>
      <c r="B621" t="s">
        <v>27</v>
      </c>
      <c r="C621" t="s">
        <v>31</v>
      </c>
    </row>
    <row r="622" spans="1:3" x14ac:dyDescent="0.25">
      <c r="A622" t="s">
        <v>832</v>
      </c>
      <c r="B622" t="s">
        <v>20</v>
      </c>
      <c r="C622" t="s">
        <v>21</v>
      </c>
    </row>
    <row r="623" spans="1:3" x14ac:dyDescent="0.25">
      <c r="A623" t="s">
        <v>833</v>
      </c>
      <c r="B623" t="s">
        <v>20</v>
      </c>
      <c r="C623" t="s">
        <v>21</v>
      </c>
    </row>
    <row r="624" spans="1:3" x14ac:dyDescent="0.25">
      <c r="A624" t="s">
        <v>834</v>
      </c>
      <c r="B624" t="s">
        <v>27</v>
      </c>
      <c r="C624" t="s">
        <v>31</v>
      </c>
    </row>
    <row r="625" spans="1:3" x14ac:dyDescent="0.25">
      <c r="A625" t="s">
        <v>835</v>
      </c>
      <c r="B625" t="s">
        <v>20</v>
      </c>
      <c r="C625" t="s">
        <v>31</v>
      </c>
    </row>
    <row r="626" spans="1:3" x14ac:dyDescent="0.25">
      <c r="A626" t="s">
        <v>836</v>
      </c>
      <c r="B626" t="s">
        <v>27</v>
      </c>
      <c r="C626" t="s">
        <v>31</v>
      </c>
    </row>
    <row r="627" spans="1:3" x14ac:dyDescent="0.25">
      <c r="A627" t="s">
        <v>837</v>
      </c>
      <c r="B627" t="s">
        <v>20</v>
      </c>
      <c r="C627" t="s">
        <v>21</v>
      </c>
    </row>
    <row r="628" spans="1:3" x14ac:dyDescent="0.25">
      <c r="A628" t="s">
        <v>838</v>
      </c>
      <c r="B628" t="s">
        <v>20</v>
      </c>
      <c r="C628" t="s">
        <v>31</v>
      </c>
    </row>
    <row r="629" spans="1:3" x14ac:dyDescent="0.25">
      <c r="A629" t="s">
        <v>839</v>
      </c>
      <c r="B629" t="s">
        <v>20</v>
      </c>
      <c r="C629" t="s">
        <v>21</v>
      </c>
    </row>
    <row r="630" spans="1:3" x14ac:dyDescent="0.25">
      <c r="A630" t="s">
        <v>840</v>
      </c>
      <c r="B630" t="s">
        <v>20</v>
      </c>
      <c r="C630" t="s">
        <v>21</v>
      </c>
    </row>
    <row r="631" spans="1:3" x14ac:dyDescent="0.25">
      <c r="A631" t="s">
        <v>841</v>
      </c>
      <c r="B631" t="s">
        <v>27</v>
      </c>
      <c r="C631" t="s">
        <v>21</v>
      </c>
    </row>
    <row r="632" spans="1:3" x14ac:dyDescent="0.25">
      <c r="A632" t="s">
        <v>842</v>
      </c>
      <c r="B632" t="s">
        <v>27</v>
      </c>
      <c r="C632" t="s">
        <v>21</v>
      </c>
    </row>
    <row r="633" spans="1:3" x14ac:dyDescent="0.25">
      <c r="A633" t="s">
        <v>843</v>
      </c>
      <c r="B633" t="s">
        <v>27</v>
      </c>
      <c r="C633" t="s">
        <v>21</v>
      </c>
    </row>
    <row r="634" spans="1:3" x14ac:dyDescent="0.25">
      <c r="A634" t="s">
        <v>844</v>
      </c>
      <c r="B634" t="s">
        <v>27</v>
      </c>
      <c r="C634" t="s">
        <v>21</v>
      </c>
    </row>
    <row r="635" spans="1:3" x14ac:dyDescent="0.25">
      <c r="A635" t="s">
        <v>845</v>
      </c>
      <c r="B635" t="s">
        <v>27</v>
      </c>
      <c r="C635" t="s">
        <v>21</v>
      </c>
    </row>
    <row r="636" spans="1:3" x14ac:dyDescent="0.25">
      <c r="A636" t="s">
        <v>846</v>
      </c>
      <c r="B636" t="s">
        <v>27</v>
      </c>
      <c r="C636" t="s">
        <v>31</v>
      </c>
    </row>
    <row r="637" spans="1:3" x14ac:dyDescent="0.25">
      <c r="A637" t="s">
        <v>847</v>
      </c>
      <c r="B637" t="s">
        <v>27</v>
      </c>
      <c r="C637" t="s">
        <v>21</v>
      </c>
    </row>
    <row r="638" spans="1:3" x14ac:dyDescent="0.25">
      <c r="A638" t="s">
        <v>848</v>
      </c>
      <c r="B638" t="s">
        <v>20</v>
      </c>
      <c r="C638" t="s">
        <v>21</v>
      </c>
    </row>
    <row r="639" spans="1:3" x14ac:dyDescent="0.25">
      <c r="A639" t="s">
        <v>849</v>
      </c>
      <c r="B639" t="s">
        <v>27</v>
      </c>
      <c r="C639" t="s">
        <v>31</v>
      </c>
    </row>
    <row r="640" spans="1:3" x14ac:dyDescent="0.25">
      <c r="A640" t="s">
        <v>850</v>
      </c>
      <c r="B640" t="s">
        <v>20</v>
      </c>
      <c r="C640" t="s">
        <v>21</v>
      </c>
    </row>
    <row r="641" spans="1:3" x14ac:dyDescent="0.25">
      <c r="A641" t="s">
        <v>851</v>
      </c>
      <c r="B641" t="s">
        <v>27</v>
      </c>
      <c r="C641" t="s">
        <v>21</v>
      </c>
    </row>
    <row r="642" spans="1:3" x14ac:dyDescent="0.25">
      <c r="A642" t="s">
        <v>852</v>
      </c>
      <c r="B642" t="s">
        <v>27</v>
      </c>
      <c r="C642" t="s">
        <v>21</v>
      </c>
    </row>
    <row r="643" spans="1:3" x14ac:dyDescent="0.25">
      <c r="A643" t="s">
        <v>853</v>
      </c>
      <c r="B643" t="s">
        <v>27</v>
      </c>
      <c r="C643" t="s">
        <v>31</v>
      </c>
    </row>
    <row r="644" spans="1:3" x14ac:dyDescent="0.25">
      <c r="A644" t="s">
        <v>854</v>
      </c>
      <c r="B644" t="s">
        <v>20</v>
      </c>
      <c r="C644" t="s">
        <v>31</v>
      </c>
    </row>
    <row r="645" spans="1:3" x14ac:dyDescent="0.25">
      <c r="A645" t="s">
        <v>855</v>
      </c>
      <c r="B645" t="s">
        <v>20</v>
      </c>
      <c r="C645" t="s">
        <v>31</v>
      </c>
    </row>
    <row r="646" spans="1:3" x14ac:dyDescent="0.25">
      <c r="A646" t="s">
        <v>856</v>
      </c>
      <c r="B646" t="s">
        <v>27</v>
      </c>
      <c r="C646" t="s">
        <v>31</v>
      </c>
    </row>
    <row r="647" spans="1:3" x14ac:dyDescent="0.25">
      <c r="A647" t="s">
        <v>857</v>
      </c>
      <c r="B647" t="s">
        <v>20</v>
      </c>
      <c r="C647" t="s">
        <v>21</v>
      </c>
    </row>
    <row r="648" spans="1:3" x14ac:dyDescent="0.25">
      <c r="A648" t="s">
        <v>858</v>
      </c>
      <c r="B648" t="s">
        <v>20</v>
      </c>
      <c r="C648" t="s">
        <v>31</v>
      </c>
    </row>
    <row r="649" spans="1:3" x14ac:dyDescent="0.25">
      <c r="A649" t="s">
        <v>859</v>
      </c>
      <c r="B649" t="s">
        <v>27</v>
      </c>
      <c r="C649" t="s">
        <v>21</v>
      </c>
    </row>
    <row r="650" spans="1:3" x14ac:dyDescent="0.25">
      <c r="A650" t="s">
        <v>860</v>
      </c>
      <c r="B650" t="s">
        <v>20</v>
      </c>
      <c r="C650" t="s">
        <v>21</v>
      </c>
    </row>
    <row r="651" spans="1:3" x14ac:dyDescent="0.25">
      <c r="A651" t="s">
        <v>861</v>
      </c>
      <c r="B651" t="s">
        <v>20</v>
      </c>
      <c r="C651" t="s">
        <v>21</v>
      </c>
    </row>
    <row r="652" spans="1:3" x14ac:dyDescent="0.25">
      <c r="A652" t="s">
        <v>862</v>
      </c>
      <c r="B652" t="s">
        <v>20</v>
      </c>
      <c r="C652" t="s">
        <v>21</v>
      </c>
    </row>
    <row r="653" spans="1:3" x14ac:dyDescent="0.25">
      <c r="A653" t="s">
        <v>863</v>
      </c>
      <c r="B653" t="s">
        <v>20</v>
      </c>
      <c r="C653" t="s">
        <v>31</v>
      </c>
    </row>
    <row r="654" spans="1:3" x14ac:dyDescent="0.25">
      <c r="A654" t="s">
        <v>864</v>
      </c>
      <c r="B654" t="s">
        <v>27</v>
      </c>
      <c r="C654" t="s">
        <v>31</v>
      </c>
    </row>
    <row r="655" spans="1:3" x14ac:dyDescent="0.25">
      <c r="A655" t="s">
        <v>865</v>
      </c>
      <c r="B655" t="s">
        <v>20</v>
      </c>
      <c r="C655" t="s">
        <v>21</v>
      </c>
    </row>
    <row r="656" spans="1:3" x14ac:dyDescent="0.25">
      <c r="A656" t="s">
        <v>866</v>
      </c>
      <c r="B656" t="s">
        <v>27</v>
      </c>
      <c r="C656" t="s">
        <v>31</v>
      </c>
    </row>
    <row r="657" spans="1:3" x14ac:dyDescent="0.25">
      <c r="A657" t="s">
        <v>867</v>
      </c>
      <c r="B657" t="s">
        <v>27</v>
      </c>
      <c r="C657" t="s">
        <v>31</v>
      </c>
    </row>
    <row r="658" spans="1:3" x14ac:dyDescent="0.25">
      <c r="A658" t="s">
        <v>868</v>
      </c>
      <c r="B658" t="s">
        <v>20</v>
      </c>
      <c r="C658" t="s">
        <v>21</v>
      </c>
    </row>
    <row r="659" spans="1:3" x14ac:dyDescent="0.25">
      <c r="A659" t="s">
        <v>869</v>
      </c>
      <c r="B659" t="s">
        <v>20</v>
      </c>
      <c r="C659" t="s">
        <v>31</v>
      </c>
    </row>
    <row r="660" spans="1:3" x14ac:dyDescent="0.25">
      <c r="A660" t="s">
        <v>870</v>
      </c>
      <c r="B660" t="s">
        <v>20</v>
      </c>
      <c r="C660" t="s">
        <v>21</v>
      </c>
    </row>
    <row r="661" spans="1:3" x14ac:dyDescent="0.25">
      <c r="A661" t="s">
        <v>871</v>
      </c>
      <c r="B661" t="s">
        <v>27</v>
      </c>
      <c r="C661" t="s">
        <v>31</v>
      </c>
    </row>
    <row r="662" spans="1:3" x14ac:dyDescent="0.25">
      <c r="A662" t="s">
        <v>872</v>
      </c>
      <c r="B662" t="s">
        <v>20</v>
      </c>
      <c r="C662" t="s">
        <v>31</v>
      </c>
    </row>
    <row r="663" spans="1:3" x14ac:dyDescent="0.25">
      <c r="A663" t="s">
        <v>873</v>
      </c>
      <c r="B663" t="s">
        <v>27</v>
      </c>
      <c r="C663" t="s">
        <v>31</v>
      </c>
    </row>
    <row r="664" spans="1:3" x14ac:dyDescent="0.25">
      <c r="A664" t="s">
        <v>874</v>
      </c>
      <c r="B664" t="s">
        <v>27</v>
      </c>
      <c r="C664" t="s">
        <v>31</v>
      </c>
    </row>
    <row r="665" spans="1:3" x14ac:dyDescent="0.25">
      <c r="A665" t="s">
        <v>875</v>
      </c>
      <c r="B665" t="s">
        <v>20</v>
      </c>
      <c r="C665" t="s">
        <v>21</v>
      </c>
    </row>
    <row r="666" spans="1:3" x14ac:dyDescent="0.25">
      <c r="A666" t="s">
        <v>876</v>
      </c>
      <c r="B666" t="s">
        <v>27</v>
      </c>
      <c r="C666" t="s">
        <v>31</v>
      </c>
    </row>
    <row r="667" spans="1:3" x14ac:dyDescent="0.25">
      <c r="A667" t="s">
        <v>877</v>
      </c>
      <c r="B667" t="s">
        <v>27</v>
      </c>
      <c r="C667" t="s">
        <v>31</v>
      </c>
    </row>
    <row r="668" spans="1:3" x14ac:dyDescent="0.25">
      <c r="A668" t="s">
        <v>878</v>
      </c>
      <c r="B668" t="s">
        <v>20</v>
      </c>
      <c r="C668" t="s">
        <v>21</v>
      </c>
    </row>
    <row r="669" spans="1:3" x14ac:dyDescent="0.25">
      <c r="A669" t="s">
        <v>879</v>
      </c>
      <c r="B669" t="s">
        <v>20</v>
      </c>
      <c r="C669" t="s">
        <v>21</v>
      </c>
    </row>
    <row r="670" spans="1:3" x14ac:dyDescent="0.25">
      <c r="A670" t="s">
        <v>880</v>
      </c>
      <c r="B670" t="s">
        <v>27</v>
      </c>
      <c r="C670" t="s">
        <v>31</v>
      </c>
    </row>
    <row r="671" spans="1:3" x14ac:dyDescent="0.25">
      <c r="A671" t="s">
        <v>881</v>
      </c>
      <c r="B671" t="s">
        <v>20</v>
      </c>
      <c r="C671" t="s">
        <v>31</v>
      </c>
    </row>
    <row r="672" spans="1:3" x14ac:dyDescent="0.25">
      <c r="A672" t="s">
        <v>882</v>
      </c>
      <c r="B672" t="s">
        <v>20</v>
      </c>
      <c r="C672" t="s">
        <v>31</v>
      </c>
    </row>
    <row r="673" spans="1:3" x14ac:dyDescent="0.25">
      <c r="A673" t="s">
        <v>883</v>
      </c>
      <c r="B673" t="s">
        <v>27</v>
      </c>
      <c r="C673" t="s">
        <v>21</v>
      </c>
    </row>
    <row r="674" spans="1:3" x14ac:dyDescent="0.25">
      <c r="A674" t="s">
        <v>884</v>
      </c>
      <c r="B674" t="s">
        <v>20</v>
      </c>
      <c r="C674" t="s">
        <v>21</v>
      </c>
    </row>
    <row r="675" spans="1:3" x14ac:dyDescent="0.25">
      <c r="A675" t="s">
        <v>885</v>
      </c>
      <c r="B675" t="s">
        <v>27</v>
      </c>
      <c r="C675" t="s">
        <v>21</v>
      </c>
    </row>
    <row r="676" spans="1:3" x14ac:dyDescent="0.25">
      <c r="A676" t="s">
        <v>886</v>
      </c>
      <c r="B676" t="s">
        <v>27</v>
      </c>
      <c r="C676" t="s">
        <v>31</v>
      </c>
    </row>
    <row r="677" spans="1:3" x14ac:dyDescent="0.25">
      <c r="A677" t="s">
        <v>887</v>
      </c>
      <c r="B677" t="s">
        <v>27</v>
      </c>
      <c r="C677" t="s">
        <v>21</v>
      </c>
    </row>
    <row r="678" spans="1:3" x14ac:dyDescent="0.25">
      <c r="A678" t="s">
        <v>888</v>
      </c>
      <c r="B678" t="s">
        <v>27</v>
      </c>
      <c r="C678" t="s">
        <v>31</v>
      </c>
    </row>
    <row r="679" spans="1:3" x14ac:dyDescent="0.25">
      <c r="A679" t="s">
        <v>889</v>
      </c>
      <c r="B679" t="s">
        <v>27</v>
      </c>
      <c r="C679" t="s">
        <v>21</v>
      </c>
    </row>
    <row r="680" spans="1:3" x14ac:dyDescent="0.25">
      <c r="A680" t="s">
        <v>890</v>
      </c>
      <c r="B680" t="s">
        <v>20</v>
      </c>
      <c r="C680" t="s">
        <v>21</v>
      </c>
    </row>
    <row r="681" spans="1:3" x14ac:dyDescent="0.25">
      <c r="A681" t="s">
        <v>891</v>
      </c>
      <c r="B681" t="s">
        <v>27</v>
      </c>
      <c r="C681" t="s">
        <v>21</v>
      </c>
    </row>
    <row r="682" spans="1:3" x14ac:dyDescent="0.25">
      <c r="A682" t="s">
        <v>892</v>
      </c>
      <c r="B682" t="s">
        <v>27</v>
      </c>
      <c r="C682" t="s">
        <v>31</v>
      </c>
    </row>
    <row r="683" spans="1:3" x14ac:dyDescent="0.25">
      <c r="A683" t="s">
        <v>893</v>
      </c>
      <c r="B683" t="s">
        <v>20</v>
      </c>
      <c r="C683" t="s">
        <v>21</v>
      </c>
    </row>
    <row r="684" spans="1:3" x14ac:dyDescent="0.25">
      <c r="A684" t="s">
        <v>894</v>
      </c>
      <c r="B684" t="s">
        <v>27</v>
      </c>
      <c r="C684" t="s">
        <v>31</v>
      </c>
    </row>
    <row r="685" spans="1:3" x14ac:dyDescent="0.25">
      <c r="A685" t="s">
        <v>895</v>
      </c>
      <c r="B685" t="s">
        <v>20</v>
      </c>
      <c r="C685" t="s">
        <v>21</v>
      </c>
    </row>
    <row r="686" spans="1:3" x14ac:dyDescent="0.25">
      <c r="A686" t="s">
        <v>896</v>
      </c>
      <c r="B686" t="s">
        <v>20</v>
      </c>
      <c r="C686" t="s">
        <v>21</v>
      </c>
    </row>
    <row r="687" spans="1:3" x14ac:dyDescent="0.25">
      <c r="A687" t="s">
        <v>897</v>
      </c>
      <c r="B687" t="s">
        <v>20</v>
      </c>
      <c r="C687" t="s">
        <v>31</v>
      </c>
    </row>
    <row r="688" spans="1:3" x14ac:dyDescent="0.25">
      <c r="A688" t="s">
        <v>898</v>
      </c>
      <c r="B688" t="s">
        <v>27</v>
      </c>
      <c r="C688" t="s">
        <v>21</v>
      </c>
    </row>
    <row r="689" spans="1:3" x14ac:dyDescent="0.25">
      <c r="A689" t="s">
        <v>899</v>
      </c>
      <c r="B689" t="s">
        <v>27</v>
      </c>
      <c r="C689" t="s">
        <v>21</v>
      </c>
    </row>
    <row r="690" spans="1:3" x14ac:dyDescent="0.25">
      <c r="A690" t="s">
        <v>900</v>
      </c>
      <c r="B690" t="s">
        <v>20</v>
      </c>
      <c r="C690" t="s">
        <v>21</v>
      </c>
    </row>
    <row r="691" spans="1:3" x14ac:dyDescent="0.25">
      <c r="A691" t="s">
        <v>901</v>
      </c>
      <c r="B691" t="s">
        <v>20</v>
      </c>
      <c r="C691" t="s">
        <v>31</v>
      </c>
    </row>
    <row r="692" spans="1:3" x14ac:dyDescent="0.25">
      <c r="A692" t="s">
        <v>902</v>
      </c>
      <c r="B692" t="s">
        <v>20</v>
      </c>
      <c r="C692" t="s">
        <v>31</v>
      </c>
    </row>
    <row r="693" spans="1:3" x14ac:dyDescent="0.25">
      <c r="A693" t="s">
        <v>903</v>
      </c>
      <c r="B693" t="s">
        <v>20</v>
      </c>
      <c r="C693" t="s">
        <v>21</v>
      </c>
    </row>
    <row r="694" spans="1:3" x14ac:dyDescent="0.25">
      <c r="A694" t="s">
        <v>904</v>
      </c>
      <c r="B694" t="s">
        <v>20</v>
      </c>
      <c r="C694" t="s">
        <v>31</v>
      </c>
    </row>
    <row r="695" spans="1:3" x14ac:dyDescent="0.25">
      <c r="A695" t="s">
        <v>905</v>
      </c>
      <c r="B695" t="s">
        <v>27</v>
      </c>
      <c r="C695" t="s">
        <v>31</v>
      </c>
    </row>
    <row r="696" spans="1:3" x14ac:dyDescent="0.25">
      <c r="A696" t="s">
        <v>906</v>
      </c>
      <c r="B696" t="s">
        <v>20</v>
      </c>
      <c r="C696" t="s">
        <v>31</v>
      </c>
    </row>
    <row r="697" spans="1:3" x14ac:dyDescent="0.25">
      <c r="A697" t="s">
        <v>907</v>
      </c>
      <c r="B697" t="s">
        <v>27</v>
      </c>
      <c r="C697" t="s">
        <v>31</v>
      </c>
    </row>
    <row r="698" spans="1:3" x14ac:dyDescent="0.25">
      <c r="A698" t="s">
        <v>908</v>
      </c>
      <c r="B698" t="s">
        <v>20</v>
      </c>
      <c r="C698" t="s">
        <v>21</v>
      </c>
    </row>
    <row r="699" spans="1:3" x14ac:dyDescent="0.25">
      <c r="A699" t="s">
        <v>909</v>
      </c>
      <c r="B699" t="s">
        <v>20</v>
      </c>
      <c r="C699" t="s">
        <v>31</v>
      </c>
    </row>
    <row r="700" spans="1:3" x14ac:dyDescent="0.25">
      <c r="A700" t="s">
        <v>910</v>
      </c>
      <c r="B700" t="s">
        <v>20</v>
      </c>
      <c r="C700" t="s">
        <v>31</v>
      </c>
    </row>
    <row r="701" spans="1:3" x14ac:dyDescent="0.25">
      <c r="A701" t="s">
        <v>911</v>
      </c>
      <c r="B701" t="s">
        <v>27</v>
      </c>
      <c r="C701" t="s">
        <v>31</v>
      </c>
    </row>
    <row r="702" spans="1:3" x14ac:dyDescent="0.25">
      <c r="A702" t="s">
        <v>912</v>
      </c>
      <c r="B702" t="s">
        <v>20</v>
      </c>
      <c r="C702" t="s">
        <v>31</v>
      </c>
    </row>
    <row r="703" spans="1:3" x14ac:dyDescent="0.25">
      <c r="A703" t="s">
        <v>913</v>
      </c>
      <c r="B703" t="s">
        <v>20</v>
      </c>
      <c r="C703" t="s">
        <v>31</v>
      </c>
    </row>
    <row r="704" spans="1:3" x14ac:dyDescent="0.25">
      <c r="A704" t="s">
        <v>914</v>
      </c>
      <c r="B704" t="s">
        <v>27</v>
      </c>
      <c r="C704" t="s">
        <v>21</v>
      </c>
    </row>
    <row r="705" spans="1:3" x14ac:dyDescent="0.25">
      <c r="A705" t="s">
        <v>915</v>
      </c>
      <c r="B705" t="s">
        <v>20</v>
      </c>
      <c r="C705" t="s">
        <v>21</v>
      </c>
    </row>
    <row r="706" spans="1:3" x14ac:dyDescent="0.25">
      <c r="A706" t="s">
        <v>916</v>
      </c>
      <c r="B706" t="s">
        <v>20</v>
      </c>
      <c r="C706" t="s">
        <v>21</v>
      </c>
    </row>
    <row r="707" spans="1:3" x14ac:dyDescent="0.25">
      <c r="A707" t="s">
        <v>917</v>
      </c>
      <c r="B707" t="s">
        <v>20</v>
      </c>
      <c r="C707" t="s">
        <v>21</v>
      </c>
    </row>
    <row r="708" spans="1:3" x14ac:dyDescent="0.25">
      <c r="A708" t="s">
        <v>918</v>
      </c>
      <c r="B708" t="s">
        <v>20</v>
      </c>
      <c r="C708" t="s">
        <v>31</v>
      </c>
    </row>
    <row r="709" spans="1:3" x14ac:dyDescent="0.25">
      <c r="A709" t="s">
        <v>919</v>
      </c>
      <c r="B709" t="s">
        <v>20</v>
      </c>
      <c r="C709" t="s">
        <v>21</v>
      </c>
    </row>
    <row r="710" spans="1:3" x14ac:dyDescent="0.25">
      <c r="A710" t="s">
        <v>920</v>
      </c>
      <c r="B710" t="s">
        <v>20</v>
      </c>
      <c r="C710" t="s">
        <v>21</v>
      </c>
    </row>
    <row r="711" spans="1:3" x14ac:dyDescent="0.25">
      <c r="A711" t="s">
        <v>921</v>
      </c>
      <c r="B711" t="s">
        <v>27</v>
      </c>
      <c r="C711" t="s">
        <v>31</v>
      </c>
    </row>
    <row r="712" spans="1:3" x14ac:dyDescent="0.25">
      <c r="A712" t="s">
        <v>922</v>
      </c>
      <c r="B712" t="s">
        <v>20</v>
      </c>
      <c r="C712" t="s">
        <v>31</v>
      </c>
    </row>
    <row r="713" spans="1:3" x14ac:dyDescent="0.25">
      <c r="A713" t="s">
        <v>923</v>
      </c>
      <c r="B713" t="s">
        <v>20</v>
      </c>
      <c r="C713" t="s">
        <v>21</v>
      </c>
    </row>
    <row r="714" spans="1:3" x14ac:dyDescent="0.25">
      <c r="A714" t="s">
        <v>924</v>
      </c>
      <c r="B714" t="s">
        <v>27</v>
      </c>
      <c r="C714" t="s">
        <v>21</v>
      </c>
    </row>
    <row r="715" spans="1:3" x14ac:dyDescent="0.25">
      <c r="A715" t="s">
        <v>925</v>
      </c>
      <c r="B715" t="s">
        <v>20</v>
      </c>
      <c r="C715" t="s">
        <v>31</v>
      </c>
    </row>
    <row r="716" spans="1:3" x14ac:dyDescent="0.25">
      <c r="A716" t="s">
        <v>926</v>
      </c>
      <c r="B716" t="s">
        <v>27</v>
      </c>
      <c r="C716" t="s">
        <v>21</v>
      </c>
    </row>
    <row r="717" spans="1:3" x14ac:dyDescent="0.25">
      <c r="A717" t="s">
        <v>927</v>
      </c>
      <c r="B717" t="s">
        <v>27</v>
      </c>
      <c r="C717" t="s">
        <v>21</v>
      </c>
    </row>
    <row r="718" spans="1:3" x14ac:dyDescent="0.25">
      <c r="A718" t="s">
        <v>928</v>
      </c>
      <c r="B718" t="s">
        <v>20</v>
      </c>
      <c r="C718" t="s">
        <v>21</v>
      </c>
    </row>
    <row r="719" spans="1:3" x14ac:dyDescent="0.25">
      <c r="A719" t="s">
        <v>929</v>
      </c>
      <c r="B719" t="s">
        <v>27</v>
      </c>
      <c r="C719" t="s">
        <v>31</v>
      </c>
    </row>
    <row r="720" spans="1:3" x14ac:dyDescent="0.25">
      <c r="A720" t="s">
        <v>930</v>
      </c>
      <c r="B720" t="s">
        <v>20</v>
      </c>
      <c r="C720" t="s">
        <v>31</v>
      </c>
    </row>
    <row r="721" spans="1:3" x14ac:dyDescent="0.25">
      <c r="A721" t="s">
        <v>931</v>
      </c>
      <c r="B721" t="s">
        <v>27</v>
      </c>
      <c r="C721" t="s">
        <v>31</v>
      </c>
    </row>
    <row r="722" spans="1:3" x14ac:dyDescent="0.25">
      <c r="A722" t="s">
        <v>932</v>
      </c>
      <c r="B722" t="s">
        <v>27</v>
      </c>
      <c r="C722" t="s">
        <v>31</v>
      </c>
    </row>
    <row r="723" spans="1:3" x14ac:dyDescent="0.25">
      <c r="A723" t="s">
        <v>933</v>
      </c>
      <c r="B723" t="s">
        <v>20</v>
      </c>
      <c r="C723" t="s">
        <v>21</v>
      </c>
    </row>
    <row r="724" spans="1:3" x14ac:dyDescent="0.25">
      <c r="A724" t="s">
        <v>934</v>
      </c>
      <c r="B724" t="s">
        <v>20</v>
      </c>
      <c r="C724" t="s">
        <v>31</v>
      </c>
    </row>
    <row r="725" spans="1:3" x14ac:dyDescent="0.25">
      <c r="A725" t="s">
        <v>935</v>
      </c>
      <c r="B725" t="s">
        <v>20</v>
      </c>
      <c r="C725" t="s">
        <v>31</v>
      </c>
    </row>
    <row r="726" spans="1:3" x14ac:dyDescent="0.25">
      <c r="A726" t="s">
        <v>936</v>
      </c>
      <c r="B726" t="s">
        <v>20</v>
      </c>
      <c r="C726" t="s">
        <v>21</v>
      </c>
    </row>
    <row r="727" spans="1:3" x14ac:dyDescent="0.25">
      <c r="A727" t="s">
        <v>937</v>
      </c>
      <c r="B727" t="s">
        <v>27</v>
      </c>
      <c r="C727" t="s">
        <v>31</v>
      </c>
    </row>
    <row r="728" spans="1:3" x14ac:dyDescent="0.25">
      <c r="A728" t="s">
        <v>938</v>
      </c>
      <c r="B728" t="s">
        <v>20</v>
      </c>
      <c r="C728" t="s">
        <v>21</v>
      </c>
    </row>
    <row r="729" spans="1:3" x14ac:dyDescent="0.25">
      <c r="A729" t="s">
        <v>939</v>
      </c>
      <c r="B729" t="s">
        <v>27</v>
      </c>
      <c r="C729" t="s">
        <v>31</v>
      </c>
    </row>
    <row r="730" spans="1:3" x14ac:dyDescent="0.25">
      <c r="A730" t="s">
        <v>940</v>
      </c>
      <c r="B730" t="s">
        <v>27</v>
      </c>
      <c r="C730" t="s">
        <v>21</v>
      </c>
    </row>
    <row r="731" spans="1:3" x14ac:dyDescent="0.25">
      <c r="A731" t="s">
        <v>941</v>
      </c>
      <c r="B731" t="s">
        <v>20</v>
      </c>
      <c r="C731" t="s">
        <v>21</v>
      </c>
    </row>
    <row r="732" spans="1:3" x14ac:dyDescent="0.25">
      <c r="A732" t="s">
        <v>942</v>
      </c>
      <c r="B732" t="s">
        <v>27</v>
      </c>
      <c r="C732" t="s">
        <v>31</v>
      </c>
    </row>
    <row r="733" spans="1:3" x14ac:dyDescent="0.25">
      <c r="A733" t="s">
        <v>943</v>
      </c>
      <c r="B733" t="s">
        <v>27</v>
      </c>
      <c r="C733" t="s">
        <v>21</v>
      </c>
    </row>
    <row r="734" spans="1:3" x14ac:dyDescent="0.25">
      <c r="A734" t="s">
        <v>944</v>
      </c>
      <c r="B734" t="s">
        <v>20</v>
      </c>
      <c r="C734" t="s">
        <v>21</v>
      </c>
    </row>
    <row r="735" spans="1:3" x14ac:dyDescent="0.25">
      <c r="A735" t="s">
        <v>945</v>
      </c>
      <c r="B735" t="s">
        <v>27</v>
      </c>
      <c r="C735" t="s">
        <v>21</v>
      </c>
    </row>
    <row r="736" spans="1:3" x14ac:dyDescent="0.25">
      <c r="A736" t="s">
        <v>946</v>
      </c>
      <c r="B736" t="s">
        <v>20</v>
      </c>
      <c r="C736" t="s">
        <v>21</v>
      </c>
    </row>
    <row r="737" spans="1:3" x14ac:dyDescent="0.25">
      <c r="A737" t="s">
        <v>947</v>
      </c>
      <c r="B737" t="s">
        <v>27</v>
      </c>
      <c r="C737" t="s">
        <v>21</v>
      </c>
    </row>
    <row r="738" spans="1:3" x14ac:dyDescent="0.25">
      <c r="A738" t="s">
        <v>948</v>
      </c>
      <c r="B738" t="s">
        <v>27</v>
      </c>
      <c r="C738" t="s">
        <v>21</v>
      </c>
    </row>
    <row r="739" spans="1:3" x14ac:dyDescent="0.25">
      <c r="A739" t="s">
        <v>949</v>
      </c>
      <c r="B739" t="s">
        <v>20</v>
      </c>
      <c r="C739" t="s">
        <v>31</v>
      </c>
    </row>
    <row r="740" spans="1:3" x14ac:dyDescent="0.25">
      <c r="A740" t="s">
        <v>950</v>
      </c>
      <c r="B740" t="s">
        <v>20</v>
      </c>
      <c r="C740" t="s">
        <v>21</v>
      </c>
    </row>
    <row r="741" spans="1:3" x14ac:dyDescent="0.25">
      <c r="A741" t="s">
        <v>951</v>
      </c>
      <c r="B741" t="s">
        <v>27</v>
      </c>
      <c r="C741" t="s">
        <v>21</v>
      </c>
    </row>
    <row r="742" spans="1:3" x14ac:dyDescent="0.25">
      <c r="A742" t="s">
        <v>952</v>
      </c>
      <c r="B742" t="s">
        <v>20</v>
      </c>
      <c r="C742" t="s">
        <v>31</v>
      </c>
    </row>
    <row r="743" spans="1:3" x14ac:dyDescent="0.25">
      <c r="A743" t="s">
        <v>953</v>
      </c>
      <c r="B743" t="s">
        <v>27</v>
      </c>
      <c r="C743" t="s">
        <v>21</v>
      </c>
    </row>
    <row r="744" spans="1:3" x14ac:dyDescent="0.25">
      <c r="A744" t="s">
        <v>954</v>
      </c>
      <c r="B744" t="s">
        <v>27</v>
      </c>
      <c r="C744" t="s">
        <v>31</v>
      </c>
    </row>
    <row r="745" spans="1:3" x14ac:dyDescent="0.25">
      <c r="A745" t="s">
        <v>955</v>
      </c>
      <c r="B745" t="s">
        <v>20</v>
      </c>
      <c r="C745" t="s">
        <v>21</v>
      </c>
    </row>
    <row r="746" spans="1:3" x14ac:dyDescent="0.25">
      <c r="A746" t="s">
        <v>956</v>
      </c>
      <c r="B746" t="s">
        <v>20</v>
      </c>
      <c r="C746" t="s">
        <v>21</v>
      </c>
    </row>
    <row r="747" spans="1:3" x14ac:dyDescent="0.25">
      <c r="A747" t="s">
        <v>957</v>
      </c>
      <c r="B747" t="s">
        <v>27</v>
      </c>
      <c r="C747" t="s">
        <v>21</v>
      </c>
    </row>
    <row r="748" spans="1:3" x14ac:dyDescent="0.25">
      <c r="A748" t="s">
        <v>958</v>
      </c>
      <c r="B748" t="s">
        <v>20</v>
      </c>
      <c r="C748" t="s">
        <v>21</v>
      </c>
    </row>
    <row r="749" spans="1:3" x14ac:dyDescent="0.25">
      <c r="A749" t="s">
        <v>959</v>
      </c>
      <c r="B749" t="s">
        <v>27</v>
      </c>
      <c r="C749" t="s">
        <v>21</v>
      </c>
    </row>
    <row r="750" spans="1:3" x14ac:dyDescent="0.25">
      <c r="A750" t="s">
        <v>960</v>
      </c>
      <c r="B750" t="s">
        <v>20</v>
      </c>
      <c r="C750" t="s">
        <v>21</v>
      </c>
    </row>
    <row r="751" spans="1:3" x14ac:dyDescent="0.25">
      <c r="A751" t="s">
        <v>961</v>
      </c>
      <c r="B751" t="s">
        <v>27</v>
      </c>
      <c r="C751" t="s">
        <v>21</v>
      </c>
    </row>
    <row r="752" spans="1:3" x14ac:dyDescent="0.25">
      <c r="A752" t="s">
        <v>962</v>
      </c>
      <c r="B752" t="s">
        <v>20</v>
      </c>
      <c r="C752" t="s">
        <v>31</v>
      </c>
    </row>
    <row r="753" spans="1:3" x14ac:dyDescent="0.25">
      <c r="A753" t="s">
        <v>963</v>
      </c>
      <c r="B753" t="s">
        <v>20</v>
      </c>
      <c r="C753" t="s">
        <v>21</v>
      </c>
    </row>
    <row r="754" spans="1:3" x14ac:dyDescent="0.25">
      <c r="A754" t="s">
        <v>964</v>
      </c>
      <c r="B754" t="s">
        <v>27</v>
      </c>
      <c r="C754" t="s">
        <v>21</v>
      </c>
    </row>
    <row r="755" spans="1:3" x14ac:dyDescent="0.25">
      <c r="A755" t="s">
        <v>965</v>
      </c>
      <c r="B755" t="s">
        <v>27</v>
      </c>
      <c r="C755" t="s">
        <v>31</v>
      </c>
    </row>
    <row r="756" spans="1:3" x14ac:dyDescent="0.25">
      <c r="A756" t="s">
        <v>966</v>
      </c>
      <c r="B756" t="s">
        <v>27</v>
      </c>
      <c r="C756" t="s">
        <v>31</v>
      </c>
    </row>
    <row r="757" spans="1:3" x14ac:dyDescent="0.25">
      <c r="A757" t="s">
        <v>967</v>
      </c>
      <c r="B757" t="s">
        <v>20</v>
      </c>
      <c r="C757" t="s">
        <v>21</v>
      </c>
    </row>
    <row r="758" spans="1:3" x14ac:dyDescent="0.25">
      <c r="A758" t="s">
        <v>968</v>
      </c>
      <c r="B758" t="s">
        <v>27</v>
      </c>
      <c r="C758" t="s">
        <v>21</v>
      </c>
    </row>
    <row r="759" spans="1:3" x14ac:dyDescent="0.25">
      <c r="A759" t="s">
        <v>969</v>
      </c>
      <c r="B759" t="s">
        <v>27</v>
      </c>
      <c r="C759" t="s">
        <v>31</v>
      </c>
    </row>
    <row r="760" spans="1:3" x14ac:dyDescent="0.25">
      <c r="A760" t="s">
        <v>970</v>
      </c>
      <c r="B760" t="s">
        <v>27</v>
      </c>
      <c r="C760" t="s">
        <v>21</v>
      </c>
    </row>
    <row r="761" spans="1:3" x14ac:dyDescent="0.25">
      <c r="A761" t="s">
        <v>971</v>
      </c>
      <c r="B761" t="s">
        <v>20</v>
      </c>
      <c r="C761" t="s">
        <v>31</v>
      </c>
    </row>
    <row r="762" spans="1:3" x14ac:dyDescent="0.25">
      <c r="A762" t="s">
        <v>972</v>
      </c>
      <c r="B762" t="s">
        <v>27</v>
      </c>
      <c r="C762" t="s">
        <v>21</v>
      </c>
    </row>
    <row r="763" spans="1:3" x14ac:dyDescent="0.25">
      <c r="A763" t="s">
        <v>973</v>
      </c>
      <c r="B763" t="s">
        <v>27</v>
      </c>
      <c r="C763" t="s">
        <v>21</v>
      </c>
    </row>
    <row r="764" spans="1:3" x14ac:dyDescent="0.25">
      <c r="A764" t="s">
        <v>974</v>
      </c>
      <c r="B764" t="s">
        <v>20</v>
      </c>
      <c r="C764" t="s">
        <v>21</v>
      </c>
    </row>
    <row r="765" spans="1:3" x14ac:dyDescent="0.25">
      <c r="A765" t="s">
        <v>975</v>
      </c>
      <c r="B765" t="s">
        <v>27</v>
      </c>
      <c r="C765" t="s">
        <v>21</v>
      </c>
    </row>
    <row r="766" spans="1:3" x14ac:dyDescent="0.25">
      <c r="A766" t="s">
        <v>976</v>
      </c>
      <c r="B766" t="s">
        <v>27</v>
      </c>
      <c r="C766" t="s">
        <v>31</v>
      </c>
    </row>
    <row r="767" spans="1:3" x14ac:dyDescent="0.25">
      <c r="A767" t="s">
        <v>977</v>
      </c>
      <c r="B767" t="s">
        <v>20</v>
      </c>
      <c r="C767" t="s">
        <v>31</v>
      </c>
    </row>
    <row r="768" spans="1:3" x14ac:dyDescent="0.25">
      <c r="A768" t="s">
        <v>978</v>
      </c>
      <c r="B768" t="s">
        <v>27</v>
      </c>
      <c r="C768" t="s">
        <v>21</v>
      </c>
    </row>
    <row r="769" spans="1:3" x14ac:dyDescent="0.25">
      <c r="A769" t="s">
        <v>979</v>
      </c>
      <c r="B769" t="s">
        <v>27</v>
      </c>
      <c r="C769" t="s">
        <v>31</v>
      </c>
    </row>
    <row r="770" spans="1:3" x14ac:dyDescent="0.25">
      <c r="A770" t="s">
        <v>980</v>
      </c>
      <c r="B770" t="s">
        <v>20</v>
      </c>
      <c r="C770" t="s">
        <v>31</v>
      </c>
    </row>
    <row r="771" spans="1:3" x14ac:dyDescent="0.25">
      <c r="A771" t="s">
        <v>981</v>
      </c>
      <c r="B771" t="s">
        <v>27</v>
      </c>
      <c r="C771" t="s">
        <v>21</v>
      </c>
    </row>
    <row r="772" spans="1:3" x14ac:dyDescent="0.25">
      <c r="A772" t="s">
        <v>982</v>
      </c>
      <c r="B772" t="s">
        <v>20</v>
      </c>
      <c r="C772" t="s">
        <v>31</v>
      </c>
    </row>
    <row r="773" spans="1:3" x14ac:dyDescent="0.25">
      <c r="A773" t="s">
        <v>983</v>
      </c>
      <c r="B773" t="s">
        <v>20</v>
      </c>
      <c r="C773" t="s">
        <v>31</v>
      </c>
    </row>
    <row r="774" spans="1:3" x14ac:dyDescent="0.25">
      <c r="A774" t="s">
        <v>984</v>
      </c>
      <c r="B774" t="s">
        <v>20</v>
      </c>
      <c r="C774" t="s">
        <v>31</v>
      </c>
    </row>
    <row r="775" spans="1:3" x14ac:dyDescent="0.25">
      <c r="A775" t="s">
        <v>985</v>
      </c>
      <c r="B775" t="s">
        <v>27</v>
      </c>
      <c r="C775" t="s">
        <v>21</v>
      </c>
    </row>
    <row r="776" spans="1:3" x14ac:dyDescent="0.25">
      <c r="A776" t="s">
        <v>986</v>
      </c>
      <c r="B776" t="s">
        <v>20</v>
      </c>
      <c r="C776" t="s">
        <v>31</v>
      </c>
    </row>
    <row r="777" spans="1:3" x14ac:dyDescent="0.25">
      <c r="A777" t="s">
        <v>987</v>
      </c>
      <c r="B777" t="s">
        <v>20</v>
      </c>
      <c r="C777" t="s">
        <v>21</v>
      </c>
    </row>
    <row r="778" spans="1:3" x14ac:dyDescent="0.25">
      <c r="A778" t="s">
        <v>988</v>
      </c>
      <c r="B778" t="s">
        <v>20</v>
      </c>
      <c r="C778" t="s">
        <v>21</v>
      </c>
    </row>
    <row r="779" spans="1:3" x14ac:dyDescent="0.25">
      <c r="A779" t="s">
        <v>989</v>
      </c>
      <c r="B779" t="s">
        <v>20</v>
      </c>
      <c r="C779" t="s">
        <v>21</v>
      </c>
    </row>
    <row r="780" spans="1:3" x14ac:dyDescent="0.25">
      <c r="A780" t="s">
        <v>990</v>
      </c>
      <c r="B780" t="s">
        <v>20</v>
      </c>
      <c r="C780" t="s">
        <v>31</v>
      </c>
    </row>
    <row r="781" spans="1:3" x14ac:dyDescent="0.25">
      <c r="A781" t="s">
        <v>991</v>
      </c>
      <c r="B781" t="s">
        <v>27</v>
      </c>
      <c r="C781" t="s">
        <v>21</v>
      </c>
    </row>
    <row r="782" spans="1:3" x14ac:dyDescent="0.25">
      <c r="A782" t="s">
        <v>992</v>
      </c>
      <c r="B782" t="s">
        <v>20</v>
      </c>
      <c r="C782" t="s">
        <v>31</v>
      </c>
    </row>
    <row r="783" spans="1:3" x14ac:dyDescent="0.25">
      <c r="A783" t="s">
        <v>993</v>
      </c>
      <c r="B783" t="s">
        <v>27</v>
      </c>
      <c r="C783" t="s">
        <v>31</v>
      </c>
    </row>
    <row r="784" spans="1:3" x14ac:dyDescent="0.25">
      <c r="A784" t="s">
        <v>994</v>
      </c>
      <c r="B784" t="s">
        <v>27</v>
      </c>
      <c r="C784" t="s">
        <v>21</v>
      </c>
    </row>
    <row r="785" spans="1:3" x14ac:dyDescent="0.25">
      <c r="A785" t="s">
        <v>995</v>
      </c>
      <c r="B785" t="s">
        <v>20</v>
      </c>
      <c r="C785" t="s">
        <v>21</v>
      </c>
    </row>
    <row r="786" spans="1:3" x14ac:dyDescent="0.25">
      <c r="A786" t="s">
        <v>996</v>
      </c>
      <c r="B786" t="s">
        <v>20</v>
      </c>
      <c r="C786" t="s">
        <v>31</v>
      </c>
    </row>
    <row r="787" spans="1:3" x14ac:dyDescent="0.25">
      <c r="A787" t="s">
        <v>997</v>
      </c>
      <c r="B787" t="s">
        <v>20</v>
      </c>
      <c r="C787" t="s">
        <v>31</v>
      </c>
    </row>
    <row r="788" spans="1:3" x14ac:dyDescent="0.25">
      <c r="A788" t="s">
        <v>998</v>
      </c>
      <c r="B788" t="s">
        <v>27</v>
      </c>
      <c r="C788" t="s">
        <v>21</v>
      </c>
    </row>
    <row r="789" spans="1:3" x14ac:dyDescent="0.25">
      <c r="A789" t="s">
        <v>999</v>
      </c>
      <c r="B789" t="s">
        <v>20</v>
      </c>
      <c r="C789" t="s">
        <v>31</v>
      </c>
    </row>
    <row r="790" spans="1:3" x14ac:dyDescent="0.25">
      <c r="A790" t="s">
        <v>1000</v>
      </c>
      <c r="B790" t="s">
        <v>27</v>
      </c>
      <c r="C790" t="s">
        <v>31</v>
      </c>
    </row>
    <row r="791" spans="1:3" x14ac:dyDescent="0.25">
      <c r="A791" t="s">
        <v>1001</v>
      </c>
      <c r="B791" t="s">
        <v>27</v>
      </c>
      <c r="C791" t="s">
        <v>21</v>
      </c>
    </row>
    <row r="792" spans="1:3" x14ac:dyDescent="0.25">
      <c r="A792" t="s">
        <v>1002</v>
      </c>
      <c r="B792" t="s">
        <v>27</v>
      </c>
      <c r="C792" t="s">
        <v>21</v>
      </c>
    </row>
    <row r="793" spans="1:3" x14ac:dyDescent="0.25">
      <c r="A793" t="s">
        <v>1003</v>
      </c>
      <c r="B793" t="s">
        <v>20</v>
      </c>
      <c r="C793" t="s">
        <v>31</v>
      </c>
    </row>
    <row r="794" spans="1:3" x14ac:dyDescent="0.25">
      <c r="A794" t="s">
        <v>1004</v>
      </c>
      <c r="B794" t="s">
        <v>27</v>
      </c>
      <c r="C794" t="s">
        <v>21</v>
      </c>
    </row>
    <row r="795" spans="1:3" x14ac:dyDescent="0.25">
      <c r="A795" t="s">
        <v>1005</v>
      </c>
      <c r="B795" t="s">
        <v>20</v>
      </c>
      <c r="C795" t="s">
        <v>21</v>
      </c>
    </row>
    <row r="796" spans="1:3" x14ac:dyDescent="0.25">
      <c r="A796" t="s">
        <v>1006</v>
      </c>
      <c r="B796" t="s">
        <v>20</v>
      </c>
      <c r="C796" t="s">
        <v>21</v>
      </c>
    </row>
    <row r="797" spans="1:3" x14ac:dyDescent="0.25">
      <c r="A797" t="s">
        <v>1007</v>
      </c>
      <c r="B797" t="s">
        <v>20</v>
      </c>
      <c r="C797" t="s">
        <v>31</v>
      </c>
    </row>
    <row r="798" spans="1:3" x14ac:dyDescent="0.25">
      <c r="A798" t="s">
        <v>1008</v>
      </c>
      <c r="B798" t="s">
        <v>27</v>
      </c>
      <c r="C798" t="s">
        <v>31</v>
      </c>
    </row>
    <row r="799" spans="1:3" x14ac:dyDescent="0.25">
      <c r="A799" t="s">
        <v>1009</v>
      </c>
      <c r="B799" t="s">
        <v>27</v>
      </c>
      <c r="C799" t="s">
        <v>31</v>
      </c>
    </row>
    <row r="800" spans="1:3" x14ac:dyDescent="0.25">
      <c r="A800" t="s">
        <v>1010</v>
      </c>
      <c r="B800" t="s">
        <v>27</v>
      </c>
      <c r="C800" t="s">
        <v>31</v>
      </c>
    </row>
    <row r="801" spans="1:3" x14ac:dyDescent="0.25">
      <c r="A801" t="s">
        <v>1011</v>
      </c>
      <c r="B801" t="s">
        <v>20</v>
      </c>
      <c r="C801" t="s">
        <v>31</v>
      </c>
    </row>
    <row r="802" spans="1:3" x14ac:dyDescent="0.25">
      <c r="A802" t="s">
        <v>1012</v>
      </c>
      <c r="B802" t="s">
        <v>27</v>
      </c>
      <c r="C802" t="s">
        <v>21</v>
      </c>
    </row>
    <row r="803" spans="1:3" x14ac:dyDescent="0.25">
      <c r="A803" t="s">
        <v>1013</v>
      </c>
      <c r="B803" t="s">
        <v>20</v>
      </c>
      <c r="C803" t="s">
        <v>31</v>
      </c>
    </row>
    <row r="804" spans="1:3" x14ac:dyDescent="0.25">
      <c r="A804" t="s">
        <v>1014</v>
      </c>
      <c r="B804" t="s">
        <v>27</v>
      </c>
      <c r="C804" t="s">
        <v>21</v>
      </c>
    </row>
    <row r="805" spans="1:3" x14ac:dyDescent="0.25">
      <c r="A805" t="s">
        <v>1015</v>
      </c>
      <c r="B805" t="s">
        <v>27</v>
      </c>
      <c r="C805" t="s">
        <v>21</v>
      </c>
    </row>
    <row r="806" spans="1:3" x14ac:dyDescent="0.25">
      <c r="A806" t="s">
        <v>1016</v>
      </c>
      <c r="B806" t="s">
        <v>20</v>
      </c>
      <c r="C806" t="s">
        <v>31</v>
      </c>
    </row>
    <row r="807" spans="1:3" x14ac:dyDescent="0.25">
      <c r="A807" t="s">
        <v>1017</v>
      </c>
      <c r="B807" t="s">
        <v>27</v>
      </c>
      <c r="C807" t="s">
        <v>31</v>
      </c>
    </row>
    <row r="808" spans="1:3" x14ac:dyDescent="0.25">
      <c r="A808" t="s">
        <v>1018</v>
      </c>
      <c r="B808" t="s">
        <v>20</v>
      </c>
      <c r="C808" t="s">
        <v>21</v>
      </c>
    </row>
    <row r="809" spans="1:3" x14ac:dyDescent="0.25">
      <c r="A809" t="s">
        <v>1019</v>
      </c>
      <c r="B809" t="s">
        <v>27</v>
      </c>
      <c r="C809" t="s">
        <v>31</v>
      </c>
    </row>
    <row r="810" spans="1:3" x14ac:dyDescent="0.25">
      <c r="A810" t="s">
        <v>1020</v>
      </c>
      <c r="B810" t="s">
        <v>27</v>
      </c>
      <c r="C810" t="s">
        <v>31</v>
      </c>
    </row>
    <row r="811" spans="1:3" x14ac:dyDescent="0.25">
      <c r="A811" t="s">
        <v>1021</v>
      </c>
      <c r="B811" t="s">
        <v>27</v>
      </c>
      <c r="C811" t="s">
        <v>21</v>
      </c>
    </row>
    <row r="812" spans="1:3" x14ac:dyDescent="0.25">
      <c r="A812" t="s">
        <v>1022</v>
      </c>
      <c r="B812" t="s">
        <v>27</v>
      </c>
      <c r="C812" t="s">
        <v>21</v>
      </c>
    </row>
    <row r="813" spans="1:3" x14ac:dyDescent="0.25">
      <c r="A813" t="s">
        <v>1023</v>
      </c>
      <c r="B813" t="s">
        <v>20</v>
      </c>
      <c r="C813" t="s">
        <v>31</v>
      </c>
    </row>
    <row r="814" spans="1:3" x14ac:dyDescent="0.25">
      <c r="A814" t="s">
        <v>1024</v>
      </c>
      <c r="B814" t="s">
        <v>20</v>
      </c>
      <c r="C814" t="s">
        <v>31</v>
      </c>
    </row>
    <row r="815" spans="1:3" x14ac:dyDescent="0.25">
      <c r="A815" t="s">
        <v>1025</v>
      </c>
      <c r="B815" t="s">
        <v>20</v>
      </c>
      <c r="C815" t="s">
        <v>31</v>
      </c>
    </row>
    <row r="816" spans="1:3" x14ac:dyDescent="0.25">
      <c r="A816" t="s">
        <v>1026</v>
      </c>
      <c r="B816" t="s">
        <v>27</v>
      </c>
      <c r="C816" t="s">
        <v>21</v>
      </c>
    </row>
    <row r="817" spans="1:3" x14ac:dyDescent="0.25">
      <c r="A817" t="s">
        <v>1027</v>
      </c>
      <c r="B817" t="s">
        <v>27</v>
      </c>
      <c r="C817" t="s">
        <v>21</v>
      </c>
    </row>
    <row r="818" spans="1:3" x14ac:dyDescent="0.25">
      <c r="A818" t="s">
        <v>1028</v>
      </c>
      <c r="B818" t="s">
        <v>27</v>
      </c>
      <c r="C818" t="s">
        <v>31</v>
      </c>
    </row>
    <row r="819" spans="1:3" x14ac:dyDescent="0.25">
      <c r="A819" t="s">
        <v>1029</v>
      </c>
      <c r="B819" t="s">
        <v>27</v>
      </c>
      <c r="C819" t="s">
        <v>31</v>
      </c>
    </row>
    <row r="820" spans="1:3" x14ac:dyDescent="0.25">
      <c r="A820" t="s">
        <v>1030</v>
      </c>
      <c r="B820" t="s">
        <v>20</v>
      </c>
      <c r="C820" t="s">
        <v>21</v>
      </c>
    </row>
    <row r="821" spans="1:3" x14ac:dyDescent="0.25">
      <c r="A821" t="s">
        <v>1031</v>
      </c>
      <c r="B821" t="s">
        <v>27</v>
      </c>
      <c r="C821" t="s">
        <v>31</v>
      </c>
    </row>
    <row r="822" spans="1:3" x14ac:dyDescent="0.25">
      <c r="A822" t="s">
        <v>1032</v>
      </c>
      <c r="B822" t="s">
        <v>27</v>
      </c>
      <c r="C822" t="s">
        <v>21</v>
      </c>
    </row>
    <row r="823" spans="1:3" x14ac:dyDescent="0.25">
      <c r="A823" t="s">
        <v>1033</v>
      </c>
      <c r="B823" t="s">
        <v>20</v>
      </c>
      <c r="C823" t="s">
        <v>31</v>
      </c>
    </row>
    <row r="824" spans="1:3" x14ac:dyDescent="0.25">
      <c r="A824" t="s">
        <v>1034</v>
      </c>
      <c r="B824" t="s">
        <v>27</v>
      </c>
      <c r="C824" t="s">
        <v>31</v>
      </c>
    </row>
    <row r="825" spans="1:3" x14ac:dyDescent="0.25">
      <c r="A825" t="s">
        <v>1035</v>
      </c>
      <c r="B825" t="s">
        <v>20</v>
      </c>
      <c r="C825" t="s">
        <v>21</v>
      </c>
    </row>
    <row r="826" spans="1:3" x14ac:dyDescent="0.25">
      <c r="A826" t="s">
        <v>17</v>
      </c>
      <c r="B826" t="s">
        <v>20</v>
      </c>
      <c r="C826" t="s">
        <v>21</v>
      </c>
    </row>
    <row r="827" spans="1:3" x14ac:dyDescent="0.25">
      <c r="A827" t="s">
        <v>24</v>
      </c>
      <c r="B827" t="s">
        <v>27</v>
      </c>
      <c r="C827" t="s">
        <v>21</v>
      </c>
    </row>
    <row r="828" spans="1:3" x14ac:dyDescent="0.25">
      <c r="A828" t="s">
        <v>30</v>
      </c>
      <c r="B828" t="s">
        <v>27</v>
      </c>
      <c r="C828" t="s">
        <v>31</v>
      </c>
    </row>
    <row r="829" spans="1:3" x14ac:dyDescent="0.25">
      <c r="A829" t="s">
        <v>34</v>
      </c>
      <c r="B829" t="s">
        <v>20</v>
      </c>
      <c r="C829" t="s">
        <v>31</v>
      </c>
    </row>
    <row r="830" spans="1:3" x14ac:dyDescent="0.25">
      <c r="A830" t="s">
        <v>35</v>
      </c>
      <c r="B830" t="s">
        <v>27</v>
      </c>
      <c r="C830" t="s">
        <v>31</v>
      </c>
    </row>
    <row r="831" spans="1:3" x14ac:dyDescent="0.25">
      <c r="A831" t="s">
        <v>37</v>
      </c>
      <c r="B831" t="s">
        <v>27</v>
      </c>
      <c r="C831" t="s">
        <v>31</v>
      </c>
    </row>
    <row r="832" spans="1:3" x14ac:dyDescent="0.25">
      <c r="A832" t="s">
        <v>38</v>
      </c>
      <c r="B832" t="s">
        <v>20</v>
      </c>
      <c r="C832" t="s">
        <v>21</v>
      </c>
    </row>
    <row r="833" spans="1:3" x14ac:dyDescent="0.25">
      <c r="A833" t="s">
        <v>39</v>
      </c>
      <c r="B833" t="s">
        <v>27</v>
      </c>
      <c r="C833" t="s">
        <v>21</v>
      </c>
    </row>
    <row r="834" spans="1:3" x14ac:dyDescent="0.25">
      <c r="A834" t="s">
        <v>40</v>
      </c>
      <c r="B834" t="s">
        <v>20</v>
      </c>
      <c r="C834" t="s">
        <v>21</v>
      </c>
    </row>
    <row r="835" spans="1:3" x14ac:dyDescent="0.25">
      <c r="A835" t="s">
        <v>41</v>
      </c>
      <c r="B835" t="s">
        <v>20</v>
      </c>
      <c r="C835" t="s">
        <v>21</v>
      </c>
    </row>
    <row r="836" spans="1:3" x14ac:dyDescent="0.25">
      <c r="A836" t="s">
        <v>45</v>
      </c>
      <c r="B836" t="s">
        <v>20</v>
      </c>
      <c r="C836" t="s">
        <v>21</v>
      </c>
    </row>
    <row r="837" spans="1:3" x14ac:dyDescent="0.25">
      <c r="A837" t="s">
        <v>47</v>
      </c>
      <c r="B837" t="s">
        <v>20</v>
      </c>
      <c r="C837" t="s">
        <v>31</v>
      </c>
    </row>
    <row r="838" spans="1:3" x14ac:dyDescent="0.25">
      <c r="A838" t="s">
        <v>48</v>
      </c>
      <c r="B838" t="s">
        <v>27</v>
      </c>
      <c r="C838" t="s">
        <v>21</v>
      </c>
    </row>
    <row r="839" spans="1:3" x14ac:dyDescent="0.25">
      <c r="A839" t="s">
        <v>49</v>
      </c>
      <c r="B839" t="s">
        <v>27</v>
      </c>
      <c r="C839" t="s">
        <v>31</v>
      </c>
    </row>
    <row r="840" spans="1:3" x14ac:dyDescent="0.25">
      <c r="A840" t="s">
        <v>50</v>
      </c>
      <c r="B840" t="s">
        <v>27</v>
      </c>
      <c r="C840" t="s">
        <v>21</v>
      </c>
    </row>
    <row r="841" spans="1:3" x14ac:dyDescent="0.25">
      <c r="A841" t="s">
        <v>51</v>
      </c>
      <c r="B841" t="s">
        <v>20</v>
      </c>
      <c r="C841" t="s">
        <v>21</v>
      </c>
    </row>
    <row r="842" spans="1:3" x14ac:dyDescent="0.25">
      <c r="A842" t="s">
        <v>52</v>
      </c>
      <c r="B842" t="s">
        <v>20</v>
      </c>
      <c r="C842" t="s">
        <v>21</v>
      </c>
    </row>
    <row r="843" spans="1:3" x14ac:dyDescent="0.25">
      <c r="A843" t="s">
        <v>53</v>
      </c>
      <c r="B843" t="s">
        <v>27</v>
      </c>
      <c r="C843" t="s">
        <v>31</v>
      </c>
    </row>
    <row r="844" spans="1:3" x14ac:dyDescent="0.25">
      <c r="A844" t="s">
        <v>54</v>
      </c>
      <c r="B844" t="s">
        <v>27</v>
      </c>
      <c r="C844" t="s">
        <v>31</v>
      </c>
    </row>
    <row r="845" spans="1:3" x14ac:dyDescent="0.25">
      <c r="A845" t="s">
        <v>55</v>
      </c>
      <c r="B845" t="s">
        <v>27</v>
      </c>
      <c r="C845" t="s">
        <v>21</v>
      </c>
    </row>
    <row r="846" spans="1:3" x14ac:dyDescent="0.25">
      <c r="A846" t="s">
        <v>56</v>
      </c>
      <c r="B846" t="s">
        <v>20</v>
      </c>
      <c r="C846" t="s">
        <v>31</v>
      </c>
    </row>
    <row r="847" spans="1:3" x14ac:dyDescent="0.25">
      <c r="A847" t="s">
        <v>57</v>
      </c>
      <c r="B847" t="s">
        <v>27</v>
      </c>
      <c r="C847" t="s">
        <v>31</v>
      </c>
    </row>
    <row r="848" spans="1:3" x14ac:dyDescent="0.25">
      <c r="A848" t="s">
        <v>58</v>
      </c>
      <c r="B848" t="s">
        <v>27</v>
      </c>
      <c r="C848" t="s">
        <v>31</v>
      </c>
    </row>
    <row r="849" spans="1:3" x14ac:dyDescent="0.25">
      <c r="A849" t="s">
        <v>59</v>
      </c>
      <c r="B849" t="s">
        <v>27</v>
      </c>
      <c r="C849" t="s">
        <v>31</v>
      </c>
    </row>
    <row r="850" spans="1:3" x14ac:dyDescent="0.25">
      <c r="A850" t="s">
        <v>60</v>
      </c>
      <c r="B850" t="s">
        <v>20</v>
      </c>
      <c r="C850" t="s">
        <v>31</v>
      </c>
    </row>
    <row r="851" spans="1:3" x14ac:dyDescent="0.25">
      <c r="A851" t="s">
        <v>61</v>
      </c>
      <c r="B851" t="s">
        <v>20</v>
      </c>
      <c r="C851" t="s">
        <v>21</v>
      </c>
    </row>
    <row r="852" spans="1:3" x14ac:dyDescent="0.25">
      <c r="A852" t="s">
        <v>62</v>
      </c>
      <c r="B852" t="s">
        <v>27</v>
      </c>
      <c r="C852" t="s">
        <v>31</v>
      </c>
    </row>
    <row r="853" spans="1:3" x14ac:dyDescent="0.25">
      <c r="A853" t="s">
        <v>63</v>
      </c>
      <c r="B853" t="s">
        <v>27</v>
      </c>
      <c r="C853" t="s">
        <v>21</v>
      </c>
    </row>
    <row r="854" spans="1:3" x14ac:dyDescent="0.25">
      <c r="A854" t="s">
        <v>64</v>
      </c>
      <c r="B854" t="s">
        <v>27</v>
      </c>
      <c r="C854" t="s">
        <v>21</v>
      </c>
    </row>
    <row r="855" spans="1:3" x14ac:dyDescent="0.25">
      <c r="A855" t="s">
        <v>65</v>
      </c>
      <c r="B855" t="s">
        <v>27</v>
      </c>
      <c r="C855" t="s">
        <v>31</v>
      </c>
    </row>
    <row r="856" spans="1:3" x14ac:dyDescent="0.25">
      <c r="A856" t="s">
        <v>66</v>
      </c>
      <c r="B856" t="s">
        <v>27</v>
      </c>
      <c r="C856" t="s">
        <v>31</v>
      </c>
    </row>
    <row r="857" spans="1:3" x14ac:dyDescent="0.25">
      <c r="A857" t="s">
        <v>67</v>
      </c>
      <c r="B857" t="s">
        <v>20</v>
      </c>
      <c r="C857" t="s">
        <v>31</v>
      </c>
    </row>
    <row r="858" spans="1:3" x14ac:dyDescent="0.25">
      <c r="A858" t="s">
        <v>68</v>
      </c>
      <c r="B858" t="s">
        <v>27</v>
      </c>
      <c r="C858" t="s">
        <v>31</v>
      </c>
    </row>
    <row r="859" spans="1:3" x14ac:dyDescent="0.25">
      <c r="A859" t="s">
        <v>69</v>
      </c>
      <c r="B859" t="s">
        <v>27</v>
      </c>
      <c r="C859" t="s">
        <v>31</v>
      </c>
    </row>
    <row r="860" spans="1:3" x14ac:dyDescent="0.25">
      <c r="A860" t="s">
        <v>70</v>
      </c>
      <c r="B860" t="s">
        <v>20</v>
      </c>
      <c r="C860" t="s">
        <v>21</v>
      </c>
    </row>
    <row r="861" spans="1:3" x14ac:dyDescent="0.25">
      <c r="A861" t="s">
        <v>71</v>
      </c>
      <c r="B861" t="s">
        <v>20</v>
      </c>
      <c r="C861" t="s">
        <v>21</v>
      </c>
    </row>
    <row r="862" spans="1:3" x14ac:dyDescent="0.25">
      <c r="A862" t="s">
        <v>72</v>
      </c>
      <c r="B862" t="s">
        <v>20</v>
      </c>
      <c r="C862" t="s">
        <v>31</v>
      </c>
    </row>
    <row r="863" spans="1:3" x14ac:dyDescent="0.25">
      <c r="A863" t="s">
        <v>73</v>
      </c>
      <c r="B863" t="s">
        <v>27</v>
      </c>
      <c r="C863" t="s">
        <v>21</v>
      </c>
    </row>
    <row r="864" spans="1:3" x14ac:dyDescent="0.25">
      <c r="A864" t="s">
        <v>74</v>
      </c>
      <c r="B864" t="s">
        <v>27</v>
      </c>
      <c r="C864" t="s">
        <v>21</v>
      </c>
    </row>
    <row r="865" spans="1:3" x14ac:dyDescent="0.25">
      <c r="A865" t="s">
        <v>75</v>
      </c>
      <c r="B865" t="s">
        <v>20</v>
      </c>
      <c r="C865" t="s">
        <v>31</v>
      </c>
    </row>
    <row r="866" spans="1:3" x14ac:dyDescent="0.25">
      <c r="A866" t="s">
        <v>76</v>
      </c>
      <c r="B866" t="s">
        <v>20</v>
      </c>
      <c r="C866" t="s">
        <v>21</v>
      </c>
    </row>
    <row r="867" spans="1:3" x14ac:dyDescent="0.25">
      <c r="A867" t="s">
        <v>77</v>
      </c>
      <c r="B867" t="s">
        <v>20</v>
      </c>
      <c r="C867" t="s">
        <v>31</v>
      </c>
    </row>
    <row r="868" spans="1:3" x14ac:dyDescent="0.25">
      <c r="A868" t="s">
        <v>78</v>
      </c>
      <c r="B868" t="s">
        <v>20</v>
      </c>
      <c r="C868" t="s">
        <v>21</v>
      </c>
    </row>
    <row r="869" spans="1:3" x14ac:dyDescent="0.25">
      <c r="A869" t="s">
        <v>79</v>
      </c>
      <c r="B869" t="s">
        <v>20</v>
      </c>
      <c r="C869" t="s">
        <v>21</v>
      </c>
    </row>
    <row r="870" spans="1:3" x14ac:dyDescent="0.25">
      <c r="A870" t="s">
        <v>80</v>
      </c>
      <c r="B870" t="s">
        <v>20</v>
      </c>
      <c r="C870" t="s">
        <v>31</v>
      </c>
    </row>
    <row r="871" spans="1:3" x14ac:dyDescent="0.25">
      <c r="A871" t="s">
        <v>81</v>
      </c>
      <c r="B871" t="s">
        <v>20</v>
      </c>
      <c r="C871" t="s">
        <v>21</v>
      </c>
    </row>
    <row r="872" spans="1:3" x14ac:dyDescent="0.25">
      <c r="A872" t="s">
        <v>82</v>
      </c>
      <c r="B872" t="s">
        <v>20</v>
      </c>
      <c r="C872" t="s">
        <v>31</v>
      </c>
    </row>
    <row r="873" spans="1:3" x14ac:dyDescent="0.25">
      <c r="A873" t="s">
        <v>83</v>
      </c>
      <c r="B873" t="s">
        <v>20</v>
      </c>
      <c r="C873" t="s">
        <v>21</v>
      </c>
    </row>
    <row r="874" spans="1:3" x14ac:dyDescent="0.25">
      <c r="A874" t="s">
        <v>84</v>
      </c>
      <c r="B874" t="s">
        <v>20</v>
      </c>
      <c r="C874" t="s">
        <v>31</v>
      </c>
    </row>
    <row r="875" spans="1:3" x14ac:dyDescent="0.25">
      <c r="A875" t="s">
        <v>85</v>
      </c>
      <c r="B875" t="s">
        <v>20</v>
      </c>
      <c r="C875" t="s">
        <v>21</v>
      </c>
    </row>
    <row r="876" spans="1:3" x14ac:dyDescent="0.25">
      <c r="A876" t="s">
        <v>86</v>
      </c>
      <c r="B876" t="s">
        <v>20</v>
      </c>
      <c r="C876" t="s">
        <v>31</v>
      </c>
    </row>
    <row r="877" spans="1:3" x14ac:dyDescent="0.25">
      <c r="A877" t="s">
        <v>87</v>
      </c>
      <c r="B877" t="s">
        <v>20</v>
      </c>
      <c r="C877" t="s">
        <v>21</v>
      </c>
    </row>
    <row r="878" spans="1:3" x14ac:dyDescent="0.25">
      <c r="A878" t="s">
        <v>88</v>
      </c>
      <c r="B878" t="s">
        <v>20</v>
      </c>
      <c r="C878" t="s">
        <v>21</v>
      </c>
    </row>
    <row r="879" spans="1:3" x14ac:dyDescent="0.25">
      <c r="A879" t="s">
        <v>89</v>
      </c>
      <c r="B879" t="s">
        <v>20</v>
      </c>
      <c r="C879" t="s">
        <v>31</v>
      </c>
    </row>
    <row r="880" spans="1:3" x14ac:dyDescent="0.25">
      <c r="A880" t="s">
        <v>90</v>
      </c>
      <c r="B880" t="s">
        <v>27</v>
      </c>
      <c r="C880" t="s">
        <v>31</v>
      </c>
    </row>
    <row r="881" spans="1:3" x14ac:dyDescent="0.25">
      <c r="A881" t="s">
        <v>91</v>
      </c>
      <c r="B881" t="s">
        <v>27</v>
      </c>
      <c r="C881" t="s">
        <v>21</v>
      </c>
    </row>
    <row r="882" spans="1:3" x14ac:dyDescent="0.25">
      <c r="A882" t="s">
        <v>92</v>
      </c>
      <c r="B882" t="s">
        <v>20</v>
      </c>
      <c r="C882" t="s">
        <v>31</v>
      </c>
    </row>
    <row r="883" spans="1:3" x14ac:dyDescent="0.25">
      <c r="A883" t="s">
        <v>93</v>
      </c>
      <c r="B883" t="s">
        <v>27</v>
      </c>
      <c r="C883" t="s">
        <v>31</v>
      </c>
    </row>
    <row r="884" spans="1:3" x14ac:dyDescent="0.25">
      <c r="A884" t="s">
        <v>94</v>
      </c>
      <c r="B884" t="s">
        <v>20</v>
      </c>
      <c r="C884" t="s">
        <v>21</v>
      </c>
    </row>
    <row r="885" spans="1:3" x14ac:dyDescent="0.25">
      <c r="A885" t="s">
        <v>95</v>
      </c>
      <c r="B885" t="s">
        <v>27</v>
      </c>
      <c r="C885" t="s">
        <v>31</v>
      </c>
    </row>
    <row r="886" spans="1:3" x14ac:dyDescent="0.25">
      <c r="A886" t="s">
        <v>96</v>
      </c>
      <c r="B886" t="s">
        <v>20</v>
      </c>
      <c r="C886" t="s">
        <v>21</v>
      </c>
    </row>
    <row r="887" spans="1:3" x14ac:dyDescent="0.25">
      <c r="A887" t="s">
        <v>97</v>
      </c>
      <c r="B887" t="s">
        <v>27</v>
      </c>
      <c r="C887" t="s">
        <v>31</v>
      </c>
    </row>
    <row r="888" spans="1:3" x14ac:dyDescent="0.25">
      <c r="A888" t="s">
        <v>98</v>
      </c>
      <c r="B888" t="s">
        <v>20</v>
      </c>
      <c r="C888" t="s">
        <v>21</v>
      </c>
    </row>
    <row r="889" spans="1:3" x14ac:dyDescent="0.25">
      <c r="A889" t="s">
        <v>99</v>
      </c>
      <c r="B889" t="s">
        <v>20</v>
      </c>
      <c r="C889" t="s">
        <v>31</v>
      </c>
    </row>
    <row r="890" spans="1:3" x14ac:dyDescent="0.25">
      <c r="A890" t="s">
        <v>100</v>
      </c>
      <c r="B890" t="s">
        <v>20</v>
      </c>
      <c r="C890" t="s">
        <v>31</v>
      </c>
    </row>
    <row r="891" spans="1:3" x14ac:dyDescent="0.25">
      <c r="A891" t="s">
        <v>101</v>
      </c>
      <c r="B891" t="s">
        <v>20</v>
      </c>
      <c r="C891" t="s">
        <v>31</v>
      </c>
    </row>
    <row r="892" spans="1:3" x14ac:dyDescent="0.25">
      <c r="A892" t="s">
        <v>102</v>
      </c>
      <c r="B892" t="s">
        <v>27</v>
      </c>
      <c r="C892" t="s">
        <v>21</v>
      </c>
    </row>
    <row r="893" spans="1:3" x14ac:dyDescent="0.25">
      <c r="A893" t="s">
        <v>103</v>
      </c>
      <c r="B893" t="s">
        <v>20</v>
      </c>
      <c r="C893" t="s">
        <v>21</v>
      </c>
    </row>
    <row r="894" spans="1:3" x14ac:dyDescent="0.25">
      <c r="A894" t="s">
        <v>104</v>
      </c>
      <c r="B894" t="s">
        <v>27</v>
      </c>
      <c r="C894" t="s">
        <v>31</v>
      </c>
    </row>
    <row r="895" spans="1:3" x14ac:dyDescent="0.25">
      <c r="A895" t="s">
        <v>105</v>
      </c>
      <c r="B895" t="s">
        <v>20</v>
      </c>
      <c r="C895" t="s">
        <v>21</v>
      </c>
    </row>
    <row r="896" spans="1:3" x14ac:dyDescent="0.25">
      <c r="A896" t="s">
        <v>106</v>
      </c>
      <c r="B896" t="s">
        <v>27</v>
      </c>
      <c r="C896" t="s">
        <v>31</v>
      </c>
    </row>
    <row r="897" spans="1:3" x14ac:dyDescent="0.25">
      <c r="A897" t="s">
        <v>107</v>
      </c>
      <c r="B897" t="s">
        <v>27</v>
      </c>
      <c r="C897" t="s">
        <v>31</v>
      </c>
    </row>
    <row r="898" spans="1:3" x14ac:dyDescent="0.25">
      <c r="A898" t="s">
        <v>108</v>
      </c>
      <c r="B898" t="s">
        <v>20</v>
      </c>
      <c r="C898" t="s">
        <v>21</v>
      </c>
    </row>
    <row r="899" spans="1:3" x14ac:dyDescent="0.25">
      <c r="A899" t="s">
        <v>109</v>
      </c>
      <c r="B899" t="s">
        <v>27</v>
      </c>
      <c r="C899" t="s">
        <v>21</v>
      </c>
    </row>
    <row r="900" spans="1:3" x14ac:dyDescent="0.25">
      <c r="A900" t="s">
        <v>110</v>
      </c>
      <c r="B900" t="s">
        <v>27</v>
      </c>
      <c r="C900" t="s">
        <v>31</v>
      </c>
    </row>
    <row r="901" spans="1:3" x14ac:dyDescent="0.25">
      <c r="A901" t="s">
        <v>111</v>
      </c>
      <c r="B901" t="s">
        <v>27</v>
      </c>
      <c r="C901" t="s">
        <v>21</v>
      </c>
    </row>
    <row r="902" spans="1:3" x14ac:dyDescent="0.25">
      <c r="A902" t="s">
        <v>112</v>
      </c>
      <c r="B902" t="s">
        <v>20</v>
      </c>
      <c r="C902" t="s">
        <v>31</v>
      </c>
    </row>
    <row r="903" spans="1:3" x14ac:dyDescent="0.25">
      <c r="A903" t="s">
        <v>113</v>
      </c>
      <c r="B903" t="s">
        <v>20</v>
      </c>
      <c r="C903" t="s">
        <v>21</v>
      </c>
    </row>
    <row r="904" spans="1:3" x14ac:dyDescent="0.25">
      <c r="A904" t="s">
        <v>114</v>
      </c>
      <c r="B904" t="s">
        <v>20</v>
      </c>
      <c r="C904" t="s">
        <v>21</v>
      </c>
    </row>
    <row r="905" spans="1:3" x14ac:dyDescent="0.25">
      <c r="A905" t="s">
        <v>115</v>
      </c>
      <c r="B905" t="s">
        <v>27</v>
      </c>
      <c r="C905" t="s">
        <v>21</v>
      </c>
    </row>
    <row r="906" spans="1:3" x14ac:dyDescent="0.25">
      <c r="A906" t="s">
        <v>116</v>
      </c>
      <c r="B906" t="s">
        <v>27</v>
      </c>
      <c r="C906" t="s">
        <v>21</v>
      </c>
    </row>
    <row r="907" spans="1:3" x14ac:dyDescent="0.25">
      <c r="A907" t="s">
        <v>117</v>
      </c>
      <c r="B907" t="s">
        <v>27</v>
      </c>
      <c r="C907" t="s">
        <v>21</v>
      </c>
    </row>
    <row r="908" spans="1:3" x14ac:dyDescent="0.25">
      <c r="A908" t="s">
        <v>118</v>
      </c>
      <c r="B908" t="s">
        <v>27</v>
      </c>
      <c r="C908" t="s">
        <v>31</v>
      </c>
    </row>
    <row r="909" spans="1:3" x14ac:dyDescent="0.25">
      <c r="A909" t="s">
        <v>119</v>
      </c>
      <c r="B909" t="s">
        <v>20</v>
      </c>
      <c r="C909" t="s">
        <v>21</v>
      </c>
    </row>
    <row r="910" spans="1:3" x14ac:dyDescent="0.25">
      <c r="A910" t="s">
        <v>120</v>
      </c>
      <c r="B910" t="s">
        <v>20</v>
      </c>
      <c r="C910" t="s">
        <v>31</v>
      </c>
    </row>
    <row r="911" spans="1:3" x14ac:dyDescent="0.25">
      <c r="A911" t="s">
        <v>121</v>
      </c>
      <c r="B911" t="s">
        <v>27</v>
      </c>
      <c r="C911" t="s">
        <v>21</v>
      </c>
    </row>
    <row r="912" spans="1:3" x14ac:dyDescent="0.25">
      <c r="A912" t="s">
        <v>122</v>
      </c>
      <c r="B912" t="s">
        <v>27</v>
      </c>
      <c r="C912" t="s">
        <v>31</v>
      </c>
    </row>
    <row r="913" spans="1:3" x14ac:dyDescent="0.25">
      <c r="A913" t="s">
        <v>123</v>
      </c>
      <c r="B913" t="s">
        <v>20</v>
      </c>
      <c r="C913" t="s">
        <v>31</v>
      </c>
    </row>
    <row r="914" spans="1:3" x14ac:dyDescent="0.25">
      <c r="A914" t="s">
        <v>124</v>
      </c>
      <c r="B914" t="s">
        <v>27</v>
      </c>
      <c r="C914" t="s">
        <v>31</v>
      </c>
    </row>
    <row r="915" spans="1:3" x14ac:dyDescent="0.25">
      <c r="A915" t="s">
        <v>125</v>
      </c>
      <c r="B915" t="s">
        <v>27</v>
      </c>
      <c r="C915" t="s">
        <v>21</v>
      </c>
    </row>
    <row r="916" spans="1:3" x14ac:dyDescent="0.25">
      <c r="A916" t="s">
        <v>126</v>
      </c>
      <c r="B916" t="s">
        <v>20</v>
      </c>
      <c r="C916" t="s">
        <v>21</v>
      </c>
    </row>
    <row r="917" spans="1:3" x14ac:dyDescent="0.25">
      <c r="A917" t="s">
        <v>127</v>
      </c>
      <c r="B917" t="s">
        <v>27</v>
      </c>
      <c r="C917" t="s">
        <v>21</v>
      </c>
    </row>
    <row r="918" spans="1:3" x14ac:dyDescent="0.25">
      <c r="A918" t="s">
        <v>128</v>
      </c>
      <c r="B918" t="s">
        <v>20</v>
      </c>
      <c r="C918" t="s">
        <v>21</v>
      </c>
    </row>
    <row r="919" spans="1:3" x14ac:dyDescent="0.25">
      <c r="A919" t="s">
        <v>129</v>
      </c>
      <c r="B919" t="s">
        <v>20</v>
      </c>
      <c r="C919" t="s">
        <v>31</v>
      </c>
    </row>
    <row r="920" spans="1:3" x14ac:dyDescent="0.25">
      <c r="A920" t="s">
        <v>130</v>
      </c>
      <c r="B920" t="s">
        <v>27</v>
      </c>
      <c r="C920" t="s">
        <v>31</v>
      </c>
    </row>
    <row r="921" spans="1:3" x14ac:dyDescent="0.25">
      <c r="A921" t="s">
        <v>131</v>
      </c>
      <c r="B921" t="s">
        <v>27</v>
      </c>
      <c r="C921" t="s">
        <v>31</v>
      </c>
    </row>
    <row r="922" spans="1:3" x14ac:dyDescent="0.25">
      <c r="A922" t="s">
        <v>132</v>
      </c>
      <c r="B922" t="s">
        <v>27</v>
      </c>
      <c r="C922" t="s">
        <v>31</v>
      </c>
    </row>
    <row r="923" spans="1:3" x14ac:dyDescent="0.25">
      <c r="A923" t="s">
        <v>133</v>
      </c>
      <c r="B923" t="s">
        <v>27</v>
      </c>
      <c r="C923" t="s">
        <v>21</v>
      </c>
    </row>
    <row r="924" spans="1:3" x14ac:dyDescent="0.25">
      <c r="A924" t="s">
        <v>134</v>
      </c>
      <c r="B924" t="s">
        <v>27</v>
      </c>
      <c r="C924" t="s">
        <v>31</v>
      </c>
    </row>
    <row r="925" spans="1:3" x14ac:dyDescent="0.25">
      <c r="A925" t="s">
        <v>135</v>
      </c>
      <c r="B925" t="s">
        <v>27</v>
      </c>
      <c r="C925" t="s">
        <v>31</v>
      </c>
    </row>
    <row r="926" spans="1:3" x14ac:dyDescent="0.25">
      <c r="A926" t="s">
        <v>136</v>
      </c>
      <c r="B926" t="s">
        <v>20</v>
      </c>
      <c r="C926" t="s">
        <v>31</v>
      </c>
    </row>
    <row r="927" spans="1:3" x14ac:dyDescent="0.25">
      <c r="A927" t="s">
        <v>137</v>
      </c>
      <c r="B927" t="s">
        <v>27</v>
      </c>
      <c r="C927" t="s">
        <v>31</v>
      </c>
    </row>
    <row r="928" spans="1:3" x14ac:dyDescent="0.25">
      <c r="A928" t="s">
        <v>138</v>
      </c>
      <c r="B928" t="s">
        <v>27</v>
      </c>
      <c r="C928" t="s">
        <v>21</v>
      </c>
    </row>
    <row r="929" spans="1:3" x14ac:dyDescent="0.25">
      <c r="A929" t="s">
        <v>139</v>
      </c>
      <c r="B929" t="s">
        <v>27</v>
      </c>
      <c r="C929" t="s">
        <v>31</v>
      </c>
    </row>
    <row r="930" spans="1:3" x14ac:dyDescent="0.25">
      <c r="A930" t="s">
        <v>140</v>
      </c>
      <c r="B930" t="s">
        <v>27</v>
      </c>
      <c r="C930" t="s">
        <v>31</v>
      </c>
    </row>
    <row r="931" spans="1:3" x14ac:dyDescent="0.25">
      <c r="A931" t="s">
        <v>141</v>
      </c>
      <c r="B931" t="s">
        <v>20</v>
      </c>
      <c r="C931" t="s">
        <v>31</v>
      </c>
    </row>
    <row r="932" spans="1:3" x14ac:dyDescent="0.25">
      <c r="A932" t="s">
        <v>142</v>
      </c>
      <c r="B932" t="s">
        <v>27</v>
      </c>
      <c r="C932" t="s">
        <v>31</v>
      </c>
    </row>
    <row r="933" spans="1:3" x14ac:dyDescent="0.25">
      <c r="A933" t="s">
        <v>143</v>
      </c>
      <c r="B933" t="s">
        <v>27</v>
      </c>
      <c r="C933" t="s">
        <v>31</v>
      </c>
    </row>
    <row r="934" spans="1:3" x14ac:dyDescent="0.25">
      <c r="A934" t="s">
        <v>144</v>
      </c>
      <c r="B934" t="s">
        <v>27</v>
      </c>
      <c r="C934" t="s">
        <v>21</v>
      </c>
    </row>
    <row r="935" spans="1:3" x14ac:dyDescent="0.25">
      <c r="A935" t="s">
        <v>145</v>
      </c>
      <c r="B935" t="s">
        <v>20</v>
      </c>
      <c r="C935" t="s">
        <v>31</v>
      </c>
    </row>
    <row r="936" spans="1:3" x14ac:dyDescent="0.25">
      <c r="A936" t="s">
        <v>146</v>
      </c>
      <c r="B936" t="s">
        <v>20</v>
      </c>
      <c r="C936" t="s">
        <v>21</v>
      </c>
    </row>
    <row r="937" spans="1:3" x14ac:dyDescent="0.25">
      <c r="A937" t="s">
        <v>147</v>
      </c>
      <c r="B937" t="s">
        <v>20</v>
      </c>
      <c r="C937" t="s">
        <v>21</v>
      </c>
    </row>
    <row r="938" spans="1:3" x14ac:dyDescent="0.25">
      <c r="A938" t="s">
        <v>148</v>
      </c>
      <c r="B938" t="s">
        <v>27</v>
      </c>
      <c r="C938" t="s">
        <v>21</v>
      </c>
    </row>
    <row r="939" spans="1:3" x14ac:dyDescent="0.25">
      <c r="A939" t="s">
        <v>149</v>
      </c>
      <c r="B939" t="s">
        <v>20</v>
      </c>
      <c r="C939" t="s">
        <v>31</v>
      </c>
    </row>
    <row r="940" spans="1:3" x14ac:dyDescent="0.25">
      <c r="A940" t="s">
        <v>150</v>
      </c>
      <c r="B940" t="s">
        <v>20</v>
      </c>
      <c r="C940" t="s">
        <v>21</v>
      </c>
    </row>
    <row r="941" spans="1:3" x14ac:dyDescent="0.25">
      <c r="A941" t="s">
        <v>151</v>
      </c>
      <c r="B941" t="s">
        <v>27</v>
      </c>
      <c r="C941" t="s">
        <v>21</v>
      </c>
    </row>
    <row r="942" spans="1:3" x14ac:dyDescent="0.25">
      <c r="A942" t="s">
        <v>152</v>
      </c>
      <c r="B942" t="s">
        <v>20</v>
      </c>
      <c r="C942" t="s">
        <v>31</v>
      </c>
    </row>
    <row r="943" spans="1:3" x14ac:dyDescent="0.25">
      <c r="A943" t="s">
        <v>153</v>
      </c>
      <c r="B943" t="s">
        <v>20</v>
      </c>
      <c r="C943" t="s">
        <v>31</v>
      </c>
    </row>
    <row r="944" spans="1:3" x14ac:dyDescent="0.25">
      <c r="A944" t="s">
        <v>154</v>
      </c>
      <c r="B944" t="s">
        <v>27</v>
      </c>
      <c r="C944" t="s">
        <v>21</v>
      </c>
    </row>
    <row r="945" spans="1:3" x14ac:dyDescent="0.25">
      <c r="A945" t="s">
        <v>155</v>
      </c>
      <c r="B945" t="s">
        <v>27</v>
      </c>
      <c r="C945" t="s">
        <v>31</v>
      </c>
    </row>
    <row r="946" spans="1:3" x14ac:dyDescent="0.25">
      <c r="A946" t="s">
        <v>156</v>
      </c>
      <c r="B946" t="s">
        <v>27</v>
      </c>
      <c r="C946" t="s">
        <v>21</v>
      </c>
    </row>
    <row r="947" spans="1:3" x14ac:dyDescent="0.25">
      <c r="A947" t="s">
        <v>157</v>
      </c>
      <c r="B947" t="s">
        <v>20</v>
      </c>
      <c r="C947" t="s">
        <v>31</v>
      </c>
    </row>
    <row r="948" spans="1:3" x14ac:dyDescent="0.25">
      <c r="A948" t="s">
        <v>158</v>
      </c>
      <c r="B948" t="s">
        <v>20</v>
      </c>
      <c r="C948" t="s">
        <v>31</v>
      </c>
    </row>
    <row r="949" spans="1:3" x14ac:dyDescent="0.25">
      <c r="A949" t="s">
        <v>159</v>
      </c>
      <c r="B949" t="s">
        <v>20</v>
      </c>
      <c r="C949" t="s">
        <v>31</v>
      </c>
    </row>
    <row r="950" spans="1:3" x14ac:dyDescent="0.25">
      <c r="A950" t="s">
        <v>160</v>
      </c>
      <c r="B950" t="s">
        <v>20</v>
      </c>
      <c r="C950" t="s">
        <v>21</v>
      </c>
    </row>
    <row r="951" spans="1:3" x14ac:dyDescent="0.25">
      <c r="A951" t="s">
        <v>161</v>
      </c>
      <c r="B951" t="s">
        <v>27</v>
      </c>
      <c r="C951" t="s">
        <v>21</v>
      </c>
    </row>
    <row r="952" spans="1:3" x14ac:dyDescent="0.25">
      <c r="A952" t="s">
        <v>162</v>
      </c>
      <c r="B952" t="s">
        <v>27</v>
      </c>
      <c r="C952" t="s">
        <v>21</v>
      </c>
    </row>
    <row r="953" spans="1:3" x14ac:dyDescent="0.25">
      <c r="A953" t="s">
        <v>163</v>
      </c>
      <c r="B953" t="s">
        <v>27</v>
      </c>
      <c r="C953" t="s">
        <v>21</v>
      </c>
    </row>
    <row r="954" spans="1:3" x14ac:dyDescent="0.25">
      <c r="A954" t="s">
        <v>164</v>
      </c>
      <c r="B954" t="s">
        <v>20</v>
      </c>
      <c r="C954" t="s">
        <v>21</v>
      </c>
    </row>
    <row r="955" spans="1:3" x14ac:dyDescent="0.25">
      <c r="A955" t="s">
        <v>165</v>
      </c>
      <c r="B955" t="s">
        <v>27</v>
      </c>
      <c r="C955" t="s">
        <v>21</v>
      </c>
    </row>
    <row r="956" spans="1:3" x14ac:dyDescent="0.25">
      <c r="A956" t="s">
        <v>166</v>
      </c>
      <c r="B956" t="s">
        <v>27</v>
      </c>
      <c r="C956" t="s">
        <v>21</v>
      </c>
    </row>
    <row r="957" spans="1:3" x14ac:dyDescent="0.25">
      <c r="A957" t="s">
        <v>167</v>
      </c>
      <c r="B957" t="s">
        <v>20</v>
      </c>
      <c r="C957" t="s">
        <v>21</v>
      </c>
    </row>
    <row r="958" spans="1:3" x14ac:dyDescent="0.25">
      <c r="A958" t="s">
        <v>168</v>
      </c>
      <c r="B958" t="s">
        <v>27</v>
      </c>
      <c r="C958" t="s">
        <v>21</v>
      </c>
    </row>
    <row r="959" spans="1:3" x14ac:dyDescent="0.25">
      <c r="A959" t="s">
        <v>169</v>
      </c>
      <c r="B959" t="s">
        <v>20</v>
      </c>
      <c r="C959" t="s">
        <v>31</v>
      </c>
    </row>
    <row r="960" spans="1:3" x14ac:dyDescent="0.25">
      <c r="A960" t="s">
        <v>170</v>
      </c>
      <c r="B960" t="s">
        <v>27</v>
      </c>
      <c r="C960" t="s">
        <v>21</v>
      </c>
    </row>
    <row r="961" spans="1:3" x14ac:dyDescent="0.25">
      <c r="A961" t="s">
        <v>171</v>
      </c>
      <c r="B961" t="s">
        <v>27</v>
      </c>
      <c r="C961" t="s">
        <v>31</v>
      </c>
    </row>
    <row r="962" spans="1:3" x14ac:dyDescent="0.25">
      <c r="A962" t="s">
        <v>172</v>
      </c>
      <c r="B962" t="s">
        <v>27</v>
      </c>
      <c r="C962" t="s">
        <v>21</v>
      </c>
    </row>
    <row r="963" spans="1:3" x14ac:dyDescent="0.25">
      <c r="A963" t="s">
        <v>173</v>
      </c>
      <c r="B963" t="s">
        <v>20</v>
      </c>
      <c r="C963" t="s">
        <v>21</v>
      </c>
    </row>
    <row r="964" spans="1:3" x14ac:dyDescent="0.25">
      <c r="A964" t="s">
        <v>174</v>
      </c>
      <c r="B964" t="s">
        <v>27</v>
      </c>
      <c r="C964" t="s">
        <v>31</v>
      </c>
    </row>
    <row r="965" spans="1:3" x14ac:dyDescent="0.25">
      <c r="A965" t="s">
        <v>175</v>
      </c>
      <c r="B965" t="s">
        <v>27</v>
      </c>
      <c r="C965" t="s">
        <v>31</v>
      </c>
    </row>
    <row r="966" spans="1:3" x14ac:dyDescent="0.25">
      <c r="A966" t="s">
        <v>176</v>
      </c>
      <c r="B966" t="s">
        <v>20</v>
      </c>
      <c r="C966" t="s">
        <v>21</v>
      </c>
    </row>
    <row r="967" spans="1:3" x14ac:dyDescent="0.25">
      <c r="A967" t="s">
        <v>177</v>
      </c>
      <c r="B967" t="s">
        <v>20</v>
      </c>
      <c r="C967" t="s">
        <v>31</v>
      </c>
    </row>
    <row r="968" spans="1:3" x14ac:dyDescent="0.25">
      <c r="A968" t="s">
        <v>178</v>
      </c>
      <c r="B968" t="s">
        <v>20</v>
      </c>
      <c r="C968" t="s">
        <v>21</v>
      </c>
    </row>
    <row r="969" spans="1:3" x14ac:dyDescent="0.25">
      <c r="A969" t="s">
        <v>179</v>
      </c>
      <c r="B969" t="s">
        <v>20</v>
      </c>
      <c r="C969" t="s">
        <v>21</v>
      </c>
    </row>
    <row r="970" spans="1:3" x14ac:dyDescent="0.25">
      <c r="A970" t="s">
        <v>180</v>
      </c>
      <c r="B970" t="s">
        <v>27</v>
      </c>
      <c r="C970" t="s">
        <v>21</v>
      </c>
    </row>
    <row r="971" spans="1:3" x14ac:dyDescent="0.25">
      <c r="A971" t="s">
        <v>181</v>
      </c>
      <c r="B971" t="s">
        <v>27</v>
      </c>
      <c r="C971" t="s">
        <v>21</v>
      </c>
    </row>
    <row r="972" spans="1:3" x14ac:dyDescent="0.25">
      <c r="A972" t="s">
        <v>182</v>
      </c>
      <c r="B972" t="s">
        <v>20</v>
      </c>
      <c r="C972" t="s">
        <v>21</v>
      </c>
    </row>
    <row r="973" spans="1:3" x14ac:dyDescent="0.25">
      <c r="A973" t="s">
        <v>183</v>
      </c>
      <c r="B973" t="s">
        <v>27</v>
      </c>
      <c r="C973" t="s">
        <v>31</v>
      </c>
    </row>
    <row r="974" spans="1:3" x14ac:dyDescent="0.25">
      <c r="A974" t="s">
        <v>184</v>
      </c>
      <c r="B974" t="s">
        <v>20</v>
      </c>
      <c r="C974" t="s">
        <v>31</v>
      </c>
    </row>
    <row r="975" spans="1:3" x14ac:dyDescent="0.25">
      <c r="A975" t="s">
        <v>185</v>
      </c>
      <c r="B975" t="s">
        <v>27</v>
      </c>
      <c r="C975" t="s">
        <v>31</v>
      </c>
    </row>
    <row r="976" spans="1:3" x14ac:dyDescent="0.25">
      <c r="A976" t="s">
        <v>186</v>
      </c>
      <c r="B976" t="s">
        <v>20</v>
      </c>
      <c r="C976" t="s">
        <v>21</v>
      </c>
    </row>
    <row r="977" spans="1:3" x14ac:dyDescent="0.25">
      <c r="A977" t="s">
        <v>187</v>
      </c>
      <c r="B977" t="s">
        <v>20</v>
      </c>
      <c r="C977" t="s">
        <v>31</v>
      </c>
    </row>
    <row r="978" spans="1:3" x14ac:dyDescent="0.25">
      <c r="A978" t="s">
        <v>188</v>
      </c>
      <c r="B978" t="s">
        <v>27</v>
      </c>
      <c r="C978" t="s">
        <v>31</v>
      </c>
    </row>
    <row r="979" spans="1:3" x14ac:dyDescent="0.25">
      <c r="A979" t="s">
        <v>189</v>
      </c>
      <c r="B979" t="s">
        <v>27</v>
      </c>
      <c r="C979" t="s">
        <v>21</v>
      </c>
    </row>
    <row r="980" spans="1:3" x14ac:dyDescent="0.25">
      <c r="A980" t="s">
        <v>190</v>
      </c>
      <c r="B980" t="s">
        <v>27</v>
      </c>
      <c r="C980" t="s">
        <v>21</v>
      </c>
    </row>
    <row r="981" spans="1:3" x14ac:dyDescent="0.25">
      <c r="A981" t="s">
        <v>191</v>
      </c>
      <c r="B981" t="s">
        <v>20</v>
      </c>
      <c r="C981" t="s">
        <v>31</v>
      </c>
    </row>
    <row r="982" spans="1:3" x14ac:dyDescent="0.25">
      <c r="A982" t="s">
        <v>192</v>
      </c>
      <c r="B982" t="s">
        <v>20</v>
      </c>
      <c r="C982" t="s">
        <v>31</v>
      </c>
    </row>
    <row r="983" spans="1:3" x14ac:dyDescent="0.25">
      <c r="A983" t="s">
        <v>193</v>
      </c>
      <c r="B983" t="s">
        <v>27</v>
      </c>
      <c r="C983" t="s">
        <v>31</v>
      </c>
    </row>
    <row r="984" spans="1:3" x14ac:dyDescent="0.25">
      <c r="A984" t="s">
        <v>194</v>
      </c>
      <c r="B984" t="s">
        <v>20</v>
      </c>
      <c r="C984" t="s">
        <v>31</v>
      </c>
    </row>
    <row r="985" spans="1:3" x14ac:dyDescent="0.25">
      <c r="A985" t="s">
        <v>195</v>
      </c>
      <c r="B985" t="s">
        <v>27</v>
      </c>
      <c r="C985" t="s">
        <v>31</v>
      </c>
    </row>
    <row r="986" spans="1:3" x14ac:dyDescent="0.25">
      <c r="A986" t="s">
        <v>196</v>
      </c>
      <c r="B986" t="s">
        <v>27</v>
      </c>
      <c r="C986" t="s">
        <v>21</v>
      </c>
    </row>
    <row r="987" spans="1:3" x14ac:dyDescent="0.25">
      <c r="A987" t="s">
        <v>197</v>
      </c>
      <c r="B987" t="s">
        <v>27</v>
      </c>
      <c r="C987" t="s">
        <v>31</v>
      </c>
    </row>
    <row r="988" spans="1:3" x14ac:dyDescent="0.25">
      <c r="A988" t="s">
        <v>198</v>
      </c>
      <c r="B988" t="s">
        <v>27</v>
      </c>
      <c r="C988" t="s">
        <v>31</v>
      </c>
    </row>
    <row r="989" spans="1:3" x14ac:dyDescent="0.25">
      <c r="A989" t="s">
        <v>199</v>
      </c>
      <c r="B989" t="s">
        <v>27</v>
      </c>
      <c r="C989" t="s">
        <v>31</v>
      </c>
    </row>
    <row r="990" spans="1:3" x14ac:dyDescent="0.25">
      <c r="A990" t="s">
        <v>200</v>
      </c>
      <c r="B990" t="s">
        <v>27</v>
      </c>
      <c r="C990" t="s">
        <v>31</v>
      </c>
    </row>
    <row r="991" spans="1:3" x14ac:dyDescent="0.25">
      <c r="A991" t="s">
        <v>201</v>
      </c>
      <c r="B991" t="s">
        <v>20</v>
      </c>
      <c r="C991" t="s">
        <v>31</v>
      </c>
    </row>
    <row r="992" spans="1:3" x14ac:dyDescent="0.25">
      <c r="A992" t="s">
        <v>202</v>
      </c>
      <c r="B992" t="s">
        <v>27</v>
      </c>
      <c r="C992" t="s">
        <v>31</v>
      </c>
    </row>
    <row r="993" spans="1:3" x14ac:dyDescent="0.25">
      <c r="A993" t="s">
        <v>203</v>
      </c>
      <c r="B993" t="s">
        <v>27</v>
      </c>
      <c r="C993" t="s">
        <v>31</v>
      </c>
    </row>
    <row r="994" spans="1:3" x14ac:dyDescent="0.25">
      <c r="A994" t="s">
        <v>204</v>
      </c>
      <c r="B994" t="s">
        <v>27</v>
      </c>
      <c r="C994" t="s">
        <v>31</v>
      </c>
    </row>
    <row r="995" spans="1:3" x14ac:dyDescent="0.25">
      <c r="A995" t="s">
        <v>205</v>
      </c>
      <c r="B995" t="s">
        <v>20</v>
      </c>
      <c r="C995" t="s">
        <v>31</v>
      </c>
    </row>
    <row r="996" spans="1:3" x14ac:dyDescent="0.25">
      <c r="A996" t="s">
        <v>206</v>
      </c>
      <c r="B996" t="s">
        <v>27</v>
      </c>
      <c r="C996" t="s">
        <v>31</v>
      </c>
    </row>
    <row r="997" spans="1:3" x14ac:dyDescent="0.25">
      <c r="A997" t="s">
        <v>207</v>
      </c>
      <c r="B997" t="s">
        <v>20</v>
      </c>
      <c r="C997" t="s">
        <v>31</v>
      </c>
    </row>
    <row r="998" spans="1:3" x14ac:dyDescent="0.25">
      <c r="A998" t="s">
        <v>208</v>
      </c>
      <c r="B998" t="s">
        <v>27</v>
      </c>
      <c r="C998" t="s">
        <v>31</v>
      </c>
    </row>
    <row r="999" spans="1:3" x14ac:dyDescent="0.25">
      <c r="A999" t="s">
        <v>209</v>
      </c>
      <c r="B999" t="s">
        <v>20</v>
      </c>
      <c r="C999" t="s">
        <v>31</v>
      </c>
    </row>
    <row r="1000" spans="1:3" x14ac:dyDescent="0.25">
      <c r="A1000" t="s">
        <v>210</v>
      </c>
      <c r="B1000" t="s">
        <v>27</v>
      </c>
      <c r="C1000" t="s">
        <v>31</v>
      </c>
    </row>
    <row r="1001" spans="1:3" x14ac:dyDescent="0.25">
      <c r="A1001" t="s">
        <v>211</v>
      </c>
      <c r="B1001" t="s">
        <v>20</v>
      </c>
      <c r="C1001" t="s">
        <v>31</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dimension ref="A1:B1001"/>
  <sheetViews>
    <sheetView workbookViewId="0">
      <selection activeCell="G24" sqref="G24"/>
    </sheetView>
  </sheetViews>
  <sheetFormatPr defaultRowHeight="15" x14ac:dyDescent="0.25"/>
  <cols>
    <col min="1" max="1" width="11.28515625" bestFit="1" customWidth="1"/>
    <col min="2" max="2" width="19.85546875" bestFit="1" customWidth="1"/>
  </cols>
  <sheetData>
    <row r="1" spans="1:2" x14ac:dyDescent="0.25">
      <c r="A1" s="3" t="s">
        <v>0</v>
      </c>
      <c r="B1" s="3" t="s">
        <v>5</v>
      </c>
    </row>
    <row r="2" spans="1:2" x14ac:dyDescent="0.25">
      <c r="A2" t="s">
        <v>204</v>
      </c>
      <c r="B2" t="s">
        <v>44</v>
      </c>
    </row>
    <row r="3" spans="1:2" x14ac:dyDescent="0.25">
      <c r="A3" t="s">
        <v>205</v>
      </c>
      <c r="B3" t="s">
        <v>36</v>
      </c>
    </row>
    <row r="4" spans="1:2" x14ac:dyDescent="0.25">
      <c r="A4" t="s">
        <v>206</v>
      </c>
      <c r="B4" t="s">
        <v>22</v>
      </c>
    </row>
    <row r="5" spans="1:2" x14ac:dyDescent="0.25">
      <c r="A5" t="s">
        <v>207</v>
      </c>
      <c r="B5" t="s">
        <v>44</v>
      </c>
    </row>
    <row r="6" spans="1:2" x14ac:dyDescent="0.25">
      <c r="A6" t="s">
        <v>208</v>
      </c>
      <c r="B6" t="s">
        <v>28</v>
      </c>
    </row>
    <row r="7" spans="1:2" x14ac:dyDescent="0.25">
      <c r="A7" t="s">
        <v>209</v>
      </c>
      <c r="B7" t="s">
        <v>28</v>
      </c>
    </row>
    <row r="8" spans="1:2" x14ac:dyDescent="0.25">
      <c r="A8" t="s">
        <v>210</v>
      </c>
      <c r="B8" t="s">
        <v>44</v>
      </c>
    </row>
    <row r="9" spans="1:2" x14ac:dyDescent="0.25">
      <c r="A9" t="s">
        <v>211</v>
      </c>
      <c r="B9" t="s">
        <v>32</v>
      </c>
    </row>
    <row r="10" spans="1:2" x14ac:dyDescent="0.25">
      <c r="A10" t="s">
        <v>212</v>
      </c>
      <c r="B10" t="s">
        <v>44</v>
      </c>
    </row>
    <row r="11" spans="1:2" x14ac:dyDescent="0.25">
      <c r="A11" t="s">
        <v>213</v>
      </c>
      <c r="B11" t="s">
        <v>46</v>
      </c>
    </row>
    <row r="12" spans="1:2" x14ac:dyDescent="0.25">
      <c r="A12" t="s">
        <v>214</v>
      </c>
      <c r="B12" t="s">
        <v>44</v>
      </c>
    </row>
    <row r="13" spans="1:2" x14ac:dyDescent="0.25">
      <c r="A13" t="s">
        <v>215</v>
      </c>
      <c r="B13" t="s">
        <v>22</v>
      </c>
    </row>
    <row r="14" spans="1:2" x14ac:dyDescent="0.25">
      <c r="A14" t="s">
        <v>216</v>
      </c>
      <c r="B14" t="s">
        <v>46</v>
      </c>
    </row>
    <row r="15" spans="1:2" x14ac:dyDescent="0.25">
      <c r="A15" t="s">
        <v>217</v>
      </c>
      <c r="B15" t="s">
        <v>44</v>
      </c>
    </row>
    <row r="16" spans="1:2" x14ac:dyDescent="0.25">
      <c r="A16" t="s">
        <v>218</v>
      </c>
      <c r="B16" t="s">
        <v>36</v>
      </c>
    </row>
    <row r="17" spans="1:2" x14ac:dyDescent="0.25">
      <c r="A17" t="s">
        <v>219</v>
      </c>
      <c r="B17" t="s">
        <v>22</v>
      </c>
    </row>
    <row r="18" spans="1:2" x14ac:dyDescent="0.25">
      <c r="A18" t="s">
        <v>220</v>
      </c>
      <c r="B18" t="s">
        <v>36</v>
      </c>
    </row>
    <row r="19" spans="1:2" x14ac:dyDescent="0.25">
      <c r="A19" t="s">
        <v>221</v>
      </c>
      <c r="B19" t="s">
        <v>44</v>
      </c>
    </row>
    <row r="20" spans="1:2" x14ac:dyDescent="0.25">
      <c r="A20" t="s">
        <v>222</v>
      </c>
      <c r="B20" t="s">
        <v>32</v>
      </c>
    </row>
    <row r="21" spans="1:2" x14ac:dyDescent="0.25">
      <c r="A21" t="s">
        <v>223</v>
      </c>
      <c r="B21" t="s">
        <v>32</v>
      </c>
    </row>
    <row r="22" spans="1:2" x14ac:dyDescent="0.25">
      <c r="A22" t="s">
        <v>224</v>
      </c>
      <c r="B22" t="s">
        <v>32</v>
      </c>
    </row>
    <row r="23" spans="1:2" x14ac:dyDescent="0.25">
      <c r="A23" t="s">
        <v>225</v>
      </c>
      <c r="B23" t="s">
        <v>32</v>
      </c>
    </row>
    <row r="24" spans="1:2" x14ac:dyDescent="0.25">
      <c r="A24" t="s">
        <v>226</v>
      </c>
      <c r="B24" t="s">
        <v>32</v>
      </c>
    </row>
    <row r="25" spans="1:2" x14ac:dyDescent="0.25">
      <c r="A25" t="s">
        <v>227</v>
      </c>
      <c r="B25" t="s">
        <v>46</v>
      </c>
    </row>
    <row r="26" spans="1:2" x14ac:dyDescent="0.25">
      <c r="A26" t="s">
        <v>228</v>
      </c>
      <c r="B26" t="s">
        <v>44</v>
      </c>
    </row>
    <row r="27" spans="1:2" x14ac:dyDescent="0.25">
      <c r="A27" t="s">
        <v>229</v>
      </c>
      <c r="B27" t="s">
        <v>32</v>
      </c>
    </row>
    <row r="28" spans="1:2" x14ac:dyDescent="0.25">
      <c r="A28" t="s">
        <v>230</v>
      </c>
      <c r="B28" t="s">
        <v>28</v>
      </c>
    </row>
    <row r="29" spans="1:2" x14ac:dyDescent="0.25">
      <c r="A29" t="s">
        <v>231</v>
      </c>
      <c r="B29" t="s">
        <v>46</v>
      </c>
    </row>
    <row r="30" spans="1:2" x14ac:dyDescent="0.25">
      <c r="A30" t="s">
        <v>232</v>
      </c>
      <c r="B30" t="s">
        <v>22</v>
      </c>
    </row>
    <row r="31" spans="1:2" x14ac:dyDescent="0.25">
      <c r="A31" t="s">
        <v>233</v>
      </c>
      <c r="B31" t="s">
        <v>32</v>
      </c>
    </row>
    <row r="32" spans="1:2" x14ac:dyDescent="0.25">
      <c r="A32" t="s">
        <v>234</v>
      </c>
      <c r="B32" t="s">
        <v>22</v>
      </c>
    </row>
    <row r="33" spans="1:2" x14ac:dyDescent="0.25">
      <c r="A33" t="s">
        <v>235</v>
      </c>
      <c r="B33" t="s">
        <v>44</v>
      </c>
    </row>
    <row r="34" spans="1:2" x14ac:dyDescent="0.25">
      <c r="A34" t="s">
        <v>236</v>
      </c>
      <c r="B34" t="s">
        <v>36</v>
      </c>
    </row>
    <row r="35" spans="1:2" x14ac:dyDescent="0.25">
      <c r="A35" t="s">
        <v>237</v>
      </c>
      <c r="B35" t="s">
        <v>28</v>
      </c>
    </row>
    <row r="36" spans="1:2" x14ac:dyDescent="0.25">
      <c r="A36" t="s">
        <v>238</v>
      </c>
      <c r="B36" t="s">
        <v>28</v>
      </c>
    </row>
    <row r="37" spans="1:2" x14ac:dyDescent="0.25">
      <c r="A37" t="s">
        <v>239</v>
      </c>
      <c r="B37" t="s">
        <v>22</v>
      </c>
    </row>
    <row r="38" spans="1:2" x14ac:dyDescent="0.25">
      <c r="A38" t="s">
        <v>240</v>
      </c>
      <c r="B38" t="s">
        <v>32</v>
      </c>
    </row>
    <row r="39" spans="1:2" x14ac:dyDescent="0.25">
      <c r="A39" t="s">
        <v>241</v>
      </c>
      <c r="B39" t="s">
        <v>22</v>
      </c>
    </row>
    <row r="40" spans="1:2" x14ac:dyDescent="0.25">
      <c r="A40" t="s">
        <v>242</v>
      </c>
      <c r="B40" t="s">
        <v>28</v>
      </c>
    </row>
    <row r="41" spans="1:2" x14ac:dyDescent="0.25">
      <c r="A41" t="s">
        <v>243</v>
      </c>
      <c r="B41" t="s">
        <v>32</v>
      </c>
    </row>
    <row r="42" spans="1:2" x14ac:dyDescent="0.25">
      <c r="A42" t="s">
        <v>244</v>
      </c>
      <c r="B42" t="s">
        <v>46</v>
      </c>
    </row>
    <row r="43" spans="1:2" x14ac:dyDescent="0.25">
      <c r="A43" t="s">
        <v>245</v>
      </c>
      <c r="B43" t="s">
        <v>28</v>
      </c>
    </row>
    <row r="44" spans="1:2" x14ac:dyDescent="0.25">
      <c r="A44" t="s">
        <v>246</v>
      </c>
      <c r="B44" t="s">
        <v>28</v>
      </c>
    </row>
    <row r="45" spans="1:2" x14ac:dyDescent="0.25">
      <c r="A45" t="s">
        <v>247</v>
      </c>
      <c r="B45" t="s">
        <v>44</v>
      </c>
    </row>
    <row r="46" spans="1:2" x14ac:dyDescent="0.25">
      <c r="A46" t="s">
        <v>248</v>
      </c>
      <c r="B46" t="s">
        <v>32</v>
      </c>
    </row>
    <row r="47" spans="1:2" x14ac:dyDescent="0.25">
      <c r="A47" t="s">
        <v>249</v>
      </c>
      <c r="B47" t="s">
        <v>36</v>
      </c>
    </row>
    <row r="48" spans="1:2" x14ac:dyDescent="0.25">
      <c r="A48" t="s">
        <v>250</v>
      </c>
      <c r="B48" t="s">
        <v>36</v>
      </c>
    </row>
    <row r="49" spans="1:2" x14ac:dyDescent="0.25">
      <c r="A49" t="s">
        <v>251</v>
      </c>
      <c r="B49" t="s">
        <v>32</v>
      </c>
    </row>
    <row r="50" spans="1:2" x14ac:dyDescent="0.25">
      <c r="A50" t="s">
        <v>252</v>
      </c>
      <c r="B50" t="s">
        <v>36</v>
      </c>
    </row>
    <row r="51" spans="1:2" x14ac:dyDescent="0.25">
      <c r="A51" t="s">
        <v>253</v>
      </c>
      <c r="B51" t="s">
        <v>28</v>
      </c>
    </row>
    <row r="52" spans="1:2" x14ac:dyDescent="0.25">
      <c r="A52" t="s">
        <v>254</v>
      </c>
      <c r="B52" t="s">
        <v>46</v>
      </c>
    </row>
    <row r="53" spans="1:2" x14ac:dyDescent="0.25">
      <c r="A53" t="s">
        <v>255</v>
      </c>
      <c r="B53" t="s">
        <v>44</v>
      </c>
    </row>
    <row r="54" spans="1:2" x14ac:dyDescent="0.25">
      <c r="A54" t="s">
        <v>256</v>
      </c>
      <c r="B54" t="s">
        <v>28</v>
      </c>
    </row>
    <row r="55" spans="1:2" x14ac:dyDescent="0.25">
      <c r="A55" t="s">
        <v>257</v>
      </c>
      <c r="B55" t="s">
        <v>44</v>
      </c>
    </row>
    <row r="56" spans="1:2" x14ac:dyDescent="0.25">
      <c r="A56" t="s">
        <v>258</v>
      </c>
      <c r="B56" t="s">
        <v>28</v>
      </c>
    </row>
    <row r="57" spans="1:2" x14ac:dyDescent="0.25">
      <c r="A57" t="s">
        <v>259</v>
      </c>
      <c r="B57" t="s">
        <v>46</v>
      </c>
    </row>
    <row r="58" spans="1:2" x14ac:dyDescent="0.25">
      <c r="A58" t="s">
        <v>260</v>
      </c>
      <c r="B58" t="s">
        <v>44</v>
      </c>
    </row>
    <row r="59" spans="1:2" x14ac:dyDescent="0.25">
      <c r="A59" t="s">
        <v>261</v>
      </c>
      <c r="B59" t="s">
        <v>36</v>
      </c>
    </row>
    <row r="60" spans="1:2" x14ac:dyDescent="0.25">
      <c r="A60" t="s">
        <v>262</v>
      </c>
      <c r="B60" t="s">
        <v>22</v>
      </c>
    </row>
    <row r="61" spans="1:2" x14ac:dyDescent="0.25">
      <c r="A61" t="s">
        <v>263</v>
      </c>
      <c r="B61" t="s">
        <v>28</v>
      </c>
    </row>
    <row r="62" spans="1:2" x14ac:dyDescent="0.25">
      <c r="A62" t="s">
        <v>264</v>
      </c>
      <c r="B62" t="s">
        <v>28</v>
      </c>
    </row>
    <row r="63" spans="1:2" x14ac:dyDescent="0.25">
      <c r="A63" t="s">
        <v>265</v>
      </c>
      <c r="B63" t="s">
        <v>32</v>
      </c>
    </row>
    <row r="64" spans="1:2" x14ac:dyDescent="0.25">
      <c r="A64" t="s">
        <v>266</v>
      </c>
      <c r="B64" t="s">
        <v>46</v>
      </c>
    </row>
    <row r="65" spans="1:2" x14ac:dyDescent="0.25">
      <c r="A65" t="s">
        <v>267</v>
      </c>
      <c r="B65" t="s">
        <v>28</v>
      </c>
    </row>
    <row r="66" spans="1:2" x14ac:dyDescent="0.25">
      <c r="A66" t="s">
        <v>268</v>
      </c>
      <c r="B66" t="s">
        <v>22</v>
      </c>
    </row>
    <row r="67" spans="1:2" x14ac:dyDescent="0.25">
      <c r="A67" t="s">
        <v>269</v>
      </c>
      <c r="B67" t="s">
        <v>46</v>
      </c>
    </row>
    <row r="68" spans="1:2" x14ac:dyDescent="0.25">
      <c r="A68" t="s">
        <v>270</v>
      </c>
      <c r="B68" t="s">
        <v>22</v>
      </c>
    </row>
    <row r="69" spans="1:2" x14ac:dyDescent="0.25">
      <c r="A69" t="s">
        <v>271</v>
      </c>
      <c r="B69" t="s">
        <v>36</v>
      </c>
    </row>
    <row r="70" spans="1:2" x14ac:dyDescent="0.25">
      <c r="A70" t="s">
        <v>272</v>
      </c>
      <c r="B70" t="s">
        <v>22</v>
      </c>
    </row>
    <row r="71" spans="1:2" x14ac:dyDescent="0.25">
      <c r="A71" t="s">
        <v>273</v>
      </c>
      <c r="B71" t="s">
        <v>46</v>
      </c>
    </row>
    <row r="72" spans="1:2" x14ac:dyDescent="0.25">
      <c r="A72" t="s">
        <v>274</v>
      </c>
      <c r="B72" t="s">
        <v>28</v>
      </c>
    </row>
    <row r="73" spans="1:2" x14ac:dyDescent="0.25">
      <c r="A73" t="s">
        <v>275</v>
      </c>
      <c r="B73" t="s">
        <v>46</v>
      </c>
    </row>
    <row r="74" spans="1:2" x14ac:dyDescent="0.25">
      <c r="A74" t="s">
        <v>276</v>
      </c>
      <c r="B74" t="s">
        <v>44</v>
      </c>
    </row>
    <row r="75" spans="1:2" x14ac:dyDescent="0.25">
      <c r="A75" t="s">
        <v>277</v>
      </c>
      <c r="B75" t="s">
        <v>22</v>
      </c>
    </row>
    <row r="76" spans="1:2" x14ac:dyDescent="0.25">
      <c r="A76" t="s">
        <v>278</v>
      </c>
      <c r="B76" t="s">
        <v>46</v>
      </c>
    </row>
    <row r="77" spans="1:2" x14ac:dyDescent="0.25">
      <c r="A77" t="s">
        <v>279</v>
      </c>
      <c r="B77" t="s">
        <v>32</v>
      </c>
    </row>
    <row r="78" spans="1:2" x14ac:dyDescent="0.25">
      <c r="A78" t="s">
        <v>280</v>
      </c>
      <c r="B78" t="s">
        <v>32</v>
      </c>
    </row>
    <row r="79" spans="1:2" x14ac:dyDescent="0.25">
      <c r="A79" t="s">
        <v>281</v>
      </c>
      <c r="B79" t="s">
        <v>32</v>
      </c>
    </row>
    <row r="80" spans="1:2" x14ac:dyDescent="0.25">
      <c r="A80" t="s">
        <v>282</v>
      </c>
      <c r="B80" t="s">
        <v>28</v>
      </c>
    </row>
    <row r="81" spans="1:2" x14ac:dyDescent="0.25">
      <c r="A81" t="s">
        <v>283</v>
      </c>
      <c r="B81" t="s">
        <v>46</v>
      </c>
    </row>
    <row r="82" spans="1:2" x14ac:dyDescent="0.25">
      <c r="A82" t="s">
        <v>284</v>
      </c>
      <c r="B82" t="s">
        <v>28</v>
      </c>
    </row>
    <row r="83" spans="1:2" x14ac:dyDescent="0.25">
      <c r="A83" t="s">
        <v>285</v>
      </c>
      <c r="B83" t="s">
        <v>44</v>
      </c>
    </row>
    <row r="84" spans="1:2" x14ac:dyDescent="0.25">
      <c r="A84" t="s">
        <v>286</v>
      </c>
      <c r="B84" t="s">
        <v>44</v>
      </c>
    </row>
    <row r="85" spans="1:2" x14ac:dyDescent="0.25">
      <c r="A85" t="s">
        <v>287</v>
      </c>
      <c r="B85" t="s">
        <v>46</v>
      </c>
    </row>
    <row r="86" spans="1:2" x14ac:dyDescent="0.25">
      <c r="A86" t="s">
        <v>288</v>
      </c>
      <c r="B86" t="s">
        <v>36</v>
      </c>
    </row>
    <row r="87" spans="1:2" x14ac:dyDescent="0.25">
      <c r="A87" t="s">
        <v>289</v>
      </c>
      <c r="B87" t="s">
        <v>32</v>
      </c>
    </row>
    <row r="88" spans="1:2" x14ac:dyDescent="0.25">
      <c r="A88" t="s">
        <v>290</v>
      </c>
      <c r="B88" t="s">
        <v>32</v>
      </c>
    </row>
    <row r="89" spans="1:2" x14ac:dyDescent="0.25">
      <c r="A89" t="s">
        <v>291</v>
      </c>
      <c r="B89" t="s">
        <v>46</v>
      </c>
    </row>
    <row r="90" spans="1:2" x14ac:dyDescent="0.25">
      <c r="A90" t="s">
        <v>292</v>
      </c>
      <c r="B90" t="s">
        <v>28</v>
      </c>
    </row>
    <row r="91" spans="1:2" x14ac:dyDescent="0.25">
      <c r="A91" t="s">
        <v>293</v>
      </c>
      <c r="B91" t="s">
        <v>32</v>
      </c>
    </row>
    <row r="92" spans="1:2" x14ac:dyDescent="0.25">
      <c r="A92" t="s">
        <v>294</v>
      </c>
      <c r="B92" t="s">
        <v>28</v>
      </c>
    </row>
    <row r="93" spans="1:2" x14ac:dyDescent="0.25">
      <c r="A93" t="s">
        <v>295</v>
      </c>
      <c r="B93" t="s">
        <v>28</v>
      </c>
    </row>
    <row r="94" spans="1:2" x14ac:dyDescent="0.25">
      <c r="A94" t="s">
        <v>296</v>
      </c>
      <c r="B94" t="s">
        <v>28</v>
      </c>
    </row>
    <row r="95" spans="1:2" x14ac:dyDescent="0.25">
      <c r="A95" t="s">
        <v>297</v>
      </c>
      <c r="B95" t="s">
        <v>46</v>
      </c>
    </row>
    <row r="96" spans="1:2" x14ac:dyDescent="0.25">
      <c r="A96" t="s">
        <v>298</v>
      </c>
      <c r="B96" t="s">
        <v>46</v>
      </c>
    </row>
    <row r="97" spans="1:2" x14ac:dyDescent="0.25">
      <c r="A97" t="s">
        <v>299</v>
      </c>
      <c r="B97" t="s">
        <v>36</v>
      </c>
    </row>
    <row r="98" spans="1:2" x14ac:dyDescent="0.25">
      <c r="A98" t="s">
        <v>300</v>
      </c>
      <c r="B98" t="s">
        <v>36</v>
      </c>
    </row>
    <row r="99" spans="1:2" x14ac:dyDescent="0.25">
      <c r="A99" t="s">
        <v>301</v>
      </c>
      <c r="B99" t="s">
        <v>36</v>
      </c>
    </row>
    <row r="100" spans="1:2" x14ac:dyDescent="0.25">
      <c r="A100" t="s">
        <v>302</v>
      </c>
      <c r="B100" t="s">
        <v>32</v>
      </c>
    </row>
    <row r="101" spans="1:2" x14ac:dyDescent="0.25">
      <c r="A101" t="s">
        <v>303</v>
      </c>
      <c r="B101" t="s">
        <v>44</v>
      </c>
    </row>
    <row r="102" spans="1:2" x14ac:dyDescent="0.25">
      <c r="A102" t="s">
        <v>304</v>
      </c>
      <c r="B102" t="s">
        <v>32</v>
      </c>
    </row>
    <row r="103" spans="1:2" x14ac:dyDescent="0.25">
      <c r="A103" t="s">
        <v>305</v>
      </c>
      <c r="B103" t="s">
        <v>32</v>
      </c>
    </row>
    <row r="104" spans="1:2" x14ac:dyDescent="0.25">
      <c r="A104" t="s">
        <v>306</v>
      </c>
      <c r="B104" t="s">
        <v>36</v>
      </c>
    </row>
    <row r="105" spans="1:2" x14ac:dyDescent="0.25">
      <c r="A105" t="s">
        <v>307</v>
      </c>
      <c r="B105" t="s">
        <v>22</v>
      </c>
    </row>
    <row r="106" spans="1:2" x14ac:dyDescent="0.25">
      <c r="A106" t="s">
        <v>308</v>
      </c>
      <c r="B106" t="s">
        <v>32</v>
      </c>
    </row>
    <row r="107" spans="1:2" x14ac:dyDescent="0.25">
      <c r="A107" t="s">
        <v>309</v>
      </c>
      <c r="B107" t="s">
        <v>32</v>
      </c>
    </row>
    <row r="108" spans="1:2" x14ac:dyDescent="0.25">
      <c r="A108" t="s">
        <v>310</v>
      </c>
      <c r="B108" t="s">
        <v>22</v>
      </c>
    </row>
    <row r="109" spans="1:2" x14ac:dyDescent="0.25">
      <c r="A109" t="s">
        <v>311</v>
      </c>
      <c r="B109" t="s">
        <v>46</v>
      </c>
    </row>
    <row r="110" spans="1:2" x14ac:dyDescent="0.25">
      <c r="A110" t="s">
        <v>312</v>
      </c>
      <c r="B110" t="s">
        <v>32</v>
      </c>
    </row>
    <row r="111" spans="1:2" x14ac:dyDescent="0.25">
      <c r="A111" t="s">
        <v>313</v>
      </c>
      <c r="B111" t="s">
        <v>46</v>
      </c>
    </row>
    <row r="112" spans="1:2" x14ac:dyDescent="0.25">
      <c r="A112" t="s">
        <v>314</v>
      </c>
      <c r="B112" t="s">
        <v>46</v>
      </c>
    </row>
    <row r="113" spans="1:2" x14ac:dyDescent="0.25">
      <c r="A113" t="s">
        <v>315</v>
      </c>
      <c r="B113" t="s">
        <v>36</v>
      </c>
    </row>
    <row r="114" spans="1:2" x14ac:dyDescent="0.25">
      <c r="A114" t="s">
        <v>316</v>
      </c>
      <c r="B114" t="s">
        <v>32</v>
      </c>
    </row>
    <row r="115" spans="1:2" x14ac:dyDescent="0.25">
      <c r="A115" t="s">
        <v>317</v>
      </c>
      <c r="B115" t="s">
        <v>32</v>
      </c>
    </row>
    <row r="116" spans="1:2" x14ac:dyDescent="0.25">
      <c r="A116" t="s">
        <v>318</v>
      </c>
      <c r="B116" t="s">
        <v>36</v>
      </c>
    </row>
    <row r="117" spans="1:2" x14ac:dyDescent="0.25">
      <c r="A117" t="s">
        <v>319</v>
      </c>
      <c r="B117" t="s">
        <v>22</v>
      </c>
    </row>
    <row r="118" spans="1:2" x14ac:dyDescent="0.25">
      <c r="A118" t="s">
        <v>320</v>
      </c>
      <c r="B118" t="s">
        <v>22</v>
      </c>
    </row>
    <row r="119" spans="1:2" x14ac:dyDescent="0.25">
      <c r="A119" t="s">
        <v>321</v>
      </c>
      <c r="B119" t="s">
        <v>22</v>
      </c>
    </row>
    <row r="120" spans="1:2" x14ac:dyDescent="0.25">
      <c r="A120" t="s">
        <v>322</v>
      </c>
      <c r="B120" t="s">
        <v>32</v>
      </c>
    </row>
    <row r="121" spans="1:2" x14ac:dyDescent="0.25">
      <c r="A121" t="s">
        <v>323</v>
      </c>
      <c r="B121" t="s">
        <v>36</v>
      </c>
    </row>
    <row r="122" spans="1:2" x14ac:dyDescent="0.25">
      <c r="A122" t="s">
        <v>324</v>
      </c>
      <c r="B122" t="s">
        <v>44</v>
      </c>
    </row>
    <row r="123" spans="1:2" x14ac:dyDescent="0.25">
      <c r="A123" t="s">
        <v>325</v>
      </c>
      <c r="B123" t="s">
        <v>32</v>
      </c>
    </row>
    <row r="124" spans="1:2" x14ac:dyDescent="0.25">
      <c r="A124" t="s">
        <v>326</v>
      </c>
      <c r="B124" t="s">
        <v>28</v>
      </c>
    </row>
    <row r="125" spans="1:2" x14ac:dyDescent="0.25">
      <c r="A125" t="s">
        <v>327</v>
      </c>
      <c r="B125" t="s">
        <v>28</v>
      </c>
    </row>
    <row r="126" spans="1:2" x14ac:dyDescent="0.25">
      <c r="A126" t="s">
        <v>328</v>
      </c>
      <c r="B126" t="s">
        <v>28</v>
      </c>
    </row>
    <row r="127" spans="1:2" x14ac:dyDescent="0.25">
      <c r="A127" t="s">
        <v>329</v>
      </c>
      <c r="B127" t="s">
        <v>44</v>
      </c>
    </row>
    <row r="128" spans="1:2" x14ac:dyDescent="0.25">
      <c r="A128" t="s">
        <v>330</v>
      </c>
      <c r="B128" t="s">
        <v>22</v>
      </c>
    </row>
    <row r="129" spans="1:2" x14ac:dyDescent="0.25">
      <c r="A129" t="s">
        <v>331</v>
      </c>
      <c r="B129" t="s">
        <v>28</v>
      </c>
    </row>
    <row r="130" spans="1:2" x14ac:dyDescent="0.25">
      <c r="A130" t="s">
        <v>332</v>
      </c>
      <c r="B130" t="s">
        <v>28</v>
      </c>
    </row>
    <row r="131" spans="1:2" x14ac:dyDescent="0.25">
      <c r="A131" t="s">
        <v>333</v>
      </c>
      <c r="B131" t="s">
        <v>32</v>
      </c>
    </row>
    <row r="132" spans="1:2" x14ac:dyDescent="0.25">
      <c r="A132" t="s">
        <v>334</v>
      </c>
      <c r="B132" t="s">
        <v>32</v>
      </c>
    </row>
    <row r="133" spans="1:2" x14ac:dyDescent="0.25">
      <c r="A133" t="s">
        <v>335</v>
      </c>
      <c r="B133" t="s">
        <v>32</v>
      </c>
    </row>
    <row r="134" spans="1:2" x14ac:dyDescent="0.25">
      <c r="A134" t="s">
        <v>336</v>
      </c>
      <c r="B134" t="s">
        <v>46</v>
      </c>
    </row>
    <row r="135" spans="1:2" x14ac:dyDescent="0.25">
      <c r="A135" t="s">
        <v>337</v>
      </c>
      <c r="B135" t="s">
        <v>22</v>
      </c>
    </row>
    <row r="136" spans="1:2" x14ac:dyDescent="0.25">
      <c r="A136" t="s">
        <v>338</v>
      </c>
      <c r="B136" t="s">
        <v>44</v>
      </c>
    </row>
    <row r="137" spans="1:2" x14ac:dyDescent="0.25">
      <c r="A137" t="s">
        <v>339</v>
      </c>
      <c r="B137" t="s">
        <v>28</v>
      </c>
    </row>
    <row r="138" spans="1:2" x14ac:dyDescent="0.25">
      <c r="A138" t="s">
        <v>340</v>
      </c>
      <c r="B138" t="s">
        <v>28</v>
      </c>
    </row>
    <row r="139" spans="1:2" x14ac:dyDescent="0.25">
      <c r="A139" t="s">
        <v>341</v>
      </c>
      <c r="B139" t="s">
        <v>28</v>
      </c>
    </row>
    <row r="140" spans="1:2" x14ac:dyDescent="0.25">
      <c r="A140" t="s">
        <v>342</v>
      </c>
      <c r="B140" t="s">
        <v>36</v>
      </c>
    </row>
    <row r="141" spans="1:2" x14ac:dyDescent="0.25">
      <c r="A141" t="s">
        <v>343</v>
      </c>
      <c r="B141" t="s">
        <v>32</v>
      </c>
    </row>
    <row r="142" spans="1:2" x14ac:dyDescent="0.25">
      <c r="A142" t="s">
        <v>344</v>
      </c>
      <c r="B142" t="s">
        <v>28</v>
      </c>
    </row>
    <row r="143" spans="1:2" x14ac:dyDescent="0.25">
      <c r="A143" t="s">
        <v>345</v>
      </c>
      <c r="B143" t="s">
        <v>46</v>
      </c>
    </row>
    <row r="144" spans="1:2" x14ac:dyDescent="0.25">
      <c r="A144" t="s">
        <v>346</v>
      </c>
      <c r="B144" t="s">
        <v>36</v>
      </c>
    </row>
    <row r="145" spans="1:2" x14ac:dyDescent="0.25">
      <c r="A145" t="s">
        <v>347</v>
      </c>
      <c r="B145" t="s">
        <v>46</v>
      </c>
    </row>
    <row r="146" spans="1:2" x14ac:dyDescent="0.25">
      <c r="A146" t="s">
        <v>348</v>
      </c>
      <c r="B146" t="s">
        <v>44</v>
      </c>
    </row>
    <row r="147" spans="1:2" x14ac:dyDescent="0.25">
      <c r="A147" t="s">
        <v>349</v>
      </c>
      <c r="B147" t="s">
        <v>22</v>
      </c>
    </row>
    <row r="148" spans="1:2" x14ac:dyDescent="0.25">
      <c r="A148" t="s">
        <v>350</v>
      </c>
      <c r="B148" t="s">
        <v>28</v>
      </c>
    </row>
    <row r="149" spans="1:2" x14ac:dyDescent="0.25">
      <c r="A149" t="s">
        <v>351</v>
      </c>
      <c r="B149" t="s">
        <v>44</v>
      </c>
    </row>
    <row r="150" spans="1:2" x14ac:dyDescent="0.25">
      <c r="A150" t="s">
        <v>352</v>
      </c>
      <c r="B150" t="s">
        <v>44</v>
      </c>
    </row>
    <row r="151" spans="1:2" x14ac:dyDescent="0.25">
      <c r="A151" t="s">
        <v>353</v>
      </c>
      <c r="B151" t="s">
        <v>28</v>
      </c>
    </row>
    <row r="152" spans="1:2" x14ac:dyDescent="0.25">
      <c r="A152" t="s">
        <v>354</v>
      </c>
      <c r="B152" t="s">
        <v>22</v>
      </c>
    </row>
    <row r="153" spans="1:2" x14ac:dyDescent="0.25">
      <c r="A153" t="s">
        <v>355</v>
      </c>
      <c r="B153" t="s">
        <v>22</v>
      </c>
    </row>
    <row r="154" spans="1:2" x14ac:dyDescent="0.25">
      <c r="A154" t="s">
        <v>356</v>
      </c>
      <c r="B154" t="s">
        <v>44</v>
      </c>
    </row>
    <row r="155" spans="1:2" x14ac:dyDescent="0.25">
      <c r="A155" t="s">
        <v>357</v>
      </c>
      <c r="B155" t="s">
        <v>22</v>
      </c>
    </row>
    <row r="156" spans="1:2" x14ac:dyDescent="0.25">
      <c r="A156" t="s">
        <v>358</v>
      </c>
      <c r="B156" t="s">
        <v>22</v>
      </c>
    </row>
    <row r="157" spans="1:2" x14ac:dyDescent="0.25">
      <c r="A157" t="s">
        <v>359</v>
      </c>
      <c r="B157" t="s">
        <v>46</v>
      </c>
    </row>
    <row r="158" spans="1:2" x14ac:dyDescent="0.25">
      <c r="A158" t="s">
        <v>360</v>
      </c>
      <c r="B158" t="s">
        <v>32</v>
      </c>
    </row>
    <row r="159" spans="1:2" x14ac:dyDescent="0.25">
      <c r="A159" t="s">
        <v>361</v>
      </c>
      <c r="B159" t="s">
        <v>36</v>
      </c>
    </row>
    <row r="160" spans="1:2" x14ac:dyDescent="0.25">
      <c r="A160" t="s">
        <v>362</v>
      </c>
      <c r="B160" t="s">
        <v>44</v>
      </c>
    </row>
    <row r="161" spans="1:2" x14ac:dyDescent="0.25">
      <c r="A161" t="s">
        <v>363</v>
      </c>
      <c r="B161" t="s">
        <v>44</v>
      </c>
    </row>
    <row r="162" spans="1:2" x14ac:dyDescent="0.25">
      <c r="A162" t="s">
        <v>364</v>
      </c>
      <c r="B162" t="s">
        <v>22</v>
      </c>
    </row>
    <row r="163" spans="1:2" x14ac:dyDescent="0.25">
      <c r="A163" t="s">
        <v>365</v>
      </c>
      <c r="B163" t="s">
        <v>28</v>
      </c>
    </row>
    <row r="164" spans="1:2" x14ac:dyDescent="0.25">
      <c r="A164" t="s">
        <v>366</v>
      </c>
      <c r="B164" t="s">
        <v>32</v>
      </c>
    </row>
    <row r="165" spans="1:2" x14ac:dyDescent="0.25">
      <c r="A165" t="s">
        <v>367</v>
      </c>
      <c r="B165" t="s">
        <v>44</v>
      </c>
    </row>
    <row r="166" spans="1:2" x14ac:dyDescent="0.25">
      <c r="A166" t="s">
        <v>368</v>
      </c>
      <c r="B166" t="s">
        <v>46</v>
      </c>
    </row>
    <row r="167" spans="1:2" x14ac:dyDescent="0.25">
      <c r="A167" t="s">
        <v>369</v>
      </c>
      <c r="B167" t="s">
        <v>44</v>
      </c>
    </row>
    <row r="168" spans="1:2" x14ac:dyDescent="0.25">
      <c r="A168" t="s">
        <v>370</v>
      </c>
      <c r="B168" t="s">
        <v>36</v>
      </c>
    </row>
    <row r="169" spans="1:2" x14ac:dyDescent="0.25">
      <c r="A169" t="s">
        <v>371</v>
      </c>
      <c r="B169" t="s">
        <v>28</v>
      </c>
    </row>
    <row r="170" spans="1:2" x14ac:dyDescent="0.25">
      <c r="A170" t="s">
        <v>372</v>
      </c>
      <c r="B170" t="s">
        <v>46</v>
      </c>
    </row>
    <row r="171" spans="1:2" x14ac:dyDescent="0.25">
      <c r="A171" t="s">
        <v>373</v>
      </c>
      <c r="B171" t="s">
        <v>36</v>
      </c>
    </row>
    <row r="172" spans="1:2" x14ac:dyDescent="0.25">
      <c r="A172" t="s">
        <v>374</v>
      </c>
      <c r="B172" t="s">
        <v>28</v>
      </c>
    </row>
    <row r="173" spans="1:2" x14ac:dyDescent="0.25">
      <c r="A173" t="s">
        <v>375</v>
      </c>
      <c r="B173" t="s">
        <v>44</v>
      </c>
    </row>
    <row r="174" spans="1:2" x14ac:dyDescent="0.25">
      <c r="A174" t="s">
        <v>376</v>
      </c>
      <c r="B174" t="s">
        <v>28</v>
      </c>
    </row>
    <row r="175" spans="1:2" x14ac:dyDescent="0.25">
      <c r="A175" t="s">
        <v>377</v>
      </c>
      <c r="B175" t="s">
        <v>22</v>
      </c>
    </row>
    <row r="176" spans="1:2" x14ac:dyDescent="0.25">
      <c r="A176" t="s">
        <v>378</v>
      </c>
      <c r="B176" t="s">
        <v>22</v>
      </c>
    </row>
    <row r="177" spans="1:2" x14ac:dyDescent="0.25">
      <c r="A177" t="s">
        <v>379</v>
      </c>
      <c r="B177" t="s">
        <v>44</v>
      </c>
    </row>
    <row r="178" spans="1:2" x14ac:dyDescent="0.25">
      <c r="A178" t="s">
        <v>380</v>
      </c>
      <c r="B178" t="s">
        <v>36</v>
      </c>
    </row>
    <row r="179" spans="1:2" x14ac:dyDescent="0.25">
      <c r="A179" t="s">
        <v>381</v>
      </c>
      <c r="B179" t="s">
        <v>46</v>
      </c>
    </row>
    <row r="180" spans="1:2" x14ac:dyDescent="0.25">
      <c r="A180" t="s">
        <v>382</v>
      </c>
      <c r="B180" t="s">
        <v>28</v>
      </c>
    </row>
    <row r="181" spans="1:2" x14ac:dyDescent="0.25">
      <c r="A181" t="s">
        <v>383</v>
      </c>
      <c r="B181" t="s">
        <v>32</v>
      </c>
    </row>
    <row r="182" spans="1:2" x14ac:dyDescent="0.25">
      <c r="A182" t="s">
        <v>384</v>
      </c>
      <c r="B182" t="s">
        <v>28</v>
      </c>
    </row>
    <row r="183" spans="1:2" x14ac:dyDescent="0.25">
      <c r="A183" t="s">
        <v>385</v>
      </c>
      <c r="B183" t="s">
        <v>22</v>
      </c>
    </row>
    <row r="184" spans="1:2" x14ac:dyDescent="0.25">
      <c r="A184" t="s">
        <v>386</v>
      </c>
      <c r="B184" t="s">
        <v>46</v>
      </c>
    </row>
    <row r="185" spans="1:2" x14ac:dyDescent="0.25">
      <c r="A185" t="s">
        <v>387</v>
      </c>
      <c r="B185" t="s">
        <v>28</v>
      </c>
    </row>
    <row r="186" spans="1:2" x14ac:dyDescent="0.25">
      <c r="A186" t="s">
        <v>388</v>
      </c>
      <c r="B186" t="s">
        <v>46</v>
      </c>
    </row>
    <row r="187" spans="1:2" x14ac:dyDescent="0.25">
      <c r="A187" t="s">
        <v>389</v>
      </c>
      <c r="B187" t="s">
        <v>32</v>
      </c>
    </row>
    <row r="188" spans="1:2" x14ac:dyDescent="0.25">
      <c r="A188" t="s">
        <v>390</v>
      </c>
      <c r="B188" t="s">
        <v>28</v>
      </c>
    </row>
    <row r="189" spans="1:2" x14ac:dyDescent="0.25">
      <c r="A189" t="s">
        <v>391</v>
      </c>
      <c r="B189" t="s">
        <v>44</v>
      </c>
    </row>
    <row r="190" spans="1:2" x14ac:dyDescent="0.25">
      <c r="A190" t="s">
        <v>392</v>
      </c>
      <c r="B190" t="s">
        <v>46</v>
      </c>
    </row>
    <row r="191" spans="1:2" x14ac:dyDescent="0.25">
      <c r="A191" t="s">
        <v>393</v>
      </c>
      <c r="B191" t="s">
        <v>36</v>
      </c>
    </row>
    <row r="192" spans="1:2" x14ac:dyDescent="0.25">
      <c r="A192" t="s">
        <v>394</v>
      </c>
      <c r="B192" t="s">
        <v>28</v>
      </c>
    </row>
    <row r="193" spans="1:2" x14ac:dyDescent="0.25">
      <c r="A193" t="s">
        <v>395</v>
      </c>
      <c r="B193" t="s">
        <v>36</v>
      </c>
    </row>
    <row r="194" spans="1:2" x14ac:dyDescent="0.25">
      <c r="A194" t="s">
        <v>396</v>
      </c>
      <c r="B194" t="s">
        <v>44</v>
      </c>
    </row>
    <row r="195" spans="1:2" x14ac:dyDescent="0.25">
      <c r="A195" t="s">
        <v>397</v>
      </c>
      <c r="B195" t="s">
        <v>44</v>
      </c>
    </row>
    <row r="196" spans="1:2" x14ac:dyDescent="0.25">
      <c r="A196" t="s">
        <v>398</v>
      </c>
      <c r="B196" t="s">
        <v>44</v>
      </c>
    </row>
    <row r="197" spans="1:2" x14ac:dyDescent="0.25">
      <c r="A197" t="s">
        <v>399</v>
      </c>
      <c r="B197" t="s">
        <v>32</v>
      </c>
    </row>
    <row r="198" spans="1:2" x14ac:dyDescent="0.25">
      <c r="A198" t="s">
        <v>400</v>
      </c>
      <c r="B198" t="s">
        <v>44</v>
      </c>
    </row>
    <row r="199" spans="1:2" x14ac:dyDescent="0.25">
      <c r="A199" t="s">
        <v>401</v>
      </c>
      <c r="B199" t="s">
        <v>46</v>
      </c>
    </row>
    <row r="200" spans="1:2" x14ac:dyDescent="0.25">
      <c r="A200" t="s">
        <v>402</v>
      </c>
      <c r="B200" t="s">
        <v>28</v>
      </c>
    </row>
    <row r="201" spans="1:2" x14ac:dyDescent="0.25">
      <c r="A201" t="s">
        <v>403</v>
      </c>
      <c r="B201" t="s">
        <v>32</v>
      </c>
    </row>
    <row r="202" spans="1:2" x14ac:dyDescent="0.25">
      <c r="A202" t="s">
        <v>404</v>
      </c>
      <c r="B202" t="s">
        <v>36</v>
      </c>
    </row>
    <row r="203" spans="1:2" x14ac:dyDescent="0.25">
      <c r="A203" t="s">
        <v>405</v>
      </c>
      <c r="B203" t="s">
        <v>28</v>
      </c>
    </row>
    <row r="204" spans="1:2" x14ac:dyDescent="0.25">
      <c r="A204" t="s">
        <v>406</v>
      </c>
      <c r="B204" t="s">
        <v>28</v>
      </c>
    </row>
    <row r="205" spans="1:2" x14ac:dyDescent="0.25">
      <c r="A205" t="s">
        <v>407</v>
      </c>
      <c r="B205" t="s">
        <v>46</v>
      </c>
    </row>
    <row r="206" spans="1:2" x14ac:dyDescent="0.25">
      <c r="A206" t="s">
        <v>408</v>
      </c>
      <c r="B206" t="s">
        <v>32</v>
      </c>
    </row>
    <row r="207" spans="1:2" x14ac:dyDescent="0.25">
      <c r="A207" t="s">
        <v>409</v>
      </c>
      <c r="B207" t="s">
        <v>46</v>
      </c>
    </row>
    <row r="208" spans="1:2" x14ac:dyDescent="0.25">
      <c r="A208" t="s">
        <v>410</v>
      </c>
      <c r="B208" t="s">
        <v>32</v>
      </c>
    </row>
    <row r="209" spans="1:2" x14ac:dyDescent="0.25">
      <c r="A209" t="s">
        <v>411</v>
      </c>
      <c r="B209" t="s">
        <v>46</v>
      </c>
    </row>
    <row r="210" spans="1:2" x14ac:dyDescent="0.25">
      <c r="A210" t="s">
        <v>412</v>
      </c>
      <c r="B210" t="s">
        <v>32</v>
      </c>
    </row>
    <row r="211" spans="1:2" x14ac:dyDescent="0.25">
      <c r="A211" t="s">
        <v>413</v>
      </c>
      <c r="B211" t="s">
        <v>36</v>
      </c>
    </row>
    <row r="212" spans="1:2" x14ac:dyDescent="0.25">
      <c r="A212" t="s">
        <v>414</v>
      </c>
      <c r="B212" t="s">
        <v>46</v>
      </c>
    </row>
    <row r="213" spans="1:2" x14ac:dyDescent="0.25">
      <c r="A213" t="s">
        <v>415</v>
      </c>
      <c r="B213" t="s">
        <v>28</v>
      </c>
    </row>
    <row r="214" spans="1:2" x14ac:dyDescent="0.25">
      <c r="A214" t="s">
        <v>416</v>
      </c>
      <c r="B214" t="s">
        <v>36</v>
      </c>
    </row>
    <row r="215" spans="1:2" x14ac:dyDescent="0.25">
      <c r="A215" t="s">
        <v>417</v>
      </c>
      <c r="B215" t="s">
        <v>28</v>
      </c>
    </row>
    <row r="216" spans="1:2" x14ac:dyDescent="0.25">
      <c r="A216" t="s">
        <v>418</v>
      </c>
      <c r="B216" t="s">
        <v>44</v>
      </c>
    </row>
    <row r="217" spans="1:2" x14ac:dyDescent="0.25">
      <c r="A217" t="s">
        <v>419</v>
      </c>
      <c r="B217" t="s">
        <v>44</v>
      </c>
    </row>
    <row r="218" spans="1:2" x14ac:dyDescent="0.25">
      <c r="A218" t="s">
        <v>420</v>
      </c>
      <c r="B218" t="s">
        <v>44</v>
      </c>
    </row>
    <row r="219" spans="1:2" x14ac:dyDescent="0.25">
      <c r="A219" t="s">
        <v>421</v>
      </c>
      <c r="B219" t="s">
        <v>36</v>
      </c>
    </row>
    <row r="220" spans="1:2" x14ac:dyDescent="0.25">
      <c r="A220" t="s">
        <v>422</v>
      </c>
      <c r="B220" t="s">
        <v>44</v>
      </c>
    </row>
    <row r="221" spans="1:2" x14ac:dyDescent="0.25">
      <c r="A221" t="s">
        <v>423</v>
      </c>
      <c r="B221" t="s">
        <v>22</v>
      </c>
    </row>
    <row r="222" spans="1:2" x14ac:dyDescent="0.25">
      <c r="A222" t="s">
        <v>424</v>
      </c>
      <c r="B222" t="s">
        <v>46</v>
      </c>
    </row>
    <row r="223" spans="1:2" x14ac:dyDescent="0.25">
      <c r="A223" t="s">
        <v>425</v>
      </c>
      <c r="B223" t="s">
        <v>44</v>
      </c>
    </row>
    <row r="224" spans="1:2" x14ac:dyDescent="0.25">
      <c r="A224" t="s">
        <v>426</v>
      </c>
      <c r="B224" t="s">
        <v>46</v>
      </c>
    </row>
    <row r="225" spans="1:2" x14ac:dyDescent="0.25">
      <c r="A225" t="s">
        <v>427</v>
      </c>
      <c r="B225" t="s">
        <v>46</v>
      </c>
    </row>
    <row r="226" spans="1:2" x14ac:dyDescent="0.25">
      <c r="A226" t="s">
        <v>428</v>
      </c>
      <c r="B226" t="s">
        <v>28</v>
      </c>
    </row>
    <row r="227" spans="1:2" x14ac:dyDescent="0.25">
      <c r="A227" t="s">
        <v>429</v>
      </c>
      <c r="B227" t="s">
        <v>36</v>
      </c>
    </row>
    <row r="228" spans="1:2" x14ac:dyDescent="0.25">
      <c r="A228" t="s">
        <v>430</v>
      </c>
      <c r="B228" t="s">
        <v>22</v>
      </c>
    </row>
    <row r="229" spans="1:2" x14ac:dyDescent="0.25">
      <c r="A229" t="s">
        <v>431</v>
      </c>
      <c r="B229" t="s">
        <v>22</v>
      </c>
    </row>
    <row r="230" spans="1:2" x14ac:dyDescent="0.25">
      <c r="A230" t="s">
        <v>432</v>
      </c>
      <c r="B230" t="s">
        <v>44</v>
      </c>
    </row>
    <row r="231" spans="1:2" x14ac:dyDescent="0.25">
      <c r="A231" t="s">
        <v>433</v>
      </c>
      <c r="B231" t="s">
        <v>32</v>
      </c>
    </row>
    <row r="232" spans="1:2" x14ac:dyDescent="0.25">
      <c r="A232" t="s">
        <v>434</v>
      </c>
      <c r="B232" t="s">
        <v>22</v>
      </c>
    </row>
    <row r="233" spans="1:2" x14ac:dyDescent="0.25">
      <c r="A233" t="s">
        <v>435</v>
      </c>
      <c r="B233" t="s">
        <v>28</v>
      </c>
    </row>
    <row r="234" spans="1:2" x14ac:dyDescent="0.25">
      <c r="A234" t="s">
        <v>436</v>
      </c>
      <c r="B234" t="s">
        <v>44</v>
      </c>
    </row>
    <row r="235" spans="1:2" x14ac:dyDescent="0.25">
      <c r="A235" t="s">
        <v>437</v>
      </c>
      <c r="B235" t="s">
        <v>32</v>
      </c>
    </row>
    <row r="236" spans="1:2" x14ac:dyDescent="0.25">
      <c r="A236" t="s">
        <v>438</v>
      </c>
      <c r="B236" t="s">
        <v>32</v>
      </c>
    </row>
    <row r="237" spans="1:2" x14ac:dyDescent="0.25">
      <c r="A237" t="s">
        <v>439</v>
      </c>
      <c r="B237" t="s">
        <v>46</v>
      </c>
    </row>
    <row r="238" spans="1:2" x14ac:dyDescent="0.25">
      <c r="A238" t="s">
        <v>440</v>
      </c>
      <c r="B238" t="s">
        <v>46</v>
      </c>
    </row>
    <row r="239" spans="1:2" x14ac:dyDescent="0.25">
      <c r="A239" t="s">
        <v>441</v>
      </c>
      <c r="B239" t="s">
        <v>36</v>
      </c>
    </row>
    <row r="240" spans="1:2" x14ac:dyDescent="0.25">
      <c r="A240" t="s">
        <v>442</v>
      </c>
      <c r="B240" t="s">
        <v>44</v>
      </c>
    </row>
    <row r="241" spans="1:2" x14ac:dyDescent="0.25">
      <c r="A241" t="s">
        <v>443</v>
      </c>
      <c r="B241" t="s">
        <v>46</v>
      </c>
    </row>
    <row r="242" spans="1:2" x14ac:dyDescent="0.25">
      <c r="A242" t="s">
        <v>444</v>
      </c>
      <c r="B242" t="s">
        <v>32</v>
      </c>
    </row>
    <row r="243" spans="1:2" x14ac:dyDescent="0.25">
      <c r="A243" t="s">
        <v>445</v>
      </c>
      <c r="B243" t="s">
        <v>46</v>
      </c>
    </row>
    <row r="244" spans="1:2" x14ac:dyDescent="0.25">
      <c r="A244" t="s">
        <v>446</v>
      </c>
      <c r="B244" t="s">
        <v>22</v>
      </c>
    </row>
    <row r="245" spans="1:2" x14ac:dyDescent="0.25">
      <c r="A245" t="s">
        <v>447</v>
      </c>
      <c r="B245" t="s">
        <v>36</v>
      </c>
    </row>
    <row r="246" spans="1:2" x14ac:dyDescent="0.25">
      <c r="A246" t="s">
        <v>448</v>
      </c>
      <c r="B246" t="s">
        <v>22</v>
      </c>
    </row>
    <row r="247" spans="1:2" x14ac:dyDescent="0.25">
      <c r="A247" t="s">
        <v>449</v>
      </c>
      <c r="B247" t="s">
        <v>36</v>
      </c>
    </row>
    <row r="248" spans="1:2" x14ac:dyDescent="0.25">
      <c r="A248" t="s">
        <v>450</v>
      </c>
      <c r="B248" t="s">
        <v>32</v>
      </c>
    </row>
    <row r="249" spans="1:2" x14ac:dyDescent="0.25">
      <c r="A249" t="s">
        <v>451</v>
      </c>
      <c r="B249" t="s">
        <v>22</v>
      </c>
    </row>
    <row r="250" spans="1:2" x14ac:dyDescent="0.25">
      <c r="A250" t="s">
        <v>452</v>
      </c>
      <c r="B250" t="s">
        <v>32</v>
      </c>
    </row>
    <row r="251" spans="1:2" x14ac:dyDescent="0.25">
      <c r="A251" t="s">
        <v>453</v>
      </c>
      <c r="B251" t="s">
        <v>22</v>
      </c>
    </row>
    <row r="252" spans="1:2" x14ac:dyDescent="0.25">
      <c r="A252" t="s">
        <v>454</v>
      </c>
      <c r="B252" t="s">
        <v>22</v>
      </c>
    </row>
    <row r="253" spans="1:2" x14ac:dyDescent="0.25">
      <c r="A253" t="s">
        <v>455</v>
      </c>
      <c r="B253" t="s">
        <v>28</v>
      </c>
    </row>
    <row r="254" spans="1:2" x14ac:dyDescent="0.25">
      <c r="A254" t="s">
        <v>456</v>
      </c>
      <c r="B254" t="s">
        <v>44</v>
      </c>
    </row>
    <row r="255" spans="1:2" x14ac:dyDescent="0.25">
      <c r="A255" t="s">
        <v>457</v>
      </c>
      <c r="B255" t="s">
        <v>28</v>
      </c>
    </row>
    <row r="256" spans="1:2" x14ac:dyDescent="0.25">
      <c r="A256" t="s">
        <v>458</v>
      </c>
      <c r="B256" t="s">
        <v>46</v>
      </c>
    </row>
    <row r="257" spans="1:2" x14ac:dyDescent="0.25">
      <c r="A257" t="s">
        <v>459</v>
      </c>
      <c r="B257" t="s">
        <v>46</v>
      </c>
    </row>
    <row r="258" spans="1:2" x14ac:dyDescent="0.25">
      <c r="A258" t="s">
        <v>460</v>
      </c>
      <c r="B258" t="s">
        <v>46</v>
      </c>
    </row>
    <row r="259" spans="1:2" x14ac:dyDescent="0.25">
      <c r="A259" t="s">
        <v>461</v>
      </c>
      <c r="B259" t="s">
        <v>46</v>
      </c>
    </row>
    <row r="260" spans="1:2" x14ac:dyDescent="0.25">
      <c r="A260" t="s">
        <v>462</v>
      </c>
      <c r="B260" t="s">
        <v>22</v>
      </c>
    </row>
    <row r="261" spans="1:2" x14ac:dyDescent="0.25">
      <c r="A261" t="s">
        <v>463</v>
      </c>
      <c r="B261" t="s">
        <v>44</v>
      </c>
    </row>
    <row r="262" spans="1:2" x14ac:dyDescent="0.25">
      <c r="A262" t="s">
        <v>464</v>
      </c>
      <c r="B262" t="s">
        <v>36</v>
      </c>
    </row>
    <row r="263" spans="1:2" x14ac:dyDescent="0.25">
      <c r="A263" t="s">
        <v>465</v>
      </c>
      <c r="B263" t="s">
        <v>32</v>
      </c>
    </row>
    <row r="264" spans="1:2" x14ac:dyDescent="0.25">
      <c r="A264" t="s">
        <v>466</v>
      </c>
      <c r="B264" t="s">
        <v>46</v>
      </c>
    </row>
    <row r="265" spans="1:2" x14ac:dyDescent="0.25">
      <c r="A265" t="s">
        <v>467</v>
      </c>
      <c r="B265" t="s">
        <v>44</v>
      </c>
    </row>
    <row r="266" spans="1:2" x14ac:dyDescent="0.25">
      <c r="A266" t="s">
        <v>468</v>
      </c>
      <c r="B266" t="s">
        <v>28</v>
      </c>
    </row>
    <row r="267" spans="1:2" x14ac:dyDescent="0.25">
      <c r="A267" t="s">
        <v>469</v>
      </c>
      <c r="B267" t="s">
        <v>46</v>
      </c>
    </row>
    <row r="268" spans="1:2" x14ac:dyDescent="0.25">
      <c r="A268" t="s">
        <v>470</v>
      </c>
      <c r="B268" t="s">
        <v>46</v>
      </c>
    </row>
    <row r="269" spans="1:2" x14ac:dyDescent="0.25">
      <c r="A269" t="s">
        <v>471</v>
      </c>
      <c r="B269" t="s">
        <v>36</v>
      </c>
    </row>
    <row r="270" spans="1:2" x14ac:dyDescent="0.25">
      <c r="A270" t="s">
        <v>472</v>
      </c>
      <c r="B270" t="s">
        <v>36</v>
      </c>
    </row>
    <row r="271" spans="1:2" x14ac:dyDescent="0.25">
      <c r="A271" t="s">
        <v>473</v>
      </c>
      <c r="B271" t="s">
        <v>32</v>
      </c>
    </row>
    <row r="272" spans="1:2" x14ac:dyDescent="0.25">
      <c r="A272" t="s">
        <v>474</v>
      </c>
      <c r="B272" t="s">
        <v>44</v>
      </c>
    </row>
    <row r="273" spans="1:2" x14ac:dyDescent="0.25">
      <c r="A273" t="s">
        <v>475</v>
      </c>
      <c r="B273" t="s">
        <v>28</v>
      </c>
    </row>
    <row r="274" spans="1:2" x14ac:dyDescent="0.25">
      <c r="A274" t="s">
        <v>476</v>
      </c>
      <c r="B274" t="s">
        <v>44</v>
      </c>
    </row>
    <row r="275" spans="1:2" x14ac:dyDescent="0.25">
      <c r="A275" t="s">
        <v>477</v>
      </c>
      <c r="B275" t="s">
        <v>36</v>
      </c>
    </row>
    <row r="276" spans="1:2" x14ac:dyDescent="0.25">
      <c r="A276" t="s">
        <v>478</v>
      </c>
      <c r="B276" t="s">
        <v>32</v>
      </c>
    </row>
    <row r="277" spans="1:2" x14ac:dyDescent="0.25">
      <c r="A277" t="s">
        <v>479</v>
      </c>
      <c r="B277" t="s">
        <v>46</v>
      </c>
    </row>
    <row r="278" spans="1:2" x14ac:dyDescent="0.25">
      <c r="A278" t="s">
        <v>480</v>
      </c>
      <c r="B278" t="s">
        <v>36</v>
      </c>
    </row>
    <row r="279" spans="1:2" x14ac:dyDescent="0.25">
      <c r="A279" t="s">
        <v>481</v>
      </c>
      <c r="B279" t="s">
        <v>22</v>
      </c>
    </row>
    <row r="280" spans="1:2" x14ac:dyDescent="0.25">
      <c r="A280" t="s">
        <v>482</v>
      </c>
      <c r="B280" t="s">
        <v>44</v>
      </c>
    </row>
    <row r="281" spans="1:2" x14ac:dyDescent="0.25">
      <c r="A281" t="s">
        <v>483</v>
      </c>
      <c r="B281" t="s">
        <v>46</v>
      </c>
    </row>
    <row r="282" spans="1:2" x14ac:dyDescent="0.25">
      <c r="A282" t="s">
        <v>484</v>
      </c>
      <c r="B282" t="s">
        <v>22</v>
      </c>
    </row>
    <row r="283" spans="1:2" x14ac:dyDescent="0.25">
      <c r="A283" t="s">
        <v>485</v>
      </c>
      <c r="B283" t="s">
        <v>36</v>
      </c>
    </row>
    <row r="284" spans="1:2" x14ac:dyDescent="0.25">
      <c r="A284" t="s">
        <v>486</v>
      </c>
      <c r="B284" t="s">
        <v>28</v>
      </c>
    </row>
    <row r="285" spans="1:2" x14ac:dyDescent="0.25">
      <c r="A285" t="s">
        <v>487</v>
      </c>
      <c r="B285" t="s">
        <v>28</v>
      </c>
    </row>
    <row r="286" spans="1:2" x14ac:dyDescent="0.25">
      <c r="A286" t="s">
        <v>488</v>
      </c>
      <c r="B286" t="s">
        <v>44</v>
      </c>
    </row>
    <row r="287" spans="1:2" x14ac:dyDescent="0.25">
      <c r="A287" t="s">
        <v>489</v>
      </c>
      <c r="B287" t="s">
        <v>22</v>
      </c>
    </row>
    <row r="288" spans="1:2" x14ac:dyDescent="0.25">
      <c r="A288" t="s">
        <v>490</v>
      </c>
      <c r="B288" t="s">
        <v>28</v>
      </c>
    </row>
    <row r="289" spans="1:2" x14ac:dyDescent="0.25">
      <c r="A289" t="s">
        <v>491</v>
      </c>
      <c r="B289" t="s">
        <v>46</v>
      </c>
    </row>
    <row r="290" spans="1:2" x14ac:dyDescent="0.25">
      <c r="A290" t="s">
        <v>492</v>
      </c>
      <c r="B290" t="s">
        <v>44</v>
      </c>
    </row>
    <row r="291" spans="1:2" x14ac:dyDescent="0.25">
      <c r="A291" t="s">
        <v>493</v>
      </c>
      <c r="B291" t="s">
        <v>28</v>
      </c>
    </row>
    <row r="292" spans="1:2" x14ac:dyDescent="0.25">
      <c r="A292" t="s">
        <v>494</v>
      </c>
      <c r="B292" t="s">
        <v>28</v>
      </c>
    </row>
    <row r="293" spans="1:2" x14ac:dyDescent="0.25">
      <c r="A293" t="s">
        <v>495</v>
      </c>
      <c r="B293" t="s">
        <v>44</v>
      </c>
    </row>
    <row r="294" spans="1:2" x14ac:dyDescent="0.25">
      <c r="A294" t="s">
        <v>496</v>
      </c>
      <c r="B294" t="s">
        <v>44</v>
      </c>
    </row>
    <row r="295" spans="1:2" x14ac:dyDescent="0.25">
      <c r="A295" t="s">
        <v>497</v>
      </c>
      <c r="B295" t="s">
        <v>44</v>
      </c>
    </row>
    <row r="296" spans="1:2" x14ac:dyDescent="0.25">
      <c r="A296" t="s">
        <v>498</v>
      </c>
      <c r="B296" t="s">
        <v>36</v>
      </c>
    </row>
    <row r="297" spans="1:2" x14ac:dyDescent="0.25">
      <c r="A297" t="s">
        <v>499</v>
      </c>
      <c r="B297" t="s">
        <v>44</v>
      </c>
    </row>
    <row r="298" spans="1:2" x14ac:dyDescent="0.25">
      <c r="A298" t="s">
        <v>500</v>
      </c>
      <c r="B298" t="s">
        <v>44</v>
      </c>
    </row>
    <row r="299" spans="1:2" x14ac:dyDescent="0.25">
      <c r="A299" t="s">
        <v>501</v>
      </c>
      <c r="B299" t="s">
        <v>36</v>
      </c>
    </row>
    <row r="300" spans="1:2" x14ac:dyDescent="0.25">
      <c r="A300" t="s">
        <v>502</v>
      </c>
      <c r="B300" t="s">
        <v>22</v>
      </c>
    </row>
    <row r="301" spans="1:2" x14ac:dyDescent="0.25">
      <c r="A301" t="s">
        <v>503</v>
      </c>
      <c r="B301" t="s">
        <v>36</v>
      </c>
    </row>
    <row r="302" spans="1:2" x14ac:dyDescent="0.25">
      <c r="A302" t="s">
        <v>504</v>
      </c>
      <c r="B302" t="s">
        <v>44</v>
      </c>
    </row>
    <row r="303" spans="1:2" x14ac:dyDescent="0.25">
      <c r="A303" t="s">
        <v>505</v>
      </c>
      <c r="B303" t="s">
        <v>28</v>
      </c>
    </row>
    <row r="304" spans="1:2" x14ac:dyDescent="0.25">
      <c r="A304" t="s">
        <v>506</v>
      </c>
      <c r="B304" t="s">
        <v>32</v>
      </c>
    </row>
    <row r="305" spans="1:2" x14ac:dyDescent="0.25">
      <c r="A305" t="s">
        <v>507</v>
      </c>
      <c r="B305" t="s">
        <v>36</v>
      </c>
    </row>
    <row r="306" spans="1:2" x14ac:dyDescent="0.25">
      <c r="A306" t="s">
        <v>508</v>
      </c>
      <c r="B306" t="s">
        <v>46</v>
      </c>
    </row>
    <row r="307" spans="1:2" x14ac:dyDescent="0.25">
      <c r="A307" t="s">
        <v>509</v>
      </c>
      <c r="B307" t="s">
        <v>22</v>
      </c>
    </row>
    <row r="308" spans="1:2" x14ac:dyDescent="0.25">
      <c r="A308" t="s">
        <v>510</v>
      </c>
      <c r="B308" t="s">
        <v>28</v>
      </c>
    </row>
    <row r="309" spans="1:2" x14ac:dyDescent="0.25">
      <c r="A309" t="s">
        <v>511</v>
      </c>
      <c r="B309" t="s">
        <v>22</v>
      </c>
    </row>
    <row r="310" spans="1:2" x14ac:dyDescent="0.25">
      <c r="A310" t="s">
        <v>512</v>
      </c>
      <c r="B310" t="s">
        <v>36</v>
      </c>
    </row>
    <row r="311" spans="1:2" x14ac:dyDescent="0.25">
      <c r="A311" t="s">
        <v>513</v>
      </c>
      <c r="B311" t="s">
        <v>28</v>
      </c>
    </row>
    <row r="312" spans="1:2" x14ac:dyDescent="0.25">
      <c r="A312" t="s">
        <v>514</v>
      </c>
      <c r="B312" t="s">
        <v>36</v>
      </c>
    </row>
    <row r="313" spans="1:2" x14ac:dyDescent="0.25">
      <c r="A313" t="s">
        <v>515</v>
      </c>
      <c r="B313" t="s">
        <v>28</v>
      </c>
    </row>
    <row r="314" spans="1:2" x14ac:dyDescent="0.25">
      <c r="A314" t="s">
        <v>516</v>
      </c>
      <c r="B314" t="s">
        <v>44</v>
      </c>
    </row>
    <row r="315" spans="1:2" x14ac:dyDescent="0.25">
      <c r="A315" t="s">
        <v>517</v>
      </c>
      <c r="B315" t="s">
        <v>28</v>
      </c>
    </row>
    <row r="316" spans="1:2" x14ac:dyDescent="0.25">
      <c r="A316" t="s">
        <v>518</v>
      </c>
      <c r="B316" t="s">
        <v>36</v>
      </c>
    </row>
    <row r="317" spans="1:2" x14ac:dyDescent="0.25">
      <c r="A317" t="s">
        <v>519</v>
      </c>
      <c r="B317" t="s">
        <v>32</v>
      </c>
    </row>
    <row r="318" spans="1:2" x14ac:dyDescent="0.25">
      <c r="A318" t="s">
        <v>520</v>
      </c>
      <c r="B318" t="s">
        <v>36</v>
      </c>
    </row>
    <row r="319" spans="1:2" x14ac:dyDescent="0.25">
      <c r="A319" t="s">
        <v>521</v>
      </c>
      <c r="B319" t="s">
        <v>36</v>
      </c>
    </row>
    <row r="320" spans="1:2" x14ac:dyDescent="0.25">
      <c r="A320" t="s">
        <v>522</v>
      </c>
      <c r="B320" t="s">
        <v>46</v>
      </c>
    </row>
    <row r="321" spans="1:2" x14ac:dyDescent="0.25">
      <c r="A321" t="s">
        <v>523</v>
      </c>
      <c r="B321" t="s">
        <v>46</v>
      </c>
    </row>
    <row r="322" spans="1:2" x14ac:dyDescent="0.25">
      <c r="A322" t="s">
        <v>524</v>
      </c>
      <c r="B322" t="s">
        <v>32</v>
      </c>
    </row>
    <row r="323" spans="1:2" x14ac:dyDescent="0.25">
      <c r="A323" t="s">
        <v>525</v>
      </c>
      <c r="B323" t="s">
        <v>32</v>
      </c>
    </row>
    <row r="324" spans="1:2" x14ac:dyDescent="0.25">
      <c r="A324" t="s">
        <v>526</v>
      </c>
      <c r="B324" t="s">
        <v>46</v>
      </c>
    </row>
    <row r="325" spans="1:2" x14ac:dyDescent="0.25">
      <c r="A325" t="s">
        <v>527</v>
      </c>
      <c r="B325" t="s">
        <v>46</v>
      </c>
    </row>
    <row r="326" spans="1:2" x14ac:dyDescent="0.25">
      <c r="A326" t="s">
        <v>528</v>
      </c>
      <c r="B326" t="s">
        <v>22</v>
      </c>
    </row>
    <row r="327" spans="1:2" x14ac:dyDescent="0.25">
      <c r="A327" t="s">
        <v>529</v>
      </c>
      <c r="B327" t="s">
        <v>32</v>
      </c>
    </row>
    <row r="328" spans="1:2" x14ac:dyDescent="0.25">
      <c r="A328" t="s">
        <v>530</v>
      </c>
      <c r="B328" t="s">
        <v>46</v>
      </c>
    </row>
    <row r="329" spans="1:2" x14ac:dyDescent="0.25">
      <c r="A329" t="s">
        <v>531</v>
      </c>
      <c r="B329" t="s">
        <v>36</v>
      </c>
    </row>
    <row r="330" spans="1:2" x14ac:dyDescent="0.25">
      <c r="A330" t="s">
        <v>532</v>
      </c>
      <c r="B330" t="s">
        <v>28</v>
      </c>
    </row>
    <row r="331" spans="1:2" x14ac:dyDescent="0.25">
      <c r="A331" t="s">
        <v>533</v>
      </c>
      <c r="B331" t="s">
        <v>44</v>
      </c>
    </row>
    <row r="332" spans="1:2" x14ac:dyDescent="0.25">
      <c r="A332" t="s">
        <v>534</v>
      </c>
      <c r="B332" t="s">
        <v>36</v>
      </c>
    </row>
    <row r="333" spans="1:2" x14ac:dyDescent="0.25">
      <c r="A333" t="s">
        <v>535</v>
      </c>
      <c r="B333" t="s">
        <v>36</v>
      </c>
    </row>
    <row r="334" spans="1:2" x14ac:dyDescent="0.25">
      <c r="A334" t="s">
        <v>536</v>
      </c>
      <c r="B334" t="s">
        <v>36</v>
      </c>
    </row>
    <row r="335" spans="1:2" x14ac:dyDescent="0.25">
      <c r="A335" t="s">
        <v>537</v>
      </c>
      <c r="B335" t="s">
        <v>46</v>
      </c>
    </row>
    <row r="336" spans="1:2" x14ac:dyDescent="0.25">
      <c r="A336" t="s">
        <v>538</v>
      </c>
      <c r="B336" t="s">
        <v>32</v>
      </c>
    </row>
    <row r="337" spans="1:2" x14ac:dyDescent="0.25">
      <c r="A337" t="s">
        <v>539</v>
      </c>
      <c r="B337" t="s">
        <v>36</v>
      </c>
    </row>
    <row r="338" spans="1:2" x14ac:dyDescent="0.25">
      <c r="A338" t="s">
        <v>540</v>
      </c>
      <c r="B338" t="s">
        <v>36</v>
      </c>
    </row>
    <row r="339" spans="1:2" x14ac:dyDescent="0.25">
      <c r="A339" t="s">
        <v>541</v>
      </c>
      <c r="B339" t="s">
        <v>28</v>
      </c>
    </row>
    <row r="340" spans="1:2" x14ac:dyDescent="0.25">
      <c r="A340" t="s">
        <v>542</v>
      </c>
      <c r="B340" t="s">
        <v>36</v>
      </c>
    </row>
    <row r="341" spans="1:2" x14ac:dyDescent="0.25">
      <c r="A341" t="s">
        <v>543</v>
      </c>
      <c r="B341" t="s">
        <v>44</v>
      </c>
    </row>
    <row r="342" spans="1:2" x14ac:dyDescent="0.25">
      <c r="A342" t="s">
        <v>544</v>
      </c>
      <c r="B342" t="s">
        <v>22</v>
      </c>
    </row>
    <row r="343" spans="1:2" x14ac:dyDescent="0.25">
      <c r="A343" t="s">
        <v>545</v>
      </c>
      <c r="B343" t="s">
        <v>32</v>
      </c>
    </row>
    <row r="344" spans="1:2" x14ac:dyDescent="0.25">
      <c r="A344" t="s">
        <v>546</v>
      </c>
      <c r="B344" t="s">
        <v>36</v>
      </c>
    </row>
    <row r="345" spans="1:2" x14ac:dyDescent="0.25">
      <c r="A345" t="s">
        <v>547</v>
      </c>
      <c r="B345" t="s">
        <v>32</v>
      </c>
    </row>
    <row r="346" spans="1:2" x14ac:dyDescent="0.25">
      <c r="A346" t="s">
        <v>548</v>
      </c>
      <c r="B346" t="s">
        <v>46</v>
      </c>
    </row>
    <row r="347" spans="1:2" x14ac:dyDescent="0.25">
      <c r="A347" t="s">
        <v>549</v>
      </c>
      <c r="B347" t="s">
        <v>28</v>
      </c>
    </row>
    <row r="348" spans="1:2" x14ac:dyDescent="0.25">
      <c r="A348" t="s">
        <v>550</v>
      </c>
      <c r="B348" t="s">
        <v>36</v>
      </c>
    </row>
    <row r="349" spans="1:2" x14ac:dyDescent="0.25">
      <c r="A349" t="s">
        <v>551</v>
      </c>
      <c r="B349" t="s">
        <v>46</v>
      </c>
    </row>
    <row r="350" spans="1:2" x14ac:dyDescent="0.25">
      <c r="A350" t="s">
        <v>552</v>
      </c>
      <c r="B350" t="s">
        <v>22</v>
      </c>
    </row>
    <row r="351" spans="1:2" x14ac:dyDescent="0.25">
      <c r="A351" t="s">
        <v>553</v>
      </c>
      <c r="B351" t="s">
        <v>32</v>
      </c>
    </row>
    <row r="352" spans="1:2" x14ac:dyDescent="0.25">
      <c r="A352" t="s">
        <v>554</v>
      </c>
      <c r="B352" t="s">
        <v>32</v>
      </c>
    </row>
    <row r="353" spans="1:2" x14ac:dyDescent="0.25">
      <c r="A353" t="s">
        <v>555</v>
      </c>
      <c r="B353" t="s">
        <v>36</v>
      </c>
    </row>
    <row r="354" spans="1:2" x14ac:dyDescent="0.25">
      <c r="A354" t="s">
        <v>556</v>
      </c>
      <c r="B354" t="s">
        <v>28</v>
      </c>
    </row>
    <row r="355" spans="1:2" x14ac:dyDescent="0.25">
      <c r="A355" t="s">
        <v>557</v>
      </c>
      <c r="B355" t="s">
        <v>32</v>
      </c>
    </row>
    <row r="356" spans="1:2" x14ac:dyDescent="0.25">
      <c r="A356" t="s">
        <v>558</v>
      </c>
      <c r="B356" t="s">
        <v>32</v>
      </c>
    </row>
    <row r="357" spans="1:2" x14ac:dyDescent="0.25">
      <c r="A357" t="s">
        <v>559</v>
      </c>
      <c r="B357" t="s">
        <v>22</v>
      </c>
    </row>
    <row r="358" spans="1:2" x14ac:dyDescent="0.25">
      <c r="A358" t="s">
        <v>560</v>
      </c>
      <c r="B358" t="s">
        <v>44</v>
      </c>
    </row>
    <row r="359" spans="1:2" x14ac:dyDescent="0.25">
      <c r="A359" t="s">
        <v>561</v>
      </c>
      <c r="B359" t="s">
        <v>36</v>
      </c>
    </row>
    <row r="360" spans="1:2" x14ac:dyDescent="0.25">
      <c r="A360" t="s">
        <v>562</v>
      </c>
      <c r="B360" t="s">
        <v>46</v>
      </c>
    </row>
    <row r="361" spans="1:2" x14ac:dyDescent="0.25">
      <c r="A361" t="s">
        <v>563</v>
      </c>
      <c r="B361" t="s">
        <v>46</v>
      </c>
    </row>
    <row r="362" spans="1:2" x14ac:dyDescent="0.25">
      <c r="A362" t="s">
        <v>564</v>
      </c>
      <c r="B362" t="s">
        <v>44</v>
      </c>
    </row>
    <row r="363" spans="1:2" x14ac:dyDescent="0.25">
      <c r="A363" t="s">
        <v>565</v>
      </c>
      <c r="B363" t="s">
        <v>36</v>
      </c>
    </row>
    <row r="364" spans="1:2" x14ac:dyDescent="0.25">
      <c r="A364" t="s">
        <v>566</v>
      </c>
      <c r="B364" t="s">
        <v>22</v>
      </c>
    </row>
    <row r="365" spans="1:2" x14ac:dyDescent="0.25">
      <c r="A365" t="s">
        <v>567</v>
      </c>
      <c r="B365" t="s">
        <v>46</v>
      </c>
    </row>
    <row r="366" spans="1:2" x14ac:dyDescent="0.25">
      <c r="A366" t="s">
        <v>568</v>
      </c>
      <c r="B366" t="s">
        <v>28</v>
      </c>
    </row>
    <row r="367" spans="1:2" x14ac:dyDescent="0.25">
      <c r="A367" t="s">
        <v>569</v>
      </c>
      <c r="B367" t="s">
        <v>44</v>
      </c>
    </row>
    <row r="368" spans="1:2" x14ac:dyDescent="0.25">
      <c r="A368" t="s">
        <v>570</v>
      </c>
      <c r="B368" t="s">
        <v>32</v>
      </c>
    </row>
    <row r="369" spans="1:2" x14ac:dyDescent="0.25">
      <c r="A369" t="s">
        <v>571</v>
      </c>
      <c r="B369" t="s">
        <v>32</v>
      </c>
    </row>
    <row r="370" spans="1:2" x14ac:dyDescent="0.25">
      <c r="A370" t="s">
        <v>572</v>
      </c>
      <c r="B370" t="s">
        <v>46</v>
      </c>
    </row>
    <row r="371" spans="1:2" x14ac:dyDescent="0.25">
      <c r="A371" t="s">
        <v>573</v>
      </c>
      <c r="B371" t="s">
        <v>32</v>
      </c>
    </row>
    <row r="372" spans="1:2" x14ac:dyDescent="0.25">
      <c r="A372" t="s">
        <v>574</v>
      </c>
      <c r="B372" t="s">
        <v>46</v>
      </c>
    </row>
    <row r="373" spans="1:2" x14ac:dyDescent="0.25">
      <c r="A373" t="s">
        <v>575</v>
      </c>
      <c r="B373" t="s">
        <v>44</v>
      </c>
    </row>
    <row r="374" spans="1:2" x14ac:dyDescent="0.25">
      <c r="A374" t="s">
        <v>576</v>
      </c>
      <c r="B374" t="s">
        <v>32</v>
      </c>
    </row>
    <row r="375" spans="1:2" x14ac:dyDescent="0.25">
      <c r="A375" t="s">
        <v>577</v>
      </c>
      <c r="B375" t="s">
        <v>22</v>
      </c>
    </row>
    <row r="376" spans="1:2" x14ac:dyDescent="0.25">
      <c r="A376" t="s">
        <v>578</v>
      </c>
      <c r="B376" t="s">
        <v>36</v>
      </c>
    </row>
    <row r="377" spans="1:2" x14ac:dyDescent="0.25">
      <c r="A377" t="s">
        <v>579</v>
      </c>
      <c r="B377" t="s">
        <v>28</v>
      </c>
    </row>
    <row r="378" spans="1:2" x14ac:dyDescent="0.25">
      <c r="A378" t="s">
        <v>580</v>
      </c>
      <c r="B378" t="s">
        <v>44</v>
      </c>
    </row>
    <row r="379" spans="1:2" x14ac:dyDescent="0.25">
      <c r="A379" t="s">
        <v>581</v>
      </c>
      <c r="B379" t="s">
        <v>32</v>
      </c>
    </row>
    <row r="380" spans="1:2" x14ac:dyDescent="0.25">
      <c r="A380" t="s">
        <v>582</v>
      </c>
      <c r="B380" t="s">
        <v>46</v>
      </c>
    </row>
    <row r="381" spans="1:2" x14ac:dyDescent="0.25">
      <c r="A381" t="s">
        <v>583</v>
      </c>
      <c r="B381" t="s">
        <v>36</v>
      </c>
    </row>
    <row r="382" spans="1:2" x14ac:dyDescent="0.25">
      <c r="A382" t="s">
        <v>584</v>
      </c>
      <c r="B382" t="s">
        <v>36</v>
      </c>
    </row>
    <row r="383" spans="1:2" x14ac:dyDescent="0.25">
      <c r="A383" t="s">
        <v>585</v>
      </c>
      <c r="B383" t="s">
        <v>28</v>
      </c>
    </row>
    <row r="384" spans="1:2" x14ac:dyDescent="0.25">
      <c r="A384" t="s">
        <v>586</v>
      </c>
      <c r="B384" t="s">
        <v>46</v>
      </c>
    </row>
    <row r="385" spans="1:2" x14ac:dyDescent="0.25">
      <c r="A385" t="s">
        <v>587</v>
      </c>
      <c r="B385" t="s">
        <v>46</v>
      </c>
    </row>
    <row r="386" spans="1:2" x14ac:dyDescent="0.25">
      <c r="A386" t="s">
        <v>588</v>
      </c>
      <c r="B386" t="s">
        <v>22</v>
      </c>
    </row>
    <row r="387" spans="1:2" x14ac:dyDescent="0.25">
      <c r="A387" t="s">
        <v>589</v>
      </c>
      <c r="B387" t="s">
        <v>28</v>
      </c>
    </row>
    <row r="388" spans="1:2" x14ac:dyDescent="0.25">
      <c r="A388" t="s">
        <v>590</v>
      </c>
      <c r="B388" t="s">
        <v>28</v>
      </c>
    </row>
    <row r="389" spans="1:2" x14ac:dyDescent="0.25">
      <c r="A389" t="s">
        <v>591</v>
      </c>
      <c r="B389" t="s">
        <v>32</v>
      </c>
    </row>
    <row r="390" spans="1:2" x14ac:dyDescent="0.25">
      <c r="A390" t="s">
        <v>592</v>
      </c>
      <c r="B390" t="s">
        <v>46</v>
      </c>
    </row>
    <row r="391" spans="1:2" x14ac:dyDescent="0.25">
      <c r="A391" t="s">
        <v>593</v>
      </c>
      <c r="B391" t="s">
        <v>44</v>
      </c>
    </row>
    <row r="392" spans="1:2" x14ac:dyDescent="0.25">
      <c r="A392" t="s">
        <v>594</v>
      </c>
      <c r="B392" t="s">
        <v>44</v>
      </c>
    </row>
    <row r="393" spans="1:2" x14ac:dyDescent="0.25">
      <c r="A393" t="s">
        <v>595</v>
      </c>
      <c r="B393" t="s">
        <v>32</v>
      </c>
    </row>
    <row r="394" spans="1:2" x14ac:dyDescent="0.25">
      <c r="A394" t="s">
        <v>596</v>
      </c>
      <c r="B394" t="s">
        <v>28</v>
      </c>
    </row>
    <row r="395" spans="1:2" x14ac:dyDescent="0.25">
      <c r="A395" t="s">
        <v>597</v>
      </c>
      <c r="B395" t="s">
        <v>44</v>
      </c>
    </row>
    <row r="396" spans="1:2" x14ac:dyDescent="0.25">
      <c r="A396" t="s">
        <v>598</v>
      </c>
      <c r="B396" t="s">
        <v>28</v>
      </c>
    </row>
    <row r="397" spans="1:2" x14ac:dyDescent="0.25">
      <c r="A397" t="s">
        <v>599</v>
      </c>
      <c r="B397" t="s">
        <v>28</v>
      </c>
    </row>
    <row r="398" spans="1:2" x14ac:dyDescent="0.25">
      <c r="A398" t="s">
        <v>600</v>
      </c>
      <c r="B398" t="s">
        <v>46</v>
      </c>
    </row>
    <row r="399" spans="1:2" x14ac:dyDescent="0.25">
      <c r="A399" t="s">
        <v>601</v>
      </c>
      <c r="B399" t="s">
        <v>44</v>
      </c>
    </row>
    <row r="400" spans="1:2" x14ac:dyDescent="0.25">
      <c r="A400" t="s">
        <v>602</v>
      </c>
      <c r="B400" t="s">
        <v>36</v>
      </c>
    </row>
    <row r="401" spans="1:2" x14ac:dyDescent="0.25">
      <c r="A401" t="s">
        <v>603</v>
      </c>
      <c r="B401" t="s">
        <v>46</v>
      </c>
    </row>
    <row r="402" spans="1:2" x14ac:dyDescent="0.25">
      <c r="A402" t="s">
        <v>604</v>
      </c>
      <c r="B402" t="s">
        <v>46</v>
      </c>
    </row>
    <row r="403" spans="1:2" x14ac:dyDescent="0.25">
      <c r="A403" t="s">
        <v>605</v>
      </c>
      <c r="B403" t="s">
        <v>36</v>
      </c>
    </row>
    <row r="404" spans="1:2" x14ac:dyDescent="0.25">
      <c r="A404" t="s">
        <v>606</v>
      </c>
      <c r="B404" t="s">
        <v>32</v>
      </c>
    </row>
    <row r="405" spans="1:2" x14ac:dyDescent="0.25">
      <c r="A405" t="s">
        <v>607</v>
      </c>
      <c r="B405" t="s">
        <v>36</v>
      </c>
    </row>
    <row r="406" spans="1:2" x14ac:dyDescent="0.25">
      <c r="A406" t="s">
        <v>608</v>
      </c>
      <c r="B406" t="s">
        <v>44</v>
      </c>
    </row>
    <row r="407" spans="1:2" x14ac:dyDescent="0.25">
      <c r="A407" t="s">
        <v>609</v>
      </c>
      <c r="B407" t="s">
        <v>44</v>
      </c>
    </row>
    <row r="408" spans="1:2" x14ac:dyDescent="0.25">
      <c r="A408" t="s">
        <v>610</v>
      </c>
      <c r="B408" t="s">
        <v>36</v>
      </c>
    </row>
    <row r="409" spans="1:2" x14ac:dyDescent="0.25">
      <c r="A409" t="s">
        <v>611</v>
      </c>
      <c r="B409" t="s">
        <v>46</v>
      </c>
    </row>
    <row r="410" spans="1:2" x14ac:dyDescent="0.25">
      <c r="A410" t="s">
        <v>612</v>
      </c>
      <c r="B410" t="s">
        <v>44</v>
      </c>
    </row>
    <row r="411" spans="1:2" x14ac:dyDescent="0.25">
      <c r="A411" t="s">
        <v>613</v>
      </c>
      <c r="B411" t="s">
        <v>44</v>
      </c>
    </row>
    <row r="412" spans="1:2" x14ac:dyDescent="0.25">
      <c r="A412" t="s">
        <v>614</v>
      </c>
      <c r="B412" t="s">
        <v>22</v>
      </c>
    </row>
    <row r="413" spans="1:2" x14ac:dyDescent="0.25">
      <c r="A413" t="s">
        <v>615</v>
      </c>
      <c r="B413" t="s">
        <v>22</v>
      </c>
    </row>
    <row r="414" spans="1:2" x14ac:dyDescent="0.25">
      <c r="A414" t="s">
        <v>616</v>
      </c>
      <c r="B414" t="s">
        <v>44</v>
      </c>
    </row>
    <row r="415" spans="1:2" x14ac:dyDescent="0.25">
      <c r="A415" t="s">
        <v>617</v>
      </c>
      <c r="B415" t="s">
        <v>22</v>
      </c>
    </row>
    <row r="416" spans="1:2" x14ac:dyDescent="0.25">
      <c r="A416" t="s">
        <v>618</v>
      </c>
      <c r="B416" t="s">
        <v>46</v>
      </c>
    </row>
    <row r="417" spans="1:2" x14ac:dyDescent="0.25">
      <c r="A417" t="s">
        <v>619</v>
      </c>
      <c r="B417" t="s">
        <v>46</v>
      </c>
    </row>
    <row r="418" spans="1:2" x14ac:dyDescent="0.25">
      <c r="A418" t="s">
        <v>620</v>
      </c>
      <c r="B418" t="s">
        <v>36</v>
      </c>
    </row>
    <row r="419" spans="1:2" x14ac:dyDescent="0.25">
      <c r="A419" t="s">
        <v>621</v>
      </c>
      <c r="B419" t="s">
        <v>22</v>
      </c>
    </row>
    <row r="420" spans="1:2" x14ac:dyDescent="0.25">
      <c r="A420" t="s">
        <v>622</v>
      </c>
      <c r="B420" t="s">
        <v>44</v>
      </c>
    </row>
    <row r="421" spans="1:2" x14ac:dyDescent="0.25">
      <c r="A421" t="s">
        <v>623</v>
      </c>
      <c r="B421" t="s">
        <v>36</v>
      </c>
    </row>
    <row r="422" spans="1:2" x14ac:dyDescent="0.25">
      <c r="A422" t="s">
        <v>624</v>
      </c>
      <c r="B422" t="s">
        <v>46</v>
      </c>
    </row>
    <row r="423" spans="1:2" x14ac:dyDescent="0.25">
      <c r="A423" t="s">
        <v>625</v>
      </c>
      <c r="B423" t="s">
        <v>22</v>
      </c>
    </row>
    <row r="424" spans="1:2" x14ac:dyDescent="0.25">
      <c r="A424" t="s">
        <v>626</v>
      </c>
      <c r="B424" t="s">
        <v>22</v>
      </c>
    </row>
    <row r="425" spans="1:2" x14ac:dyDescent="0.25">
      <c r="A425" t="s">
        <v>627</v>
      </c>
      <c r="B425" t="s">
        <v>32</v>
      </c>
    </row>
    <row r="426" spans="1:2" x14ac:dyDescent="0.25">
      <c r="A426" t="s">
        <v>628</v>
      </c>
      <c r="B426" t="s">
        <v>36</v>
      </c>
    </row>
    <row r="427" spans="1:2" x14ac:dyDescent="0.25">
      <c r="A427" t="s">
        <v>629</v>
      </c>
      <c r="B427" t="s">
        <v>36</v>
      </c>
    </row>
    <row r="428" spans="1:2" x14ac:dyDescent="0.25">
      <c r="A428" t="s">
        <v>630</v>
      </c>
      <c r="B428" t="s">
        <v>36</v>
      </c>
    </row>
    <row r="429" spans="1:2" x14ac:dyDescent="0.25">
      <c r="A429" t="s">
        <v>631</v>
      </c>
      <c r="B429" t="s">
        <v>22</v>
      </c>
    </row>
    <row r="430" spans="1:2" x14ac:dyDescent="0.25">
      <c r="A430" t="s">
        <v>632</v>
      </c>
      <c r="B430" t="s">
        <v>44</v>
      </c>
    </row>
    <row r="431" spans="1:2" x14ac:dyDescent="0.25">
      <c r="A431" t="s">
        <v>633</v>
      </c>
      <c r="B431" t="s">
        <v>36</v>
      </c>
    </row>
    <row r="432" spans="1:2" x14ac:dyDescent="0.25">
      <c r="A432" t="s">
        <v>634</v>
      </c>
      <c r="B432" t="s">
        <v>46</v>
      </c>
    </row>
    <row r="433" spans="1:2" x14ac:dyDescent="0.25">
      <c r="A433" t="s">
        <v>635</v>
      </c>
      <c r="B433" t="s">
        <v>32</v>
      </c>
    </row>
    <row r="434" spans="1:2" x14ac:dyDescent="0.25">
      <c r="A434" t="s">
        <v>636</v>
      </c>
      <c r="B434" t="s">
        <v>28</v>
      </c>
    </row>
    <row r="435" spans="1:2" x14ac:dyDescent="0.25">
      <c r="A435" t="s">
        <v>637</v>
      </c>
      <c r="B435" t="s">
        <v>46</v>
      </c>
    </row>
    <row r="436" spans="1:2" x14ac:dyDescent="0.25">
      <c r="A436" t="s">
        <v>638</v>
      </c>
      <c r="B436" t="s">
        <v>44</v>
      </c>
    </row>
    <row r="437" spans="1:2" x14ac:dyDescent="0.25">
      <c r="A437" t="s">
        <v>639</v>
      </c>
      <c r="B437" t="s">
        <v>36</v>
      </c>
    </row>
    <row r="438" spans="1:2" x14ac:dyDescent="0.25">
      <c r="A438" t="s">
        <v>640</v>
      </c>
      <c r="B438" t="s">
        <v>46</v>
      </c>
    </row>
    <row r="439" spans="1:2" x14ac:dyDescent="0.25">
      <c r="A439" t="s">
        <v>641</v>
      </c>
      <c r="B439" t="s">
        <v>32</v>
      </c>
    </row>
    <row r="440" spans="1:2" x14ac:dyDescent="0.25">
      <c r="A440" t="s">
        <v>642</v>
      </c>
      <c r="B440" t="s">
        <v>46</v>
      </c>
    </row>
    <row r="441" spans="1:2" x14ac:dyDescent="0.25">
      <c r="A441" t="s">
        <v>643</v>
      </c>
      <c r="B441" t="s">
        <v>44</v>
      </c>
    </row>
    <row r="442" spans="1:2" x14ac:dyDescent="0.25">
      <c r="A442" t="s">
        <v>644</v>
      </c>
      <c r="B442" t="s">
        <v>46</v>
      </c>
    </row>
    <row r="443" spans="1:2" x14ac:dyDescent="0.25">
      <c r="A443" t="s">
        <v>645</v>
      </c>
      <c r="B443" t="s">
        <v>44</v>
      </c>
    </row>
    <row r="444" spans="1:2" x14ac:dyDescent="0.25">
      <c r="A444" t="s">
        <v>646</v>
      </c>
      <c r="B444" t="s">
        <v>28</v>
      </c>
    </row>
    <row r="445" spans="1:2" x14ac:dyDescent="0.25">
      <c r="A445" t="s">
        <v>647</v>
      </c>
      <c r="B445" t="s">
        <v>44</v>
      </c>
    </row>
    <row r="446" spans="1:2" x14ac:dyDescent="0.25">
      <c r="A446" t="s">
        <v>648</v>
      </c>
      <c r="B446" t="s">
        <v>46</v>
      </c>
    </row>
    <row r="447" spans="1:2" x14ac:dyDescent="0.25">
      <c r="A447" t="s">
        <v>649</v>
      </c>
      <c r="B447" t="s">
        <v>36</v>
      </c>
    </row>
    <row r="448" spans="1:2" x14ac:dyDescent="0.25">
      <c r="A448" t="s">
        <v>650</v>
      </c>
      <c r="B448" t="s">
        <v>44</v>
      </c>
    </row>
    <row r="449" spans="1:2" x14ac:dyDescent="0.25">
      <c r="A449" t="s">
        <v>651</v>
      </c>
      <c r="B449" t="s">
        <v>36</v>
      </c>
    </row>
    <row r="450" spans="1:2" x14ac:dyDescent="0.25">
      <c r="A450" t="s">
        <v>652</v>
      </c>
      <c r="B450" t="s">
        <v>36</v>
      </c>
    </row>
    <row r="451" spans="1:2" x14ac:dyDescent="0.25">
      <c r="A451" t="s">
        <v>653</v>
      </c>
      <c r="B451" t="s">
        <v>28</v>
      </c>
    </row>
    <row r="452" spans="1:2" x14ac:dyDescent="0.25">
      <c r="A452" t="s">
        <v>654</v>
      </c>
      <c r="B452" t="s">
        <v>44</v>
      </c>
    </row>
    <row r="453" spans="1:2" x14ac:dyDescent="0.25">
      <c r="A453" t="s">
        <v>655</v>
      </c>
      <c r="B453" t="s">
        <v>46</v>
      </c>
    </row>
    <row r="454" spans="1:2" x14ac:dyDescent="0.25">
      <c r="A454" t="s">
        <v>656</v>
      </c>
      <c r="B454" t="s">
        <v>44</v>
      </c>
    </row>
    <row r="455" spans="1:2" x14ac:dyDescent="0.25">
      <c r="A455" t="s">
        <v>657</v>
      </c>
      <c r="B455" t="s">
        <v>44</v>
      </c>
    </row>
    <row r="456" spans="1:2" x14ac:dyDescent="0.25">
      <c r="A456" t="s">
        <v>658</v>
      </c>
      <c r="B456" t="s">
        <v>32</v>
      </c>
    </row>
    <row r="457" spans="1:2" x14ac:dyDescent="0.25">
      <c r="A457" t="s">
        <v>659</v>
      </c>
      <c r="B457" t="s">
        <v>46</v>
      </c>
    </row>
    <row r="458" spans="1:2" x14ac:dyDescent="0.25">
      <c r="A458" t="s">
        <v>660</v>
      </c>
      <c r="B458" t="s">
        <v>46</v>
      </c>
    </row>
    <row r="459" spans="1:2" x14ac:dyDescent="0.25">
      <c r="A459" t="s">
        <v>661</v>
      </c>
      <c r="B459" t="s">
        <v>44</v>
      </c>
    </row>
    <row r="460" spans="1:2" x14ac:dyDescent="0.25">
      <c r="A460" t="s">
        <v>662</v>
      </c>
      <c r="B460" t="s">
        <v>36</v>
      </c>
    </row>
    <row r="461" spans="1:2" x14ac:dyDescent="0.25">
      <c r="A461" t="s">
        <v>663</v>
      </c>
      <c r="B461" t="s">
        <v>22</v>
      </c>
    </row>
    <row r="462" spans="1:2" x14ac:dyDescent="0.25">
      <c r="A462" t="s">
        <v>664</v>
      </c>
      <c r="B462" t="s">
        <v>32</v>
      </c>
    </row>
    <row r="463" spans="1:2" x14ac:dyDescent="0.25">
      <c r="A463" t="s">
        <v>665</v>
      </c>
      <c r="B463" t="s">
        <v>46</v>
      </c>
    </row>
    <row r="464" spans="1:2" x14ac:dyDescent="0.25">
      <c r="A464" t="s">
        <v>666</v>
      </c>
      <c r="B464" t="s">
        <v>36</v>
      </c>
    </row>
    <row r="465" spans="1:2" x14ac:dyDescent="0.25">
      <c r="A465" t="s">
        <v>667</v>
      </c>
      <c r="B465" t="s">
        <v>28</v>
      </c>
    </row>
    <row r="466" spans="1:2" x14ac:dyDescent="0.25">
      <c r="A466" t="s">
        <v>668</v>
      </c>
      <c r="B466" t="s">
        <v>44</v>
      </c>
    </row>
    <row r="467" spans="1:2" x14ac:dyDescent="0.25">
      <c r="A467" t="s">
        <v>669</v>
      </c>
      <c r="B467" t="s">
        <v>32</v>
      </c>
    </row>
    <row r="468" spans="1:2" x14ac:dyDescent="0.25">
      <c r="A468" t="s">
        <v>670</v>
      </c>
      <c r="B468" t="s">
        <v>44</v>
      </c>
    </row>
    <row r="469" spans="1:2" x14ac:dyDescent="0.25">
      <c r="A469" t="s">
        <v>671</v>
      </c>
      <c r="B469" t="s">
        <v>22</v>
      </c>
    </row>
    <row r="470" spans="1:2" x14ac:dyDescent="0.25">
      <c r="A470" t="s">
        <v>672</v>
      </c>
      <c r="B470" t="s">
        <v>22</v>
      </c>
    </row>
    <row r="471" spans="1:2" x14ac:dyDescent="0.25">
      <c r="A471" t="s">
        <v>673</v>
      </c>
      <c r="B471" t="s">
        <v>28</v>
      </c>
    </row>
    <row r="472" spans="1:2" x14ac:dyDescent="0.25">
      <c r="A472" t="s">
        <v>674</v>
      </c>
      <c r="B472" t="s">
        <v>44</v>
      </c>
    </row>
    <row r="473" spans="1:2" x14ac:dyDescent="0.25">
      <c r="A473" t="s">
        <v>675</v>
      </c>
      <c r="B473" t="s">
        <v>46</v>
      </c>
    </row>
    <row r="474" spans="1:2" x14ac:dyDescent="0.25">
      <c r="A474" t="s">
        <v>676</v>
      </c>
      <c r="B474" t="s">
        <v>44</v>
      </c>
    </row>
    <row r="475" spans="1:2" x14ac:dyDescent="0.25">
      <c r="A475" t="s">
        <v>677</v>
      </c>
      <c r="B475" t="s">
        <v>28</v>
      </c>
    </row>
    <row r="476" spans="1:2" x14ac:dyDescent="0.25">
      <c r="A476" t="s">
        <v>678</v>
      </c>
      <c r="B476" t="s">
        <v>28</v>
      </c>
    </row>
    <row r="477" spans="1:2" x14ac:dyDescent="0.25">
      <c r="A477" t="s">
        <v>679</v>
      </c>
      <c r="B477" t="s">
        <v>44</v>
      </c>
    </row>
    <row r="478" spans="1:2" x14ac:dyDescent="0.25">
      <c r="A478" t="s">
        <v>680</v>
      </c>
      <c r="B478" t="s">
        <v>28</v>
      </c>
    </row>
    <row r="479" spans="1:2" x14ac:dyDescent="0.25">
      <c r="A479" t="s">
        <v>681</v>
      </c>
      <c r="B479" t="s">
        <v>32</v>
      </c>
    </row>
    <row r="480" spans="1:2" x14ac:dyDescent="0.25">
      <c r="A480" t="s">
        <v>682</v>
      </c>
      <c r="B480" t="s">
        <v>22</v>
      </c>
    </row>
    <row r="481" spans="1:2" x14ac:dyDescent="0.25">
      <c r="A481" t="s">
        <v>683</v>
      </c>
      <c r="B481" t="s">
        <v>46</v>
      </c>
    </row>
    <row r="482" spans="1:2" x14ac:dyDescent="0.25">
      <c r="A482" t="s">
        <v>684</v>
      </c>
      <c r="B482" t="s">
        <v>36</v>
      </c>
    </row>
    <row r="483" spans="1:2" x14ac:dyDescent="0.25">
      <c r="A483" t="s">
        <v>685</v>
      </c>
      <c r="B483" t="s">
        <v>28</v>
      </c>
    </row>
    <row r="484" spans="1:2" x14ac:dyDescent="0.25">
      <c r="A484" t="s">
        <v>686</v>
      </c>
      <c r="B484" t="s">
        <v>28</v>
      </c>
    </row>
    <row r="485" spans="1:2" x14ac:dyDescent="0.25">
      <c r="A485" t="s">
        <v>687</v>
      </c>
      <c r="B485" t="s">
        <v>22</v>
      </c>
    </row>
    <row r="486" spans="1:2" x14ac:dyDescent="0.25">
      <c r="A486" t="s">
        <v>688</v>
      </c>
      <c r="B486" t="s">
        <v>32</v>
      </c>
    </row>
    <row r="487" spans="1:2" x14ac:dyDescent="0.25">
      <c r="A487" t="s">
        <v>689</v>
      </c>
      <c r="B487" t="s">
        <v>36</v>
      </c>
    </row>
    <row r="488" spans="1:2" x14ac:dyDescent="0.25">
      <c r="A488" t="s">
        <v>690</v>
      </c>
      <c r="B488" t="s">
        <v>46</v>
      </c>
    </row>
    <row r="489" spans="1:2" x14ac:dyDescent="0.25">
      <c r="A489" t="s">
        <v>691</v>
      </c>
      <c r="B489" t="s">
        <v>28</v>
      </c>
    </row>
    <row r="490" spans="1:2" x14ac:dyDescent="0.25">
      <c r="A490" t="s">
        <v>692</v>
      </c>
      <c r="B490" t="s">
        <v>28</v>
      </c>
    </row>
    <row r="491" spans="1:2" x14ac:dyDescent="0.25">
      <c r="A491" t="s">
        <v>693</v>
      </c>
      <c r="B491" t="s">
        <v>46</v>
      </c>
    </row>
    <row r="492" spans="1:2" x14ac:dyDescent="0.25">
      <c r="A492" t="s">
        <v>694</v>
      </c>
      <c r="B492" t="s">
        <v>36</v>
      </c>
    </row>
    <row r="493" spans="1:2" x14ac:dyDescent="0.25">
      <c r="A493" t="s">
        <v>695</v>
      </c>
      <c r="B493" t="s">
        <v>46</v>
      </c>
    </row>
    <row r="494" spans="1:2" x14ac:dyDescent="0.25">
      <c r="A494" t="s">
        <v>696</v>
      </c>
      <c r="B494" t="s">
        <v>36</v>
      </c>
    </row>
    <row r="495" spans="1:2" x14ac:dyDescent="0.25">
      <c r="A495" t="s">
        <v>697</v>
      </c>
      <c r="B495" t="s">
        <v>36</v>
      </c>
    </row>
    <row r="496" spans="1:2" x14ac:dyDescent="0.25">
      <c r="A496" t="s">
        <v>698</v>
      </c>
      <c r="B496" t="s">
        <v>46</v>
      </c>
    </row>
    <row r="497" spans="1:2" x14ac:dyDescent="0.25">
      <c r="A497" t="s">
        <v>699</v>
      </c>
      <c r="B497" t="s">
        <v>44</v>
      </c>
    </row>
    <row r="498" spans="1:2" x14ac:dyDescent="0.25">
      <c r="A498" t="s">
        <v>700</v>
      </c>
      <c r="B498" t="s">
        <v>36</v>
      </c>
    </row>
    <row r="499" spans="1:2" x14ac:dyDescent="0.25">
      <c r="A499" t="s">
        <v>701</v>
      </c>
      <c r="B499" t="s">
        <v>46</v>
      </c>
    </row>
    <row r="500" spans="1:2" x14ac:dyDescent="0.25">
      <c r="A500" t="s">
        <v>702</v>
      </c>
      <c r="B500" t="s">
        <v>44</v>
      </c>
    </row>
    <row r="501" spans="1:2" x14ac:dyDescent="0.25">
      <c r="A501" t="s">
        <v>703</v>
      </c>
      <c r="B501" t="s">
        <v>22</v>
      </c>
    </row>
    <row r="502" spans="1:2" x14ac:dyDescent="0.25">
      <c r="A502" t="s">
        <v>704</v>
      </c>
      <c r="B502" t="s">
        <v>22</v>
      </c>
    </row>
    <row r="503" spans="1:2" x14ac:dyDescent="0.25">
      <c r="A503" t="s">
        <v>705</v>
      </c>
      <c r="B503" t="s">
        <v>36</v>
      </c>
    </row>
    <row r="504" spans="1:2" x14ac:dyDescent="0.25">
      <c r="A504" t="s">
        <v>706</v>
      </c>
      <c r="B504" t="s">
        <v>46</v>
      </c>
    </row>
    <row r="505" spans="1:2" x14ac:dyDescent="0.25">
      <c r="A505" t="s">
        <v>707</v>
      </c>
      <c r="B505" t="s">
        <v>44</v>
      </c>
    </row>
    <row r="506" spans="1:2" x14ac:dyDescent="0.25">
      <c r="A506" t="s">
        <v>708</v>
      </c>
      <c r="B506" t="s">
        <v>22</v>
      </c>
    </row>
    <row r="507" spans="1:2" x14ac:dyDescent="0.25">
      <c r="A507" t="s">
        <v>709</v>
      </c>
      <c r="B507" t="s">
        <v>22</v>
      </c>
    </row>
    <row r="508" spans="1:2" x14ac:dyDescent="0.25">
      <c r="A508" t="s">
        <v>710</v>
      </c>
      <c r="B508" t="s">
        <v>28</v>
      </c>
    </row>
    <row r="509" spans="1:2" x14ac:dyDescent="0.25">
      <c r="A509" t="s">
        <v>711</v>
      </c>
      <c r="B509" t="s">
        <v>46</v>
      </c>
    </row>
    <row r="510" spans="1:2" x14ac:dyDescent="0.25">
      <c r="A510" t="s">
        <v>712</v>
      </c>
      <c r="B510" t="s">
        <v>36</v>
      </c>
    </row>
    <row r="511" spans="1:2" x14ac:dyDescent="0.25">
      <c r="A511" t="s">
        <v>713</v>
      </c>
      <c r="B511" t="s">
        <v>44</v>
      </c>
    </row>
    <row r="512" spans="1:2" x14ac:dyDescent="0.25">
      <c r="A512" t="s">
        <v>714</v>
      </c>
      <c r="B512" t="s">
        <v>22</v>
      </c>
    </row>
    <row r="513" spans="1:2" x14ac:dyDescent="0.25">
      <c r="A513" t="s">
        <v>715</v>
      </c>
      <c r="B513" t="s">
        <v>44</v>
      </c>
    </row>
    <row r="514" spans="1:2" x14ac:dyDescent="0.25">
      <c r="A514" t="s">
        <v>716</v>
      </c>
      <c r="B514" t="s">
        <v>28</v>
      </c>
    </row>
    <row r="515" spans="1:2" x14ac:dyDescent="0.25">
      <c r="A515" t="s">
        <v>717</v>
      </c>
      <c r="B515" t="s">
        <v>36</v>
      </c>
    </row>
    <row r="516" spans="1:2" x14ac:dyDescent="0.25">
      <c r="A516" t="s">
        <v>718</v>
      </c>
      <c r="B516" t="s">
        <v>46</v>
      </c>
    </row>
    <row r="517" spans="1:2" x14ac:dyDescent="0.25">
      <c r="A517" t="s">
        <v>719</v>
      </c>
      <c r="B517" t="s">
        <v>46</v>
      </c>
    </row>
    <row r="518" spans="1:2" x14ac:dyDescent="0.25">
      <c r="A518" t="s">
        <v>720</v>
      </c>
      <c r="B518" t="s">
        <v>36</v>
      </c>
    </row>
    <row r="519" spans="1:2" x14ac:dyDescent="0.25">
      <c r="A519" t="s">
        <v>721</v>
      </c>
      <c r="B519" t="s">
        <v>32</v>
      </c>
    </row>
    <row r="520" spans="1:2" x14ac:dyDescent="0.25">
      <c r="A520" t="s">
        <v>722</v>
      </c>
      <c r="B520" t="s">
        <v>36</v>
      </c>
    </row>
    <row r="521" spans="1:2" x14ac:dyDescent="0.25">
      <c r="A521" t="s">
        <v>723</v>
      </c>
      <c r="B521" t="s">
        <v>32</v>
      </c>
    </row>
    <row r="522" spans="1:2" x14ac:dyDescent="0.25">
      <c r="A522" t="s">
        <v>724</v>
      </c>
      <c r="B522" t="s">
        <v>36</v>
      </c>
    </row>
    <row r="523" spans="1:2" x14ac:dyDescent="0.25">
      <c r="A523" t="s">
        <v>725</v>
      </c>
      <c r="B523" t="s">
        <v>44</v>
      </c>
    </row>
    <row r="524" spans="1:2" x14ac:dyDescent="0.25">
      <c r="A524" t="s">
        <v>726</v>
      </c>
      <c r="B524" t="s">
        <v>36</v>
      </c>
    </row>
    <row r="525" spans="1:2" x14ac:dyDescent="0.25">
      <c r="A525" t="s">
        <v>727</v>
      </c>
      <c r="B525" t="s">
        <v>44</v>
      </c>
    </row>
    <row r="526" spans="1:2" x14ac:dyDescent="0.25">
      <c r="A526" t="s">
        <v>728</v>
      </c>
      <c r="B526" t="s">
        <v>22</v>
      </c>
    </row>
    <row r="527" spans="1:2" x14ac:dyDescent="0.25">
      <c r="A527" t="s">
        <v>729</v>
      </c>
      <c r="B527" t="s">
        <v>46</v>
      </c>
    </row>
    <row r="528" spans="1:2" x14ac:dyDescent="0.25">
      <c r="A528" t="s">
        <v>730</v>
      </c>
      <c r="B528" t="s">
        <v>44</v>
      </c>
    </row>
    <row r="529" spans="1:2" x14ac:dyDescent="0.25">
      <c r="A529" t="s">
        <v>731</v>
      </c>
      <c r="B529" t="s">
        <v>32</v>
      </c>
    </row>
    <row r="530" spans="1:2" x14ac:dyDescent="0.25">
      <c r="A530" t="s">
        <v>732</v>
      </c>
      <c r="B530" t="s">
        <v>36</v>
      </c>
    </row>
    <row r="531" spans="1:2" x14ac:dyDescent="0.25">
      <c r="A531" t="s">
        <v>733</v>
      </c>
      <c r="B531" t="s">
        <v>32</v>
      </c>
    </row>
    <row r="532" spans="1:2" x14ac:dyDescent="0.25">
      <c r="A532" t="s">
        <v>734</v>
      </c>
      <c r="B532" t="s">
        <v>28</v>
      </c>
    </row>
    <row r="533" spans="1:2" x14ac:dyDescent="0.25">
      <c r="A533" t="s">
        <v>735</v>
      </c>
      <c r="B533" t="s">
        <v>32</v>
      </c>
    </row>
    <row r="534" spans="1:2" x14ac:dyDescent="0.25">
      <c r="A534" t="s">
        <v>736</v>
      </c>
      <c r="B534" t="s">
        <v>46</v>
      </c>
    </row>
    <row r="535" spans="1:2" x14ac:dyDescent="0.25">
      <c r="A535" t="s">
        <v>737</v>
      </c>
      <c r="B535" t="s">
        <v>44</v>
      </c>
    </row>
    <row r="536" spans="1:2" x14ac:dyDescent="0.25">
      <c r="A536" t="s">
        <v>738</v>
      </c>
      <c r="B536" t="s">
        <v>46</v>
      </c>
    </row>
    <row r="537" spans="1:2" x14ac:dyDescent="0.25">
      <c r="A537" t="s">
        <v>739</v>
      </c>
      <c r="B537" t="s">
        <v>22</v>
      </c>
    </row>
    <row r="538" spans="1:2" x14ac:dyDescent="0.25">
      <c r="A538" t="s">
        <v>740</v>
      </c>
      <c r="B538" t="s">
        <v>32</v>
      </c>
    </row>
    <row r="539" spans="1:2" x14ac:dyDescent="0.25">
      <c r="A539" t="s">
        <v>741</v>
      </c>
      <c r="B539" t="s">
        <v>22</v>
      </c>
    </row>
    <row r="540" spans="1:2" x14ac:dyDescent="0.25">
      <c r="A540" t="s">
        <v>742</v>
      </c>
      <c r="B540" t="s">
        <v>28</v>
      </c>
    </row>
    <row r="541" spans="1:2" x14ac:dyDescent="0.25">
      <c r="A541" t="s">
        <v>743</v>
      </c>
      <c r="B541" t="s">
        <v>44</v>
      </c>
    </row>
    <row r="542" spans="1:2" x14ac:dyDescent="0.25">
      <c r="A542" t="s">
        <v>744</v>
      </c>
      <c r="B542" t="s">
        <v>46</v>
      </c>
    </row>
    <row r="543" spans="1:2" x14ac:dyDescent="0.25">
      <c r="A543" t="s">
        <v>745</v>
      </c>
      <c r="B543" t="s">
        <v>36</v>
      </c>
    </row>
    <row r="544" spans="1:2" x14ac:dyDescent="0.25">
      <c r="A544" t="s">
        <v>746</v>
      </c>
      <c r="B544" t="s">
        <v>44</v>
      </c>
    </row>
    <row r="545" spans="1:2" x14ac:dyDescent="0.25">
      <c r="A545" t="s">
        <v>747</v>
      </c>
      <c r="B545" t="s">
        <v>32</v>
      </c>
    </row>
    <row r="546" spans="1:2" x14ac:dyDescent="0.25">
      <c r="A546" t="s">
        <v>748</v>
      </c>
      <c r="B546" t="s">
        <v>28</v>
      </c>
    </row>
    <row r="547" spans="1:2" x14ac:dyDescent="0.25">
      <c r="A547" t="s">
        <v>749</v>
      </c>
      <c r="B547" t="s">
        <v>22</v>
      </c>
    </row>
    <row r="548" spans="1:2" x14ac:dyDescent="0.25">
      <c r="A548" t="s">
        <v>750</v>
      </c>
      <c r="B548" t="s">
        <v>46</v>
      </c>
    </row>
    <row r="549" spans="1:2" x14ac:dyDescent="0.25">
      <c r="A549" t="s">
        <v>751</v>
      </c>
      <c r="B549" t="s">
        <v>22</v>
      </c>
    </row>
    <row r="550" spans="1:2" x14ac:dyDescent="0.25">
      <c r="A550" t="s">
        <v>752</v>
      </c>
      <c r="B550" t="s">
        <v>46</v>
      </c>
    </row>
    <row r="551" spans="1:2" x14ac:dyDescent="0.25">
      <c r="A551" t="s">
        <v>753</v>
      </c>
      <c r="B551" t="s">
        <v>28</v>
      </c>
    </row>
    <row r="552" spans="1:2" x14ac:dyDescent="0.25">
      <c r="A552" t="s">
        <v>754</v>
      </c>
      <c r="B552" t="s">
        <v>46</v>
      </c>
    </row>
    <row r="553" spans="1:2" x14ac:dyDescent="0.25">
      <c r="A553" t="s">
        <v>755</v>
      </c>
      <c r="B553" t="s">
        <v>46</v>
      </c>
    </row>
    <row r="554" spans="1:2" x14ac:dyDescent="0.25">
      <c r="A554" t="s">
        <v>756</v>
      </c>
      <c r="B554" t="s">
        <v>46</v>
      </c>
    </row>
    <row r="555" spans="1:2" x14ac:dyDescent="0.25">
      <c r="A555" t="s">
        <v>757</v>
      </c>
      <c r="B555" t="s">
        <v>36</v>
      </c>
    </row>
    <row r="556" spans="1:2" x14ac:dyDescent="0.25">
      <c r="A556" t="s">
        <v>758</v>
      </c>
      <c r="B556" t="s">
        <v>32</v>
      </c>
    </row>
    <row r="557" spans="1:2" x14ac:dyDescent="0.25">
      <c r="A557" t="s">
        <v>759</v>
      </c>
      <c r="B557" t="s">
        <v>44</v>
      </c>
    </row>
    <row r="558" spans="1:2" x14ac:dyDescent="0.25">
      <c r="A558" t="s">
        <v>760</v>
      </c>
      <c r="B558" t="s">
        <v>44</v>
      </c>
    </row>
    <row r="559" spans="1:2" x14ac:dyDescent="0.25">
      <c r="A559" t="s">
        <v>761</v>
      </c>
      <c r="B559" t="s">
        <v>22</v>
      </c>
    </row>
    <row r="560" spans="1:2" x14ac:dyDescent="0.25">
      <c r="A560" t="s">
        <v>762</v>
      </c>
      <c r="B560" t="s">
        <v>32</v>
      </c>
    </row>
    <row r="561" spans="1:2" x14ac:dyDescent="0.25">
      <c r="A561" t="s">
        <v>763</v>
      </c>
      <c r="B561" t="s">
        <v>36</v>
      </c>
    </row>
    <row r="562" spans="1:2" x14ac:dyDescent="0.25">
      <c r="A562" t="s">
        <v>764</v>
      </c>
      <c r="B562" t="s">
        <v>46</v>
      </c>
    </row>
    <row r="563" spans="1:2" x14ac:dyDescent="0.25">
      <c r="A563" t="s">
        <v>765</v>
      </c>
      <c r="B563" t="s">
        <v>32</v>
      </c>
    </row>
    <row r="564" spans="1:2" x14ac:dyDescent="0.25">
      <c r="A564" t="s">
        <v>766</v>
      </c>
      <c r="B564" t="s">
        <v>46</v>
      </c>
    </row>
    <row r="565" spans="1:2" x14ac:dyDescent="0.25">
      <c r="A565" t="s">
        <v>767</v>
      </c>
      <c r="B565" t="s">
        <v>22</v>
      </c>
    </row>
    <row r="566" spans="1:2" x14ac:dyDescent="0.25">
      <c r="A566" t="s">
        <v>768</v>
      </c>
      <c r="B566" t="s">
        <v>46</v>
      </c>
    </row>
    <row r="567" spans="1:2" x14ac:dyDescent="0.25">
      <c r="A567" t="s">
        <v>769</v>
      </c>
      <c r="B567" t="s">
        <v>28</v>
      </c>
    </row>
    <row r="568" spans="1:2" x14ac:dyDescent="0.25">
      <c r="A568" t="s">
        <v>770</v>
      </c>
      <c r="B568" t="s">
        <v>44</v>
      </c>
    </row>
    <row r="569" spans="1:2" x14ac:dyDescent="0.25">
      <c r="A569" t="s">
        <v>771</v>
      </c>
      <c r="B569" t="s">
        <v>22</v>
      </c>
    </row>
    <row r="570" spans="1:2" x14ac:dyDescent="0.25">
      <c r="A570" t="s">
        <v>772</v>
      </c>
      <c r="B570" t="s">
        <v>32</v>
      </c>
    </row>
    <row r="571" spans="1:2" x14ac:dyDescent="0.25">
      <c r="A571" t="s">
        <v>773</v>
      </c>
      <c r="B571" t="s">
        <v>28</v>
      </c>
    </row>
    <row r="572" spans="1:2" x14ac:dyDescent="0.25">
      <c r="A572" t="s">
        <v>774</v>
      </c>
      <c r="B572" t="s">
        <v>28</v>
      </c>
    </row>
    <row r="573" spans="1:2" x14ac:dyDescent="0.25">
      <c r="A573" t="s">
        <v>775</v>
      </c>
      <c r="B573" t="s">
        <v>32</v>
      </c>
    </row>
    <row r="574" spans="1:2" x14ac:dyDescent="0.25">
      <c r="A574" t="s">
        <v>776</v>
      </c>
      <c r="B574" t="s">
        <v>32</v>
      </c>
    </row>
    <row r="575" spans="1:2" x14ac:dyDescent="0.25">
      <c r="A575" t="s">
        <v>777</v>
      </c>
      <c r="B575" t="s">
        <v>44</v>
      </c>
    </row>
    <row r="576" spans="1:2" x14ac:dyDescent="0.25">
      <c r="A576" t="s">
        <v>778</v>
      </c>
      <c r="B576" t="s">
        <v>36</v>
      </c>
    </row>
    <row r="577" spans="1:2" x14ac:dyDescent="0.25">
      <c r="A577" t="s">
        <v>779</v>
      </c>
      <c r="B577" t="s">
        <v>32</v>
      </c>
    </row>
    <row r="578" spans="1:2" x14ac:dyDescent="0.25">
      <c r="A578" t="s">
        <v>780</v>
      </c>
      <c r="B578" t="s">
        <v>36</v>
      </c>
    </row>
    <row r="579" spans="1:2" x14ac:dyDescent="0.25">
      <c r="A579" t="s">
        <v>781</v>
      </c>
      <c r="B579" t="s">
        <v>44</v>
      </c>
    </row>
    <row r="580" spans="1:2" x14ac:dyDescent="0.25">
      <c r="A580" t="s">
        <v>782</v>
      </c>
      <c r="B580" t="s">
        <v>46</v>
      </c>
    </row>
    <row r="581" spans="1:2" x14ac:dyDescent="0.25">
      <c r="A581" t="s">
        <v>783</v>
      </c>
      <c r="B581" t="s">
        <v>32</v>
      </c>
    </row>
    <row r="582" spans="1:2" x14ac:dyDescent="0.25">
      <c r="A582" t="s">
        <v>784</v>
      </c>
      <c r="B582" t="s">
        <v>32</v>
      </c>
    </row>
    <row r="583" spans="1:2" x14ac:dyDescent="0.25">
      <c r="A583" t="s">
        <v>785</v>
      </c>
      <c r="B583" t="s">
        <v>22</v>
      </c>
    </row>
    <row r="584" spans="1:2" x14ac:dyDescent="0.25">
      <c r="A584" t="s">
        <v>786</v>
      </c>
      <c r="B584" t="s">
        <v>46</v>
      </c>
    </row>
    <row r="585" spans="1:2" x14ac:dyDescent="0.25">
      <c r="A585" t="s">
        <v>787</v>
      </c>
      <c r="B585" t="s">
        <v>44</v>
      </c>
    </row>
    <row r="586" spans="1:2" x14ac:dyDescent="0.25">
      <c r="A586" t="s">
        <v>788</v>
      </c>
      <c r="B586" t="s">
        <v>28</v>
      </c>
    </row>
    <row r="587" spans="1:2" x14ac:dyDescent="0.25">
      <c r="A587" t="s">
        <v>789</v>
      </c>
      <c r="B587" t="s">
        <v>32</v>
      </c>
    </row>
    <row r="588" spans="1:2" x14ac:dyDescent="0.25">
      <c r="A588" t="s">
        <v>790</v>
      </c>
      <c r="B588" t="s">
        <v>46</v>
      </c>
    </row>
    <row r="589" spans="1:2" x14ac:dyDescent="0.25">
      <c r="A589" t="s">
        <v>791</v>
      </c>
      <c r="B589" t="s">
        <v>46</v>
      </c>
    </row>
    <row r="590" spans="1:2" x14ac:dyDescent="0.25">
      <c r="A590" t="s">
        <v>792</v>
      </c>
      <c r="B590" t="s">
        <v>28</v>
      </c>
    </row>
    <row r="591" spans="1:2" x14ac:dyDescent="0.25">
      <c r="A591" t="s">
        <v>793</v>
      </c>
      <c r="B591" t="s">
        <v>32</v>
      </c>
    </row>
    <row r="592" spans="1:2" x14ac:dyDescent="0.25">
      <c r="A592" t="s">
        <v>794</v>
      </c>
      <c r="B592" t="s">
        <v>44</v>
      </c>
    </row>
    <row r="593" spans="1:2" x14ac:dyDescent="0.25">
      <c r="A593" t="s">
        <v>795</v>
      </c>
      <c r="B593" t="s">
        <v>44</v>
      </c>
    </row>
    <row r="594" spans="1:2" x14ac:dyDescent="0.25">
      <c r="A594" t="s">
        <v>796</v>
      </c>
      <c r="B594" t="s">
        <v>44</v>
      </c>
    </row>
    <row r="595" spans="1:2" x14ac:dyDescent="0.25">
      <c r="A595" t="s">
        <v>797</v>
      </c>
      <c r="B595" t="s">
        <v>28</v>
      </c>
    </row>
    <row r="596" spans="1:2" x14ac:dyDescent="0.25">
      <c r="A596" t="s">
        <v>798</v>
      </c>
      <c r="B596" t="s">
        <v>46</v>
      </c>
    </row>
    <row r="597" spans="1:2" x14ac:dyDescent="0.25">
      <c r="A597" t="s">
        <v>799</v>
      </c>
      <c r="B597" t="s">
        <v>22</v>
      </c>
    </row>
    <row r="598" spans="1:2" x14ac:dyDescent="0.25">
      <c r="A598" t="s">
        <v>800</v>
      </c>
      <c r="B598" t="s">
        <v>22</v>
      </c>
    </row>
    <row r="599" spans="1:2" x14ac:dyDescent="0.25">
      <c r="A599" t="s">
        <v>801</v>
      </c>
      <c r="B599" t="s">
        <v>32</v>
      </c>
    </row>
    <row r="600" spans="1:2" x14ac:dyDescent="0.25">
      <c r="A600" t="s">
        <v>802</v>
      </c>
      <c r="B600" t="s">
        <v>46</v>
      </c>
    </row>
    <row r="601" spans="1:2" x14ac:dyDescent="0.25">
      <c r="A601" t="s">
        <v>803</v>
      </c>
      <c r="B601" t="s">
        <v>36</v>
      </c>
    </row>
    <row r="602" spans="1:2" x14ac:dyDescent="0.25">
      <c r="A602" t="s">
        <v>804</v>
      </c>
      <c r="B602" t="s">
        <v>28</v>
      </c>
    </row>
    <row r="603" spans="1:2" x14ac:dyDescent="0.25">
      <c r="A603" t="s">
        <v>805</v>
      </c>
      <c r="B603" t="s">
        <v>32</v>
      </c>
    </row>
    <row r="604" spans="1:2" x14ac:dyDescent="0.25">
      <c r="A604" t="s">
        <v>806</v>
      </c>
      <c r="B604" t="s">
        <v>36</v>
      </c>
    </row>
    <row r="605" spans="1:2" x14ac:dyDescent="0.25">
      <c r="A605" t="s">
        <v>807</v>
      </c>
      <c r="B605" t="s">
        <v>22</v>
      </c>
    </row>
    <row r="606" spans="1:2" x14ac:dyDescent="0.25">
      <c r="A606" t="s">
        <v>808</v>
      </c>
      <c r="B606" t="s">
        <v>36</v>
      </c>
    </row>
    <row r="607" spans="1:2" x14ac:dyDescent="0.25">
      <c r="A607" t="s">
        <v>809</v>
      </c>
      <c r="B607" t="s">
        <v>44</v>
      </c>
    </row>
    <row r="608" spans="1:2" x14ac:dyDescent="0.25">
      <c r="A608" t="s">
        <v>810</v>
      </c>
      <c r="B608" t="s">
        <v>44</v>
      </c>
    </row>
    <row r="609" spans="1:2" x14ac:dyDescent="0.25">
      <c r="A609" t="s">
        <v>811</v>
      </c>
      <c r="B609" t="s">
        <v>44</v>
      </c>
    </row>
    <row r="610" spans="1:2" x14ac:dyDescent="0.25">
      <c r="A610" t="s">
        <v>812</v>
      </c>
      <c r="B610" t="s">
        <v>22</v>
      </c>
    </row>
    <row r="611" spans="1:2" x14ac:dyDescent="0.25">
      <c r="A611" t="s">
        <v>813</v>
      </c>
      <c r="B611" t="s">
        <v>36</v>
      </c>
    </row>
    <row r="612" spans="1:2" x14ac:dyDescent="0.25">
      <c r="A612" t="s">
        <v>814</v>
      </c>
      <c r="B612" t="s">
        <v>36</v>
      </c>
    </row>
    <row r="613" spans="1:2" x14ac:dyDescent="0.25">
      <c r="A613" t="s">
        <v>815</v>
      </c>
      <c r="B613" t="s">
        <v>28</v>
      </c>
    </row>
    <row r="614" spans="1:2" x14ac:dyDescent="0.25">
      <c r="A614" t="s">
        <v>816</v>
      </c>
      <c r="B614" t="s">
        <v>22</v>
      </c>
    </row>
    <row r="615" spans="1:2" x14ac:dyDescent="0.25">
      <c r="A615" t="s">
        <v>817</v>
      </c>
      <c r="B615" t="s">
        <v>36</v>
      </c>
    </row>
    <row r="616" spans="1:2" x14ac:dyDescent="0.25">
      <c r="A616" t="s">
        <v>818</v>
      </c>
      <c r="B616" t="s">
        <v>46</v>
      </c>
    </row>
    <row r="617" spans="1:2" x14ac:dyDescent="0.25">
      <c r="A617" t="s">
        <v>819</v>
      </c>
      <c r="B617" t="s">
        <v>32</v>
      </c>
    </row>
    <row r="618" spans="1:2" x14ac:dyDescent="0.25">
      <c r="A618" t="s">
        <v>820</v>
      </c>
      <c r="B618" t="s">
        <v>22</v>
      </c>
    </row>
    <row r="619" spans="1:2" x14ac:dyDescent="0.25">
      <c r="A619" t="s">
        <v>821</v>
      </c>
      <c r="B619" t="s">
        <v>28</v>
      </c>
    </row>
    <row r="620" spans="1:2" x14ac:dyDescent="0.25">
      <c r="A620" t="s">
        <v>822</v>
      </c>
      <c r="B620" t="s">
        <v>28</v>
      </c>
    </row>
    <row r="621" spans="1:2" x14ac:dyDescent="0.25">
      <c r="A621" t="s">
        <v>823</v>
      </c>
      <c r="B621" t="s">
        <v>22</v>
      </c>
    </row>
    <row r="622" spans="1:2" x14ac:dyDescent="0.25">
      <c r="A622" t="s">
        <v>824</v>
      </c>
      <c r="B622" t="s">
        <v>22</v>
      </c>
    </row>
    <row r="623" spans="1:2" x14ac:dyDescent="0.25">
      <c r="A623" t="s">
        <v>825</v>
      </c>
      <c r="B623" t="s">
        <v>36</v>
      </c>
    </row>
    <row r="624" spans="1:2" x14ac:dyDescent="0.25">
      <c r="A624" t="s">
        <v>826</v>
      </c>
      <c r="B624" t="s">
        <v>46</v>
      </c>
    </row>
    <row r="625" spans="1:2" x14ac:dyDescent="0.25">
      <c r="A625" t="s">
        <v>827</v>
      </c>
      <c r="B625" t="s">
        <v>22</v>
      </c>
    </row>
    <row r="626" spans="1:2" x14ac:dyDescent="0.25">
      <c r="A626" t="s">
        <v>828</v>
      </c>
      <c r="B626" t="s">
        <v>32</v>
      </c>
    </row>
    <row r="627" spans="1:2" x14ac:dyDescent="0.25">
      <c r="A627" t="s">
        <v>829</v>
      </c>
      <c r="B627" t="s">
        <v>28</v>
      </c>
    </row>
    <row r="628" spans="1:2" x14ac:dyDescent="0.25">
      <c r="A628" t="s">
        <v>830</v>
      </c>
      <c r="B628" t="s">
        <v>28</v>
      </c>
    </row>
    <row r="629" spans="1:2" x14ac:dyDescent="0.25">
      <c r="A629" t="s">
        <v>831</v>
      </c>
      <c r="B629" t="s">
        <v>46</v>
      </c>
    </row>
    <row r="630" spans="1:2" x14ac:dyDescent="0.25">
      <c r="A630" t="s">
        <v>832</v>
      </c>
      <c r="B630" t="s">
        <v>32</v>
      </c>
    </row>
    <row r="631" spans="1:2" x14ac:dyDescent="0.25">
      <c r="A631" t="s">
        <v>833</v>
      </c>
      <c r="B631" t="s">
        <v>36</v>
      </c>
    </row>
    <row r="632" spans="1:2" x14ac:dyDescent="0.25">
      <c r="A632" t="s">
        <v>834</v>
      </c>
      <c r="B632" t="s">
        <v>22</v>
      </c>
    </row>
    <row r="633" spans="1:2" x14ac:dyDescent="0.25">
      <c r="A633" t="s">
        <v>835</v>
      </c>
      <c r="B633" t="s">
        <v>32</v>
      </c>
    </row>
    <row r="634" spans="1:2" x14ac:dyDescent="0.25">
      <c r="A634" t="s">
        <v>836</v>
      </c>
      <c r="B634" t="s">
        <v>36</v>
      </c>
    </row>
    <row r="635" spans="1:2" x14ac:dyDescent="0.25">
      <c r="A635" t="s">
        <v>837</v>
      </c>
      <c r="B635" t="s">
        <v>28</v>
      </c>
    </row>
    <row r="636" spans="1:2" x14ac:dyDescent="0.25">
      <c r="A636" t="s">
        <v>838</v>
      </c>
      <c r="B636" t="s">
        <v>46</v>
      </c>
    </row>
    <row r="637" spans="1:2" x14ac:dyDescent="0.25">
      <c r="A637" t="s">
        <v>839</v>
      </c>
      <c r="B637" t="s">
        <v>46</v>
      </c>
    </row>
    <row r="638" spans="1:2" x14ac:dyDescent="0.25">
      <c r="A638" t="s">
        <v>840</v>
      </c>
      <c r="B638" t="s">
        <v>28</v>
      </c>
    </row>
    <row r="639" spans="1:2" x14ac:dyDescent="0.25">
      <c r="A639" t="s">
        <v>841</v>
      </c>
      <c r="B639" t="s">
        <v>32</v>
      </c>
    </row>
    <row r="640" spans="1:2" x14ac:dyDescent="0.25">
      <c r="A640" t="s">
        <v>842</v>
      </c>
      <c r="B640" t="s">
        <v>36</v>
      </c>
    </row>
    <row r="641" spans="1:2" x14ac:dyDescent="0.25">
      <c r="A641" t="s">
        <v>843</v>
      </c>
      <c r="B641" t="s">
        <v>28</v>
      </c>
    </row>
    <row r="642" spans="1:2" x14ac:dyDescent="0.25">
      <c r="A642" t="s">
        <v>844</v>
      </c>
      <c r="B642" t="s">
        <v>22</v>
      </c>
    </row>
    <row r="643" spans="1:2" x14ac:dyDescent="0.25">
      <c r="A643" t="s">
        <v>845</v>
      </c>
      <c r="B643" t="s">
        <v>46</v>
      </c>
    </row>
    <row r="644" spans="1:2" x14ac:dyDescent="0.25">
      <c r="A644" t="s">
        <v>846</v>
      </c>
      <c r="B644" t="s">
        <v>22</v>
      </c>
    </row>
    <row r="645" spans="1:2" x14ac:dyDescent="0.25">
      <c r="A645" t="s">
        <v>847</v>
      </c>
      <c r="B645" t="s">
        <v>28</v>
      </c>
    </row>
    <row r="646" spans="1:2" x14ac:dyDescent="0.25">
      <c r="A646" t="s">
        <v>848</v>
      </c>
      <c r="B646" t="s">
        <v>36</v>
      </c>
    </row>
    <row r="647" spans="1:2" x14ac:dyDescent="0.25">
      <c r="A647" t="s">
        <v>849</v>
      </c>
      <c r="B647" t="s">
        <v>28</v>
      </c>
    </row>
    <row r="648" spans="1:2" x14ac:dyDescent="0.25">
      <c r="A648" t="s">
        <v>850</v>
      </c>
      <c r="B648" t="s">
        <v>28</v>
      </c>
    </row>
    <row r="649" spans="1:2" x14ac:dyDescent="0.25">
      <c r="A649" t="s">
        <v>851</v>
      </c>
      <c r="B649" t="s">
        <v>44</v>
      </c>
    </row>
    <row r="650" spans="1:2" x14ac:dyDescent="0.25">
      <c r="A650" t="s">
        <v>852</v>
      </c>
      <c r="B650" t="s">
        <v>46</v>
      </c>
    </row>
    <row r="651" spans="1:2" x14ac:dyDescent="0.25">
      <c r="A651" t="s">
        <v>853</v>
      </c>
      <c r="B651" t="s">
        <v>44</v>
      </c>
    </row>
    <row r="652" spans="1:2" x14ac:dyDescent="0.25">
      <c r="A652" t="s">
        <v>854</v>
      </c>
      <c r="B652" t="s">
        <v>22</v>
      </c>
    </row>
    <row r="653" spans="1:2" x14ac:dyDescent="0.25">
      <c r="A653" t="s">
        <v>855</v>
      </c>
      <c r="B653" t="s">
        <v>44</v>
      </c>
    </row>
    <row r="654" spans="1:2" x14ac:dyDescent="0.25">
      <c r="A654" t="s">
        <v>856</v>
      </c>
      <c r="B654" t="s">
        <v>28</v>
      </c>
    </row>
    <row r="655" spans="1:2" x14ac:dyDescent="0.25">
      <c r="A655" t="s">
        <v>857</v>
      </c>
      <c r="B655" t="s">
        <v>32</v>
      </c>
    </row>
    <row r="656" spans="1:2" x14ac:dyDescent="0.25">
      <c r="A656" t="s">
        <v>858</v>
      </c>
      <c r="B656" t="s">
        <v>36</v>
      </c>
    </row>
    <row r="657" spans="1:2" x14ac:dyDescent="0.25">
      <c r="A657" t="s">
        <v>859</v>
      </c>
      <c r="B657" t="s">
        <v>22</v>
      </c>
    </row>
    <row r="658" spans="1:2" x14ac:dyDescent="0.25">
      <c r="A658" t="s">
        <v>860</v>
      </c>
      <c r="B658" t="s">
        <v>36</v>
      </c>
    </row>
    <row r="659" spans="1:2" x14ac:dyDescent="0.25">
      <c r="A659" t="s">
        <v>861</v>
      </c>
      <c r="B659" t="s">
        <v>36</v>
      </c>
    </row>
    <row r="660" spans="1:2" x14ac:dyDescent="0.25">
      <c r="A660" t="s">
        <v>862</v>
      </c>
      <c r="B660" t="s">
        <v>22</v>
      </c>
    </row>
    <row r="661" spans="1:2" x14ac:dyDescent="0.25">
      <c r="A661" t="s">
        <v>863</v>
      </c>
      <c r="B661" t="s">
        <v>46</v>
      </c>
    </row>
    <row r="662" spans="1:2" x14ac:dyDescent="0.25">
      <c r="A662" t="s">
        <v>864</v>
      </c>
      <c r="B662" t="s">
        <v>28</v>
      </c>
    </row>
    <row r="663" spans="1:2" x14ac:dyDescent="0.25">
      <c r="A663" t="s">
        <v>865</v>
      </c>
      <c r="B663" t="s">
        <v>28</v>
      </c>
    </row>
    <row r="664" spans="1:2" x14ac:dyDescent="0.25">
      <c r="A664" t="s">
        <v>866</v>
      </c>
      <c r="B664" t="s">
        <v>28</v>
      </c>
    </row>
    <row r="665" spans="1:2" x14ac:dyDescent="0.25">
      <c r="A665" t="s">
        <v>867</v>
      </c>
      <c r="B665" t="s">
        <v>22</v>
      </c>
    </row>
    <row r="666" spans="1:2" x14ac:dyDescent="0.25">
      <c r="A666" t="s">
        <v>868</v>
      </c>
      <c r="B666" t="s">
        <v>36</v>
      </c>
    </row>
    <row r="667" spans="1:2" x14ac:dyDescent="0.25">
      <c r="A667" t="s">
        <v>869</v>
      </c>
      <c r="B667" t="s">
        <v>22</v>
      </c>
    </row>
    <row r="668" spans="1:2" x14ac:dyDescent="0.25">
      <c r="A668" t="s">
        <v>870</v>
      </c>
      <c r="B668" t="s">
        <v>32</v>
      </c>
    </row>
    <row r="669" spans="1:2" x14ac:dyDescent="0.25">
      <c r="A669" t="s">
        <v>871</v>
      </c>
      <c r="B669" t="s">
        <v>46</v>
      </c>
    </row>
    <row r="670" spans="1:2" x14ac:dyDescent="0.25">
      <c r="A670" t="s">
        <v>872</v>
      </c>
      <c r="B670" t="s">
        <v>46</v>
      </c>
    </row>
    <row r="671" spans="1:2" x14ac:dyDescent="0.25">
      <c r="A671" t="s">
        <v>873</v>
      </c>
      <c r="B671" t="s">
        <v>36</v>
      </c>
    </row>
    <row r="672" spans="1:2" x14ac:dyDescent="0.25">
      <c r="A672" t="s">
        <v>874</v>
      </c>
      <c r="B672" t="s">
        <v>28</v>
      </c>
    </row>
    <row r="673" spans="1:2" x14ac:dyDescent="0.25">
      <c r="A673" t="s">
        <v>875</v>
      </c>
      <c r="B673" t="s">
        <v>36</v>
      </c>
    </row>
    <row r="674" spans="1:2" x14ac:dyDescent="0.25">
      <c r="A674" t="s">
        <v>876</v>
      </c>
      <c r="B674" t="s">
        <v>46</v>
      </c>
    </row>
    <row r="675" spans="1:2" x14ac:dyDescent="0.25">
      <c r="A675" t="s">
        <v>877</v>
      </c>
      <c r="B675" t="s">
        <v>28</v>
      </c>
    </row>
    <row r="676" spans="1:2" x14ac:dyDescent="0.25">
      <c r="A676" t="s">
        <v>878</v>
      </c>
      <c r="B676" t="s">
        <v>36</v>
      </c>
    </row>
    <row r="677" spans="1:2" x14ac:dyDescent="0.25">
      <c r="A677" t="s">
        <v>879</v>
      </c>
      <c r="B677" t="s">
        <v>44</v>
      </c>
    </row>
    <row r="678" spans="1:2" x14ac:dyDescent="0.25">
      <c r="A678" t="s">
        <v>880</v>
      </c>
      <c r="B678" t="s">
        <v>46</v>
      </c>
    </row>
    <row r="679" spans="1:2" x14ac:dyDescent="0.25">
      <c r="A679" t="s">
        <v>881</v>
      </c>
      <c r="B679" t="s">
        <v>28</v>
      </c>
    </row>
    <row r="680" spans="1:2" x14ac:dyDescent="0.25">
      <c r="A680" t="s">
        <v>882</v>
      </c>
      <c r="B680" t="s">
        <v>28</v>
      </c>
    </row>
    <row r="681" spans="1:2" x14ac:dyDescent="0.25">
      <c r="A681" t="s">
        <v>883</v>
      </c>
      <c r="B681" t="s">
        <v>36</v>
      </c>
    </row>
    <row r="682" spans="1:2" x14ac:dyDescent="0.25">
      <c r="A682" t="s">
        <v>884</v>
      </c>
      <c r="B682" t="s">
        <v>44</v>
      </c>
    </row>
    <row r="683" spans="1:2" x14ac:dyDescent="0.25">
      <c r="A683" t="s">
        <v>885</v>
      </c>
      <c r="B683" t="s">
        <v>46</v>
      </c>
    </row>
    <row r="684" spans="1:2" x14ac:dyDescent="0.25">
      <c r="A684" t="s">
        <v>886</v>
      </c>
      <c r="B684" t="s">
        <v>46</v>
      </c>
    </row>
    <row r="685" spans="1:2" x14ac:dyDescent="0.25">
      <c r="A685" t="s">
        <v>887</v>
      </c>
      <c r="B685" t="s">
        <v>46</v>
      </c>
    </row>
    <row r="686" spans="1:2" x14ac:dyDescent="0.25">
      <c r="A686" t="s">
        <v>888</v>
      </c>
      <c r="B686" t="s">
        <v>22</v>
      </c>
    </row>
    <row r="687" spans="1:2" x14ac:dyDescent="0.25">
      <c r="A687" t="s">
        <v>889</v>
      </c>
      <c r="B687" t="s">
        <v>28</v>
      </c>
    </row>
    <row r="688" spans="1:2" x14ac:dyDescent="0.25">
      <c r="A688" t="s">
        <v>890</v>
      </c>
      <c r="B688" t="s">
        <v>22</v>
      </c>
    </row>
    <row r="689" spans="1:2" x14ac:dyDescent="0.25">
      <c r="A689" t="s">
        <v>891</v>
      </c>
      <c r="B689" t="s">
        <v>46</v>
      </c>
    </row>
    <row r="690" spans="1:2" x14ac:dyDescent="0.25">
      <c r="A690" t="s">
        <v>892</v>
      </c>
      <c r="B690" t="s">
        <v>44</v>
      </c>
    </row>
    <row r="691" spans="1:2" x14ac:dyDescent="0.25">
      <c r="A691" t="s">
        <v>893</v>
      </c>
      <c r="B691" t="s">
        <v>32</v>
      </c>
    </row>
    <row r="692" spans="1:2" x14ac:dyDescent="0.25">
      <c r="A692" t="s">
        <v>894</v>
      </c>
      <c r="B692" t="s">
        <v>22</v>
      </c>
    </row>
    <row r="693" spans="1:2" x14ac:dyDescent="0.25">
      <c r="A693" t="s">
        <v>895</v>
      </c>
      <c r="B693" t="s">
        <v>44</v>
      </c>
    </row>
    <row r="694" spans="1:2" x14ac:dyDescent="0.25">
      <c r="A694" t="s">
        <v>896</v>
      </c>
      <c r="B694" t="s">
        <v>32</v>
      </c>
    </row>
    <row r="695" spans="1:2" x14ac:dyDescent="0.25">
      <c r="A695" t="s">
        <v>897</v>
      </c>
      <c r="B695" t="s">
        <v>36</v>
      </c>
    </row>
    <row r="696" spans="1:2" x14ac:dyDescent="0.25">
      <c r="A696" t="s">
        <v>898</v>
      </c>
      <c r="B696" t="s">
        <v>32</v>
      </c>
    </row>
    <row r="697" spans="1:2" x14ac:dyDescent="0.25">
      <c r="A697" t="s">
        <v>899</v>
      </c>
      <c r="B697" t="s">
        <v>32</v>
      </c>
    </row>
    <row r="698" spans="1:2" x14ac:dyDescent="0.25">
      <c r="A698" t="s">
        <v>900</v>
      </c>
      <c r="B698" t="s">
        <v>28</v>
      </c>
    </row>
    <row r="699" spans="1:2" x14ac:dyDescent="0.25">
      <c r="A699" t="s">
        <v>901</v>
      </c>
      <c r="B699" t="s">
        <v>22</v>
      </c>
    </row>
    <row r="700" spans="1:2" x14ac:dyDescent="0.25">
      <c r="A700" t="s">
        <v>902</v>
      </c>
      <c r="B700" t="s">
        <v>36</v>
      </c>
    </row>
    <row r="701" spans="1:2" x14ac:dyDescent="0.25">
      <c r="A701" t="s">
        <v>903</v>
      </c>
      <c r="B701" t="s">
        <v>22</v>
      </c>
    </row>
    <row r="702" spans="1:2" x14ac:dyDescent="0.25">
      <c r="A702" t="s">
        <v>904</v>
      </c>
      <c r="B702" t="s">
        <v>44</v>
      </c>
    </row>
    <row r="703" spans="1:2" x14ac:dyDescent="0.25">
      <c r="A703" t="s">
        <v>905</v>
      </c>
      <c r="B703" t="s">
        <v>36</v>
      </c>
    </row>
    <row r="704" spans="1:2" x14ac:dyDescent="0.25">
      <c r="A704" t="s">
        <v>906</v>
      </c>
      <c r="B704" t="s">
        <v>44</v>
      </c>
    </row>
    <row r="705" spans="1:2" x14ac:dyDescent="0.25">
      <c r="A705" t="s">
        <v>907</v>
      </c>
      <c r="B705" t="s">
        <v>46</v>
      </c>
    </row>
    <row r="706" spans="1:2" x14ac:dyDescent="0.25">
      <c r="A706" t="s">
        <v>908</v>
      </c>
      <c r="B706" t="s">
        <v>28</v>
      </c>
    </row>
    <row r="707" spans="1:2" x14ac:dyDescent="0.25">
      <c r="A707" t="s">
        <v>909</v>
      </c>
      <c r="B707" t="s">
        <v>36</v>
      </c>
    </row>
    <row r="708" spans="1:2" x14ac:dyDescent="0.25">
      <c r="A708" t="s">
        <v>910</v>
      </c>
      <c r="B708" t="s">
        <v>32</v>
      </c>
    </row>
    <row r="709" spans="1:2" x14ac:dyDescent="0.25">
      <c r="A709" t="s">
        <v>911</v>
      </c>
      <c r="B709" t="s">
        <v>32</v>
      </c>
    </row>
    <row r="710" spans="1:2" x14ac:dyDescent="0.25">
      <c r="A710" t="s">
        <v>912</v>
      </c>
      <c r="B710" t="s">
        <v>46</v>
      </c>
    </row>
    <row r="711" spans="1:2" x14ac:dyDescent="0.25">
      <c r="A711" t="s">
        <v>913</v>
      </c>
      <c r="B711" t="s">
        <v>28</v>
      </c>
    </row>
    <row r="712" spans="1:2" x14ac:dyDescent="0.25">
      <c r="A712" t="s">
        <v>914</v>
      </c>
      <c r="B712" t="s">
        <v>28</v>
      </c>
    </row>
    <row r="713" spans="1:2" x14ac:dyDescent="0.25">
      <c r="A713" t="s">
        <v>915</v>
      </c>
      <c r="B713" t="s">
        <v>28</v>
      </c>
    </row>
    <row r="714" spans="1:2" x14ac:dyDescent="0.25">
      <c r="A714" t="s">
        <v>916</v>
      </c>
      <c r="B714" t="s">
        <v>44</v>
      </c>
    </row>
    <row r="715" spans="1:2" x14ac:dyDescent="0.25">
      <c r="A715" t="s">
        <v>917</v>
      </c>
      <c r="B715" t="s">
        <v>46</v>
      </c>
    </row>
    <row r="716" spans="1:2" x14ac:dyDescent="0.25">
      <c r="A716" t="s">
        <v>918</v>
      </c>
      <c r="B716" t="s">
        <v>36</v>
      </c>
    </row>
    <row r="717" spans="1:2" x14ac:dyDescent="0.25">
      <c r="A717" t="s">
        <v>919</v>
      </c>
      <c r="B717" t="s">
        <v>32</v>
      </c>
    </row>
    <row r="718" spans="1:2" x14ac:dyDescent="0.25">
      <c r="A718" t="s">
        <v>920</v>
      </c>
      <c r="B718" t="s">
        <v>44</v>
      </c>
    </row>
    <row r="719" spans="1:2" x14ac:dyDescent="0.25">
      <c r="A719" t="s">
        <v>921</v>
      </c>
      <c r="B719" t="s">
        <v>36</v>
      </c>
    </row>
    <row r="720" spans="1:2" x14ac:dyDescent="0.25">
      <c r="A720" t="s">
        <v>922</v>
      </c>
      <c r="B720" t="s">
        <v>44</v>
      </c>
    </row>
    <row r="721" spans="1:2" x14ac:dyDescent="0.25">
      <c r="A721" t="s">
        <v>923</v>
      </c>
      <c r="B721" t="s">
        <v>28</v>
      </c>
    </row>
    <row r="722" spans="1:2" x14ac:dyDescent="0.25">
      <c r="A722" t="s">
        <v>924</v>
      </c>
      <c r="B722" t="s">
        <v>46</v>
      </c>
    </row>
    <row r="723" spans="1:2" x14ac:dyDescent="0.25">
      <c r="A723" t="s">
        <v>925</v>
      </c>
      <c r="B723" t="s">
        <v>36</v>
      </c>
    </row>
    <row r="724" spans="1:2" x14ac:dyDescent="0.25">
      <c r="A724" t="s">
        <v>926</v>
      </c>
      <c r="B724" t="s">
        <v>22</v>
      </c>
    </row>
    <row r="725" spans="1:2" x14ac:dyDescent="0.25">
      <c r="A725" t="s">
        <v>927</v>
      </c>
      <c r="B725" t="s">
        <v>28</v>
      </c>
    </row>
    <row r="726" spans="1:2" x14ac:dyDescent="0.25">
      <c r="A726" t="s">
        <v>928</v>
      </c>
      <c r="B726" t="s">
        <v>46</v>
      </c>
    </row>
    <row r="727" spans="1:2" x14ac:dyDescent="0.25">
      <c r="A727" t="s">
        <v>929</v>
      </c>
      <c r="B727" t="s">
        <v>28</v>
      </c>
    </row>
    <row r="728" spans="1:2" x14ac:dyDescent="0.25">
      <c r="A728" t="s">
        <v>930</v>
      </c>
      <c r="B728" t="s">
        <v>28</v>
      </c>
    </row>
    <row r="729" spans="1:2" x14ac:dyDescent="0.25">
      <c r="A729" t="s">
        <v>931</v>
      </c>
      <c r="B729" t="s">
        <v>22</v>
      </c>
    </row>
    <row r="730" spans="1:2" x14ac:dyDescent="0.25">
      <c r="A730" t="s">
        <v>932</v>
      </c>
      <c r="B730" t="s">
        <v>46</v>
      </c>
    </row>
    <row r="731" spans="1:2" x14ac:dyDescent="0.25">
      <c r="A731" t="s">
        <v>933</v>
      </c>
      <c r="B731" t="s">
        <v>44</v>
      </c>
    </row>
    <row r="732" spans="1:2" x14ac:dyDescent="0.25">
      <c r="A732" t="s">
        <v>934</v>
      </c>
      <c r="B732" t="s">
        <v>22</v>
      </c>
    </row>
    <row r="733" spans="1:2" x14ac:dyDescent="0.25">
      <c r="A733" t="s">
        <v>935</v>
      </c>
      <c r="B733" t="s">
        <v>44</v>
      </c>
    </row>
    <row r="734" spans="1:2" x14ac:dyDescent="0.25">
      <c r="A734" t="s">
        <v>936</v>
      </c>
      <c r="B734" t="s">
        <v>28</v>
      </c>
    </row>
    <row r="735" spans="1:2" x14ac:dyDescent="0.25">
      <c r="A735" t="s">
        <v>937</v>
      </c>
      <c r="B735" t="s">
        <v>32</v>
      </c>
    </row>
    <row r="736" spans="1:2" x14ac:dyDescent="0.25">
      <c r="A736" t="s">
        <v>938</v>
      </c>
      <c r="B736" t="s">
        <v>22</v>
      </c>
    </row>
    <row r="737" spans="1:2" x14ac:dyDescent="0.25">
      <c r="A737" t="s">
        <v>939</v>
      </c>
      <c r="B737" t="s">
        <v>44</v>
      </c>
    </row>
    <row r="738" spans="1:2" x14ac:dyDescent="0.25">
      <c r="A738" t="s">
        <v>940</v>
      </c>
      <c r="B738" t="s">
        <v>22</v>
      </c>
    </row>
    <row r="739" spans="1:2" x14ac:dyDescent="0.25">
      <c r="A739" t="s">
        <v>941</v>
      </c>
      <c r="B739" t="s">
        <v>32</v>
      </c>
    </row>
    <row r="740" spans="1:2" x14ac:dyDescent="0.25">
      <c r="A740" t="s">
        <v>942</v>
      </c>
      <c r="B740" t="s">
        <v>22</v>
      </c>
    </row>
    <row r="741" spans="1:2" x14ac:dyDescent="0.25">
      <c r="A741" t="s">
        <v>943</v>
      </c>
      <c r="B741" t="s">
        <v>22</v>
      </c>
    </row>
    <row r="742" spans="1:2" x14ac:dyDescent="0.25">
      <c r="A742" t="s">
        <v>944</v>
      </c>
      <c r="B742" t="s">
        <v>44</v>
      </c>
    </row>
    <row r="743" spans="1:2" x14ac:dyDescent="0.25">
      <c r="A743" t="s">
        <v>945</v>
      </c>
      <c r="B743" t="s">
        <v>32</v>
      </c>
    </row>
    <row r="744" spans="1:2" x14ac:dyDescent="0.25">
      <c r="A744" t="s">
        <v>946</v>
      </c>
      <c r="B744" t="s">
        <v>44</v>
      </c>
    </row>
    <row r="745" spans="1:2" x14ac:dyDescent="0.25">
      <c r="A745" t="s">
        <v>947</v>
      </c>
      <c r="B745" t="s">
        <v>28</v>
      </c>
    </row>
    <row r="746" spans="1:2" x14ac:dyDescent="0.25">
      <c r="A746" t="s">
        <v>948</v>
      </c>
      <c r="B746" t="s">
        <v>32</v>
      </c>
    </row>
    <row r="747" spans="1:2" x14ac:dyDescent="0.25">
      <c r="A747" t="s">
        <v>949</v>
      </c>
      <c r="B747" t="s">
        <v>46</v>
      </c>
    </row>
    <row r="748" spans="1:2" x14ac:dyDescent="0.25">
      <c r="A748" t="s">
        <v>950</v>
      </c>
      <c r="B748" t="s">
        <v>44</v>
      </c>
    </row>
    <row r="749" spans="1:2" x14ac:dyDescent="0.25">
      <c r="A749" t="s">
        <v>951</v>
      </c>
      <c r="B749" t="s">
        <v>28</v>
      </c>
    </row>
    <row r="750" spans="1:2" x14ac:dyDescent="0.25">
      <c r="A750" t="s">
        <v>952</v>
      </c>
      <c r="B750" t="s">
        <v>36</v>
      </c>
    </row>
    <row r="751" spans="1:2" x14ac:dyDescent="0.25">
      <c r="A751" t="s">
        <v>953</v>
      </c>
      <c r="B751" t="s">
        <v>46</v>
      </c>
    </row>
    <row r="752" spans="1:2" x14ac:dyDescent="0.25">
      <c r="A752" t="s">
        <v>954</v>
      </c>
      <c r="B752" t="s">
        <v>32</v>
      </c>
    </row>
    <row r="753" spans="1:2" x14ac:dyDescent="0.25">
      <c r="A753" t="s">
        <v>955</v>
      </c>
      <c r="B753" t="s">
        <v>28</v>
      </c>
    </row>
    <row r="754" spans="1:2" x14ac:dyDescent="0.25">
      <c r="A754" t="s">
        <v>956</v>
      </c>
      <c r="B754" t="s">
        <v>32</v>
      </c>
    </row>
    <row r="755" spans="1:2" x14ac:dyDescent="0.25">
      <c r="A755" t="s">
        <v>957</v>
      </c>
      <c r="B755" t="s">
        <v>32</v>
      </c>
    </row>
    <row r="756" spans="1:2" x14ac:dyDescent="0.25">
      <c r="A756" t="s">
        <v>958</v>
      </c>
      <c r="B756" t="s">
        <v>32</v>
      </c>
    </row>
    <row r="757" spans="1:2" x14ac:dyDescent="0.25">
      <c r="A757" t="s">
        <v>959</v>
      </c>
      <c r="B757" t="s">
        <v>36</v>
      </c>
    </row>
    <row r="758" spans="1:2" x14ac:dyDescent="0.25">
      <c r="A758" t="s">
        <v>960</v>
      </c>
      <c r="B758" t="s">
        <v>36</v>
      </c>
    </row>
    <row r="759" spans="1:2" x14ac:dyDescent="0.25">
      <c r="A759" t="s">
        <v>961</v>
      </c>
      <c r="B759" t="s">
        <v>28</v>
      </c>
    </row>
    <row r="760" spans="1:2" x14ac:dyDescent="0.25">
      <c r="A760" t="s">
        <v>962</v>
      </c>
      <c r="B760" t="s">
        <v>36</v>
      </c>
    </row>
    <row r="761" spans="1:2" x14ac:dyDescent="0.25">
      <c r="A761" t="s">
        <v>963</v>
      </c>
      <c r="B761" t="s">
        <v>22</v>
      </c>
    </row>
    <row r="762" spans="1:2" x14ac:dyDescent="0.25">
      <c r="A762" t="s">
        <v>964</v>
      </c>
      <c r="B762" t="s">
        <v>28</v>
      </c>
    </row>
    <row r="763" spans="1:2" x14ac:dyDescent="0.25">
      <c r="A763" t="s">
        <v>965</v>
      </c>
      <c r="B763" t="s">
        <v>36</v>
      </c>
    </row>
    <row r="764" spans="1:2" x14ac:dyDescent="0.25">
      <c r="A764" t="s">
        <v>966</v>
      </c>
      <c r="B764" t="s">
        <v>32</v>
      </c>
    </row>
    <row r="765" spans="1:2" x14ac:dyDescent="0.25">
      <c r="A765" t="s">
        <v>967</v>
      </c>
      <c r="B765" t="s">
        <v>46</v>
      </c>
    </row>
    <row r="766" spans="1:2" x14ac:dyDescent="0.25">
      <c r="A766" t="s">
        <v>968</v>
      </c>
      <c r="B766" t="s">
        <v>44</v>
      </c>
    </row>
    <row r="767" spans="1:2" x14ac:dyDescent="0.25">
      <c r="A767" t="s">
        <v>969</v>
      </c>
      <c r="B767" t="s">
        <v>22</v>
      </c>
    </row>
    <row r="768" spans="1:2" x14ac:dyDescent="0.25">
      <c r="A768" t="s">
        <v>970</v>
      </c>
      <c r="B768" t="s">
        <v>32</v>
      </c>
    </row>
    <row r="769" spans="1:2" x14ac:dyDescent="0.25">
      <c r="A769" t="s">
        <v>971</v>
      </c>
      <c r="B769" t="s">
        <v>32</v>
      </c>
    </row>
    <row r="770" spans="1:2" x14ac:dyDescent="0.25">
      <c r="A770" t="s">
        <v>972</v>
      </c>
      <c r="B770" t="s">
        <v>22</v>
      </c>
    </row>
    <row r="771" spans="1:2" x14ac:dyDescent="0.25">
      <c r="A771" t="s">
        <v>973</v>
      </c>
      <c r="B771" t="s">
        <v>36</v>
      </c>
    </row>
    <row r="772" spans="1:2" x14ac:dyDescent="0.25">
      <c r="A772" t="s">
        <v>974</v>
      </c>
      <c r="B772" t="s">
        <v>22</v>
      </c>
    </row>
    <row r="773" spans="1:2" x14ac:dyDescent="0.25">
      <c r="A773" t="s">
        <v>975</v>
      </c>
      <c r="B773" t="s">
        <v>44</v>
      </c>
    </row>
    <row r="774" spans="1:2" x14ac:dyDescent="0.25">
      <c r="A774" t="s">
        <v>976</v>
      </c>
      <c r="B774" t="s">
        <v>44</v>
      </c>
    </row>
    <row r="775" spans="1:2" x14ac:dyDescent="0.25">
      <c r="A775" t="s">
        <v>977</v>
      </c>
      <c r="B775" t="s">
        <v>46</v>
      </c>
    </row>
    <row r="776" spans="1:2" x14ac:dyDescent="0.25">
      <c r="A776" t="s">
        <v>978</v>
      </c>
      <c r="B776" t="s">
        <v>32</v>
      </c>
    </row>
    <row r="777" spans="1:2" x14ac:dyDescent="0.25">
      <c r="A777" t="s">
        <v>979</v>
      </c>
      <c r="B777" t="s">
        <v>22</v>
      </c>
    </row>
    <row r="778" spans="1:2" x14ac:dyDescent="0.25">
      <c r="A778" t="s">
        <v>980</v>
      </c>
      <c r="B778" t="s">
        <v>22</v>
      </c>
    </row>
    <row r="779" spans="1:2" x14ac:dyDescent="0.25">
      <c r="A779" t="s">
        <v>981</v>
      </c>
      <c r="B779" t="s">
        <v>28</v>
      </c>
    </row>
    <row r="780" spans="1:2" x14ac:dyDescent="0.25">
      <c r="A780" t="s">
        <v>982</v>
      </c>
      <c r="B780" t="s">
        <v>28</v>
      </c>
    </row>
    <row r="781" spans="1:2" x14ac:dyDescent="0.25">
      <c r="A781" t="s">
        <v>983</v>
      </c>
      <c r="B781" t="s">
        <v>46</v>
      </c>
    </row>
    <row r="782" spans="1:2" x14ac:dyDescent="0.25">
      <c r="A782" t="s">
        <v>984</v>
      </c>
      <c r="B782" t="s">
        <v>32</v>
      </c>
    </row>
    <row r="783" spans="1:2" x14ac:dyDescent="0.25">
      <c r="A783" t="s">
        <v>985</v>
      </c>
      <c r="B783" t="s">
        <v>44</v>
      </c>
    </row>
    <row r="784" spans="1:2" x14ac:dyDescent="0.25">
      <c r="A784" t="s">
        <v>986</v>
      </c>
      <c r="B784" t="s">
        <v>22</v>
      </c>
    </row>
    <row r="785" spans="1:2" x14ac:dyDescent="0.25">
      <c r="A785" t="s">
        <v>987</v>
      </c>
      <c r="B785" t="s">
        <v>32</v>
      </c>
    </row>
    <row r="786" spans="1:2" x14ac:dyDescent="0.25">
      <c r="A786" t="s">
        <v>988</v>
      </c>
      <c r="B786" t="s">
        <v>44</v>
      </c>
    </row>
    <row r="787" spans="1:2" x14ac:dyDescent="0.25">
      <c r="A787" t="s">
        <v>989</v>
      </c>
      <c r="B787" t="s">
        <v>44</v>
      </c>
    </row>
    <row r="788" spans="1:2" x14ac:dyDescent="0.25">
      <c r="A788" t="s">
        <v>990</v>
      </c>
      <c r="B788" t="s">
        <v>32</v>
      </c>
    </row>
    <row r="789" spans="1:2" x14ac:dyDescent="0.25">
      <c r="A789" t="s">
        <v>991</v>
      </c>
      <c r="B789" t="s">
        <v>46</v>
      </c>
    </row>
    <row r="790" spans="1:2" x14ac:dyDescent="0.25">
      <c r="A790" t="s">
        <v>992</v>
      </c>
      <c r="B790" t="s">
        <v>44</v>
      </c>
    </row>
    <row r="791" spans="1:2" x14ac:dyDescent="0.25">
      <c r="A791" t="s">
        <v>993</v>
      </c>
      <c r="B791" t="s">
        <v>28</v>
      </c>
    </row>
    <row r="792" spans="1:2" x14ac:dyDescent="0.25">
      <c r="A792" t="s">
        <v>994</v>
      </c>
      <c r="B792" t="s">
        <v>32</v>
      </c>
    </row>
    <row r="793" spans="1:2" x14ac:dyDescent="0.25">
      <c r="A793" t="s">
        <v>995</v>
      </c>
      <c r="B793" t="s">
        <v>44</v>
      </c>
    </row>
    <row r="794" spans="1:2" x14ac:dyDescent="0.25">
      <c r="A794" t="s">
        <v>996</v>
      </c>
      <c r="B794" t="s">
        <v>46</v>
      </c>
    </row>
    <row r="795" spans="1:2" x14ac:dyDescent="0.25">
      <c r="A795" t="s">
        <v>997</v>
      </c>
      <c r="B795" t="s">
        <v>28</v>
      </c>
    </row>
    <row r="796" spans="1:2" x14ac:dyDescent="0.25">
      <c r="A796" t="s">
        <v>998</v>
      </c>
      <c r="B796" t="s">
        <v>46</v>
      </c>
    </row>
    <row r="797" spans="1:2" x14ac:dyDescent="0.25">
      <c r="A797" t="s">
        <v>999</v>
      </c>
      <c r="B797" t="s">
        <v>28</v>
      </c>
    </row>
    <row r="798" spans="1:2" x14ac:dyDescent="0.25">
      <c r="A798" t="s">
        <v>1000</v>
      </c>
      <c r="B798" t="s">
        <v>44</v>
      </c>
    </row>
    <row r="799" spans="1:2" x14ac:dyDescent="0.25">
      <c r="A799" t="s">
        <v>1001</v>
      </c>
      <c r="B799" t="s">
        <v>28</v>
      </c>
    </row>
    <row r="800" spans="1:2" x14ac:dyDescent="0.25">
      <c r="A800" t="s">
        <v>1002</v>
      </c>
      <c r="B800" t="s">
        <v>32</v>
      </c>
    </row>
    <row r="801" spans="1:2" x14ac:dyDescent="0.25">
      <c r="A801" t="s">
        <v>1003</v>
      </c>
      <c r="B801" t="s">
        <v>32</v>
      </c>
    </row>
    <row r="802" spans="1:2" x14ac:dyDescent="0.25">
      <c r="A802" t="s">
        <v>1004</v>
      </c>
      <c r="B802" t="s">
        <v>22</v>
      </c>
    </row>
    <row r="803" spans="1:2" x14ac:dyDescent="0.25">
      <c r="A803" t="s">
        <v>1005</v>
      </c>
      <c r="B803" t="s">
        <v>28</v>
      </c>
    </row>
    <row r="804" spans="1:2" x14ac:dyDescent="0.25">
      <c r="A804" t="s">
        <v>1006</v>
      </c>
      <c r="B804" t="s">
        <v>44</v>
      </c>
    </row>
    <row r="805" spans="1:2" x14ac:dyDescent="0.25">
      <c r="A805" t="s">
        <v>1007</v>
      </c>
      <c r="B805" t="s">
        <v>32</v>
      </c>
    </row>
    <row r="806" spans="1:2" x14ac:dyDescent="0.25">
      <c r="A806" t="s">
        <v>1008</v>
      </c>
      <c r="B806" t="s">
        <v>28</v>
      </c>
    </row>
    <row r="807" spans="1:2" x14ac:dyDescent="0.25">
      <c r="A807" t="s">
        <v>1009</v>
      </c>
      <c r="B807" t="s">
        <v>32</v>
      </c>
    </row>
    <row r="808" spans="1:2" x14ac:dyDescent="0.25">
      <c r="A808" t="s">
        <v>1010</v>
      </c>
      <c r="B808" t="s">
        <v>46</v>
      </c>
    </row>
    <row r="809" spans="1:2" x14ac:dyDescent="0.25">
      <c r="A809" t="s">
        <v>1011</v>
      </c>
      <c r="B809" t="s">
        <v>46</v>
      </c>
    </row>
    <row r="810" spans="1:2" x14ac:dyDescent="0.25">
      <c r="A810" t="s">
        <v>1012</v>
      </c>
      <c r="B810" t="s">
        <v>44</v>
      </c>
    </row>
    <row r="811" spans="1:2" x14ac:dyDescent="0.25">
      <c r="A811" t="s">
        <v>1013</v>
      </c>
      <c r="B811" t="s">
        <v>44</v>
      </c>
    </row>
    <row r="812" spans="1:2" x14ac:dyDescent="0.25">
      <c r="A812" t="s">
        <v>1014</v>
      </c>
      <c r="B812" t="s">
        <v>28</v>
      </c>
    </row>
    <row r="813" spans="1:2" x14ac:dyDescent="0.25">
      <c r="A813" t="s">
        <v>1015</v>
      </c>
      <c r="B813" t="s">
        <v>44</v>
      </c>
    </row>
    <row r="814" spans="1:2" x14ac:dyDescent="0.25">
      <c r="A814" t="s">
        <v>1016</v>
      </c>
      <c r="B814" t="s">
        <v>44</v>
      </c>
    </row>
    <row r="815" spans="1:2" x14ac:dyDescent="0.25">
      <c r="A815" t="s">
        <v>1017</v>
      </c>
      <c r="B815" t="s">
        <v>22</v>
      </c>
    </row>
    <row r="816" spans="1:2" x14ac:dyDescent="0.25">
      <c r="A816" t="s">
        <v>1018</v>
      </c>
      <c r="B816" t="s">
        <v>36</v>
      </c>
    </row>
    <row r="817" spans="1:2" x14ac:dyDescent="0.25">
      <c r="A817" t="s">
        <v>1019</v>
      </c>
      <c r="B817" t="s">
        <v>22</v>
      </c>
    </row>
    <row r="818" spans="1:2" x14ac:dyDescent="0.25">
      <c r="A818" t="s">
        <v>1020</v>
      </c>
      <c r="B818" t="s">
        <v>28</v>
      </c>
    </row>
    <row r="819" spans="1:2" x14ac:dyDescent="0.25">
      <c r="A819" t="s">
        <v>1021</v>
      </c>
      <c r="B819" t="s">
        <v>46</v>
      </c>
    </row>
    <row r="820" spans="1:2" x14ac:dyDescent="0.25">
      <c r="A820" t="s">
        <v>1022</v>
      </c>
      <c r="B820" t="s">
        <v>22</v>
      </c>
    </row>
    <row r="821" spans="1:2" x14ac:dyDescent="0.25">
      <c r="A821" t="s">
        <v>1023</v>
      </c>
      <c r="B821" t="s">
        <v>22</v>
      </c>
    </row>
    <row r="822" spans="1:2" x14ac:dyDescent="0.25">
      <c r="A822" t="s">
        <v>1024</v>
      </c>
      <c r="B822" t="s">
        <v>28</v>
      </c>
    </row>
    <row r="823" spans="1:2" x14ac:dyDescent="0.25">
      <c r="A823" t="s">
        <v>1025</v>
      </c>
      <c r="B823" t="s">
        <v>22</v>
      </c>
    </row>
    <row r="824" spans="1:2" x14ac:dyDescent="0.25">
      <c r="A824" t="s">
        <v>1026</v>
      </c>
      <c r="B824" t="s">
        <v>44</v>
      </c>
    </row>
    <row r="825" spans="1:2" x14ac:dyDescent="0.25">
      <c r="A825" t="s">
        <v>1027</v>
      </c>
      <c r="B825" t="s">
        <v>36</v>
      </c>
    </row>
    <row r="826" spans="1:2" x14ac:dyDescent="0.25">
      <c r="A826" t="s">
        <v>1028</v>
      </c>
      <c r="B826" t="s">
        <v>28</v>
      </c>
    </row>
    <row r="827" spans="1:2" x14ac:dyDescent="0.25">
      <c r="A827" t="s">
        <v>1029</v>
      </c>
      <c r="B827" t="s">
        <v>46</v>
      </c>
    </row>
    <row r="828" spans="1:2" x14ac:dyDescent="0.25">
      <c r="A828" t="s">
        <v>1030</v>
      </c>
      <c r="B828" t="s">
        <v>28</v>
      </c>
    </row>
    <row r="829" spans="1:2" x14ac:dyDescent="0.25">
      <c r="A829" t="s">
        <v>1031</v>
      </c>
      <c r="B829" t="s">
        <v>22</v>
      </c>
    </row>
    <row r="830" spans="1:2" x14ac:dyDescent="0.25">
      <c r="A830" t="s">
        <v>1032</v>
      </c>
      <c r="B830" t="s">
        <v>32</v>
      </c>
    </row>
    <row r="831" spans="1:2" x14ac:dyDescent="0.25">
      <c r="A831" t="s">
        <v>1033</v>
      </c>
      <c r="B831" t="s">
        <v>44</v>
      </c>
    </row>
    <row r="832" spans="1:2" x14ac:dyDescent="0.25">
      <c r="A832" t="s">
        <v>1034</v>
      </c>
      <c r="B832" t="s">
        <v>32</v>
      </c>
    </row>
    <row r="833" spans="1:2" x14ac:dyDescent="0.25">
      <c r="A833" t="s">
        <v>1035</v>
      </c>
      <c r="B833" t="s">
        <v>46</v>
      </c>
    </row>
    <row r="834" spans="1:2" x14ac:dyDescent="0.25">
      <c r="A834" t="s">
        <v>17</v>
      </c>
      <c r="B834" t="s">
        <v>22</v>
      </c>
    </row>
    <row r="835" spans="1:2" x14ac:dyDescent="0.25">
      <c r="A835" t="s">
        <v>24</v>
      </c>
      <c r="B835" t="s">
        <v>28</v>
      </c>
    </row>
    <row r="836" spans="1:2" x14ac:dyDescent="0.25">
      <c r="A836" t="s">
        <v>30</v>
      </c>
      <c r="B836" t="s">
        <v>32</v>
      </c>
    </row>
    <row r="837" spans="1:2" x14ac:dyDescent="0.25">
      <c r="A837" t="s">
        <v>34</v>
      </c>
      <c r="B837" t="s">
        <v>22</v>
      </c>
    </row>
    <row r="838" spans="1:2" x14ac:dyDescent="0.25">
      <c r="A838" t="s">
        <v>35</v>
      </c>
      <c r="B838" t="s">
        <v>36</v>
      </c>
    </row>
    <row r="839" spans="1:2" x14ac:dyDescent="0.25">
      <c r="A839" t="s">
        <v>37</v>
      </c>
      <c r="B839" t="s">
        <v>28</v>
      </c>
    </row>
    <row r="840" spans="1:2" x14ac:dyDescent="0.25">
      <c r="A840" t="s">
        <v>38</v>
      </c>
      <c r="B840" t="s">
        <v>28</v>
      </c>
    </row>
    <row r="841" spans="1:2" x14ac:dyDescent="0.25">
      <c r="A841" t="s">
        <v>39</v>
      </c>
      <c r="B841" t="s">
        <v>32</v>
      </c>
    </row>
    <row r="842" spans="1:2" x14ac:dyDescent="0.25">
      <c r="A842" t="s">
        <v>40</v>
      </c>
      <c r="B842" t="s">
        <v>22</v>
      </c>
    </row>
    <row r="843" spans="1:2" x14ac:dyDescent="0.25">
      <c r="A843" t="s">
        <v>41</v>
      </c>
      <c r="B843" t="s">
        <v>44</v>
      </c>
    </row>
    <row r="844" spans="1:2" x14ac:dyDescent="0.25">
      <c r="A844" t="s">
        <v>45</v>
      </c>
      <c r="B844" t="s">
        <v>46</v>
      </c>
    </row>
    <row r="845" spans="1:2" x14ac:dyDescent="0.25">
      <c r="A845" t="s">
        <v>47</v>
      </c>
      <c r="B845" t="s">
        <v>28</v>
      </c>
    </row>
    <row r="846" spans="1:2" x14ac:dyDescent="0.25">
      <c r="A846" t="s">
        <v>48</v>
      </c>
      <c r="B846" t="s">
        <v>28</v>
      </c>
    </row>
    <row r="847" spans="1:2" x14ac:dyDescent="0.25">
      <c r="A847" t="s">
        <v>49</v>
      </c>
      <c r="B847" t="s">
        <v>44</v>
      </c>
    </row>
    <row r="848" spans="1:2" x14ac:dyDescent="0.25">
      <c r="A848" t="s">
        <v>50</v>
      </c>
      <c r="B848" t="s">
        <v>22</v>
      </c>
    </row>
    <row r="849" spans="1:2" x14ac:dyDescent="0.25">
      <c r="A849" t="s">
        <v>51</v>
      </c>
      <c r="B849" t="s">
        <v>36</v>
      </c>
    </row>
    <row r="850" spans="1:2" x14ac:dyDescent="0.25">
      <c r="A850" t="s">
        <v>52</v>
      </c>
      <c r="B850" t="s">
        <v>22</v>
      </c>
    </row>
    <row r="851" spans="1:2" x14ac:dyDescent="0.25">
      <c r="A851" t="s">
        <v>53</v>
      </c>
      <c r="B851" t="s">
        <v>36</v>
      </c>
    </row>
    <row r="852" spans="1:2" x14ac:dyDescent="0.25">
      <c r="A852" t="s">
        <v>54</v>
      </c>
      <c r="B852" t="s">
        <v>44</v>
      </c>
    </row>
    <row r="853" spans="1:2" x14ac:dyDescent="0.25">
      <c r="A853" t="s">
        <v>55</v>
      </c>
      <c r="B853" t="s">
        <v>32</v>
      </c>
    </row>
    <row r="854" spans="1:2" x14ac:dyDescent="0.25">
      <c r="A854" t="s">
        <v>56</v>
      </c>
      <c r="B854" t="s">
        <v>28</v>
      </c>
    </row>
    <row r="855" spans="1:2" x14ac:dyDescent="0.25">
      <c r="A855" t="s">
        <v>57</v>
      </c>
      <c r="B855" t="s">
        <v>22</v>
      </c>
    </row>
    <row r="856" spans="1:2" x14ac:dyDescent="0.25">
      <c r="A856" t="s">
        <v>58</v>
      </c>
      <c r="B856" t="s">
        <v>32</v>
      </c>
    </row>
    <row r="857" spans="1:2" x14ac:dyDescent="0.25">
      <c r="A857" t="s">
        <v>59</v>
      </c>
      <c r="B857" t="s">
        <v>28</v>
      </c>
    </row>
    <row r="858" spans="1:2" x14ac:dyDescent="0.25">
      <c r="A858" t="s">
        <v>60</v>
      </c>
      <c r="B858" t="s">
        <v>36</v>
      </c>
    </row>
    <row r="859" spans="1:2" x14ac:dyDescent="0.25">
      <c r="A859" t="s">
        <v>61</v>
      </c>
      <c r="B859" t="s">
        <v>32</v>
      </c>
    </row>
    <row r="860" spans="1:2" x14ac:dyDescent="0.25">
      <c r="A860" t="s">
        <v>62</v>
      </c>
      <c r="B860" t="s">
        <v>46</v>
      </c>
    </row>
    <row r="861" spans="1:2" x14ac:dyDescent="0.25">
      <c r="A861" t="s">
        <v>63</v>
      </c>
      <c r="B861" t="s">
        <v>46</v>
      </c>
    </row>
    <row r="862" spans="1:2" x14ac:dyDescent="0.25">
      <c r="A862" t="s">
        <v>64</v>
      </c>
      <c r="B862" t="s">
        <v>44</v>
      </c>
    </row>
    <row r="863" spans="1:2" x14ac:dyDescent="0.25">
      <c r="A863" t="s">
        <v>65</v>
      </c>
      <c r="B863" t="s">
        <v>22</v>
      </c>
    </row>
    <row r="864" spans="1:2" x14ac:dyDescent="0.25">
      <c r="A864" t="s">
        <v>66</v>
      </c>
      <c r="B864" t="s">
        <v>46</v>
      </c>
    </row>
    <row r="865" spans="1:2" x14ac:dyDescent="0.25">
      <c r="A865" t="s">
        <v>67</v>
      </c>
      <c r="B865" t="s">
        <v>36</v>
      </c>
    </row>
    <row r="866" spans="1:2" x14ac:dyDescent="0.25">
      <c r="A866" t="s">
        <v>68</v>
      </c>
      <c r="B866" t="s">
        <v>36</v>
      </c>
    </row>
    <row r="867" spans="1:2" x14ac:dyDescent="0.25">
      <c r="A867" t="s">
        <v>69</v>
      </c>
      <c r="B867" t="s">
        <v>22</v>
      </c>
    </row>
    <row r="868" spans="1:2" x14ac:dyDescent="0.25">
      <c r="A868" t="s">
        <v>70</v>
      </c>
      <c r="B868" t="s">
        <v>44</v>
      </c>
    </row>
    <row r="869" spans="1:2" x14ac:dyDescent="0.25">
      <c r="A869" t="s">
        <v>71</v>
      </c>
      <c r="B869" t="s">
        <v>36</v>
      </c>
    </row>
    <row r="870" spans="1:2" x14ac:dyDescent="0.25">
      <c r="A870" t="s">
        <v>72</v>
      </c>
      <c r="B870" t="s">
        <v>36</v>
      </c>
    </row>
    <row r="871" spans="1:2" x14ac:dyDescent="0.25">
      <c r="A871" t="s">
        <v>73</v>
      </c>
      <c r="B871" t="s">
        <v>28</v>
      </c>
    </row>
    <row r="872" spans="1:2" x14ac:dyDescent="0.25">
      <c r="A872" t="s">
        <v>74</v>
      </c>
      <c r="B872" t="s">
        <v>22</v>
      </c>
    </row>
    <row r="873" spans="1:2" x14ac:dyDescent="0.25">
      <c r="A873" t="s">
        <v>75</v>
      </c>
      <c r="B873" t="s">
        <v>32</v>
      </c>
    </row>
    <row r="874" spans="1:2" x14ac:dyDescent="0.25">
      <c r="A874" t="s">
        <v>76</v>
      </c>
      <c r="B874" t="s">
        <v>32</v>
      </c>
    </row>
    <row r="875" spans="1:2" x14ac:dyDescent="0.25">
      <c r="A875" t="s">
        <v>77</v>
      </c>
      <c r="B875" t="s">
        <v>32</v>
      </c>
    </row>
    <row r="876" spans="1:2" x14ac:dyDescent="0.25">
      <c r="A876" t="s">
        <v>78</v>
      </c>
      <c r="B876" t="s">
        <v>36</v>
      </c>
    </row>
    <row r="877" spans="1:2" x14ac:dyDescent="0.25">
      <c r="A877" t="s">
        <v>79</v>
      </c>
      <c r="B877" t="s">
        <v>44</v>
      </c>
    </row>
    <row r="878" spans="1:2" x14ac:dyDescent="0.25">
      <c r="A878" t="s">
        <v>80</v>
      </c>
      <c r="B878" t="s">
        <v>22</v>
      </c>
    </row>
    <row r="879" spans="1:2" x14ac:dyDescent="0.25">
      <c r="A879" t="s">
        <v>81</v>
      </c>
      <c r="B879" t="s">
        <v>28</v>
      </c>
    </row>
    <row r="880" spans="1:2" x14ac:dyDescent="0.25">
      <c r="A880" t="s">
        <v>82</v>
      </c>
      <c r="B880" t="s">
        <v>22</v>
      </c>
    </row>
    <row r="881" spans="1:2" x14ac:dyDescent="0.25">
      <c r="A881" t="s">
        <v>83</v>
      </c>
      <c r="B881" t="s">
        <v>44</v>
      </c>
    </row>
    <row r="882" spans="1:2" x14ac:dyDescent="0.25">
      <c r="A882" t="s">
        <v>84</v>
      </c>
      <c r="B882" t="s">
        <v>28</v>
      </c>
    </row>
    <row r="883" spans="1:2" x14ac:dyDescent="0.25">
      <c r="A883" t="s">
        <v>85</v>
      </c>
      <c r="B883" t="s">
        <v>46</v>
      </c>
    </row>
    <row r="884" spans="1:2" x14ac:dyDescent="0.25">
      <c r="A884" t="s">
        <v>86</v>
      </c>
      <c r="B884" t="s">
        <v>44</v>
      </c>
    </row>
    <row r="885" spans="1:2" x14ac:dyDescent="0.25">
      <c r="A885" t="s">
        <v>87</v>
      </c>
      <c r="B885" t="s">
        <v>44</v>
      </c>
    </row>
    <row r="886" spans="1:2" x14ac:dyDescent="0.25">
      <c r="A886" t="s">
        <v>88</v>
      </c>
      <c r="B886" t="s">
        <v>46</v>
      </c>
    </row>
    <row r="887" spans="1:2" x14ac:dyDescent="0.25">
      <c r="A887" t="s">
        <v>89</v>
      </c>
      <c r="B887" t="s">
        <v>46</v>
      </c>
    </row>
    <row r="888" spans="1:2" x14ac:dyDescent="0.25">
      <c r="A888" t="s">
        <v>90</v>
      </c>
      <c r="B888" t="s">
        <v>32</v>
      </c>
    </row>
    <row r="889" spans="1:2" x14ac:dyDescent="0.25">
      <c r="A889" t="s">
        <v>91</v>
      </c>
      <c r="B889" t="s">
        <v>28</v>
      </c>
    </row>
    <row r="890" spans="1:2" x14ac:dyDescent="0.25">
      <c r="A890" t="s">
        <v>92</v>
      </c>
      <c r="B890" t="s">
        <v>32</v>
      </c>
    </row>
    <row r="891" spans="1:2" x14ac:dyDescent="0.25">
      <c r="A891" t="s">
        <v>93</v>
      </c>
      <c r="B891" t="s">
        <v>22</v>
      </c>
    </row>
    <row r="892" spans="1:2" x14ac:dyDescent="0.25">
      <c r="A892" t="s">
        <v>94</v>
      </c>
      <c r="B892" t="s">
        <v>32</v>
      </c>
    </row>
    <row r="893" spans="1:2" x14ac:dyDescent="0.25">
      <c r="A893" t="s">
        <v>95</v>
      </c>
      <c r="B893" t="s">
        <v>28</v>
      </c>
    </row>
    <row r="894" spans="1:2" x14ac:dyDescent="0.25">
      <c r="A894" t="s">
        <v>96</v>
      </c>
      <c r="B894" t="s">
        <v>36</v>
      </c>
    </row>
    <row r="895" spans="1:2" x14ac:dyDescent="0.25">
      <c r="A895" t="s">
        <v>97</v>
      </c>
      <c r="B895" t="s">
        <v>32</v>
      </c>
    </row>
    <row r="896" spans="1:2" x14ac:dyDescent="0.25">
      <c r="A896" t="s">
        <v>98</v>
      </c>
      <c r="B896" t="s">
        <v>36</v>
      </c>
    </row>
    <row r="897" spans="1:2" x14ac:dyDescent="0.25">
      <c r="A897" t="s">
        <v>99</v>
      </c>
      <c r="B897" t="s">
        <v>36</v>
      </c>
    </row>
    <row r="898" spans="1:2" x14ac:dyDescent="0.25">
      <c r="A898" t="s">
        <v>100</v>
      </c>
      <c r="B898" t="s">
        <v>22</v>
      </c>
    </row>
    <row r="899" spans="1:2" x14ac:dyDescent="0.25">
      <c r="A899" t="s">
        <v>101</v>
      </c>
      <c r="B899" t="s">
        <v>22</v>
      </c>
    </row>
    <row r="900" spans="1:2" x14ac:dyDescent="0.25">
      <c r="A900" t="s">
        <v>102</v>
      </c>
      <c r="B900" t="s">
        <v>22</v>
      </c>
    </row>
    <row r="901" spans="1:2" x14ac:dyDescent="0.25">
      <c r="A901" t="s">
        <v>103</v>
      </c>
      <c r="B901" t="s">
        <v>46</v>
      </c>
    </row>
    <row r="902" spans="1:2" x14ac:dyDescent="0.25">
      <c r="A902" t="s">
        <v>104</v>
      </c>
      <c r="B902" t="s">
        <v>36</v>
      </c>
    </row>
    <row r="903" spans="1:2" x14ac:dyDescent="0.25">
      <c r="A903" t="s">
        <v>105</v>
      </c>
      <c r="B903" t="s">
        <v>22</v>
      </c>
    </row>
    <row r="904" spans="1:2" x14ac:dyDescent="0.25">
      <c r="A904" t="s">
        <v>106</v>
      </c>
      <c r="B904" t="s">
        <v>44</v>
      </c>
    </row>
    <row r="905" spans="1:2" x14ac:dyDescent="0.25">
      <c r="A905" t="s">
        <v>107</v>
      </c>
      <c r="B905" t="s">
        <v>46</v>
      </c>
    </row>
    <row r="906" spans="1:2" x14ac:dyDescent="0.25">
      <c r="A906" t="s">
        <v>108</v>
      </c>
      <c r="B906" t="s">
        <v>44</v>
      </c>
    </row>
    <row r="907" spans="1:2" x14ac:dyDescent="0.25">
      <c r="A907" t="s">
        <v>109</v>
      </c>
      <c r="B907" t="s">
        <v>28</v>
      </c>
    </row>
    <row r="908" spans="1:2" x14ac:dyDescent="0.25">
      <c r="A908" t="s">
        <v>110</v>
      </c>
      <c r="B908" t="s">
        <v>32</v>
      </c>
    </row>
    <row r="909" spans="1:2" x14ac:dyDescent="0.25">
      <c r="A909" t="s">
        <v>111</v>
      </c>
      <c r="B909" t="s">
        <v>28</v>
      </c>
    </row>
    <row r="910" spans="1:2" x14ac:dyDescent="0.25">
      <c r="A910" t="s">
        <v>112</v>
      </c>
      <c r="B910" t="s">
        <v>46</v>
      </c>
    </row>
    <row r="911" spans="1:2" x14ac:dyDescent="0.25">
      <c r="A911" t="s">
        <v>113</v>
      </c>
      <c r="B911" t="s">
        <v>46</v>
      </c>
    </row>
    <row r="912" spans="1:2" x14ac:dyDescent="0.25">
      <c r="A912" t="s">
        <v>114</v>
      </c>
      <c r="B912" t="s">
        <v>44</v>
      </c>
    </row>
    <row r="913" spans="1:2" x14ac:dyDescent="0.25">
      <c r="A913" t="s">
        <v>115</v>
      </c>
      <c r="B913" t="s">
        <v>22</v>
      </c>
    </row>
    <row r="914" spans="1:2" x14ac:dyDescent="0.25">
      <c r="A914" t="s">
        <v>116</v>
      </c>
      <c r="B914" t="s">
        <v>22</v>
      </c>
    </row>
    <row r="915" spans="1:2" x14ac:dyDescent="0.25">
      <c r="A915" t="s">
        <v>117</v>
      </c>
      <c r="B915" t="s">
        <v>44</v>
      </c>
    </row>
    <row r="916" spans="1:2" x14ac:dyDescent="0.25">
      <c r="A916" t="s">
        <v>118</v>
      </c>
      <c r="B916" t="s">
        <v>44</v>
      </c>
    </row>
    <row r="917" spans="1:2" x14ac:dyDescent="0.25">
      <c r="A917" t="s">
        <v>119</v>
      </c>
      <c r="B917" t="s">
        <v>44</v>
      </c>
    </row>
    <row r="918" spans="1:2" x14ac:dyDescent="0.25">
      <c r="A918" t="s">
        <v>120</v>
      </c>
      <c r="B918" t="s">
        <v>36</v>
      </c>
    </row>
    <row r="919" spans="1:2" x14ac:dyDescent="0.25">
      <c r="A919" t="s">
        <v>121</v>
      </c>
      <c r="B919" t="s">
        <v>36</v>
      </c>
    </row>
    <row r="920" spans="1:2" x14ac:dyDescent="0.25">
      <c r="A920" t="s">
        <v>122</v>
      </c>
      <c r="B920" t="s">
        <v>46</v>
      </c>
    </row>
    <row r="921" spans="1:2" x14ac:dyDescent="0.25">
      <c r="A921" t="s">
        <v>123</v>
      </c>
      <c r="B921" t="s">
        <v>44</v>
      </c>
    </row>
    <row r="922" spans="1:2" x14ac:dyDescent="0.25">
      <c r="A922" t="s">
        <v>124</v>
      </c>
      <c r="B922" t="s">
        <v>36</v>
      </c>
    </row>
    <row r="923" spans="1:2" x14ac:dyDescent="0.25">
      <c r="A923" t="s">
        <v>125</v>
      </c>
      <c r="B923" t="s">
        <v>22</v>
      </c>
    </row>
    <row r="924" spans="1:2" x14ac:dyDescent="0.25">
      <c r="A924" t="s">
        <v>126</v>
      </c>
      <c r="B924" t="s">
        <v>32</v>
      </c>
    </row>
    <row r="925" spans="1:2" x14ac:dyDescent="0.25">
      <c r="A925" t="s">
        <v>127</v>
      </c>
      <c r="B925" t="s">
        <v>36</v>
      </c>
    </row>
    <row r="926" spans="1:2" x14ac:dyDescent="0.25">
      <c r="A926" t="s">
        <v>128</v>
      </c>
      <c r="B926" t="s">
        <v>36</v>
      </c>
    </row>
    <row r="927" spans="1:2" x14ac:dyDescent="0.25">
      <c r="A927" t="s">
        <v>129</v>
      </c>
      <c r="B927" t="s">
        <v>22</v>
      </c>
    </row>
    <row r="928" spans="1:2" x14ac:dyDescent="0.25">
      <c r="A928" t="s">
        <v>130</v>
      </c>
      <c r="B928" t="s">
        <v>22</v>
      </c>
    </row>
    <row r="929" spans="1:2" x14ac:dyDescent="0.25">
      <c r="A929" t="s">
        <v>131</v>
      </c>
      <c r="B929" t="s">
        <v>28</v>
      </c>
    </row>
    <row r="930" spans="1:2" x14ac:dyDescent="0.25">
      <c r="A930" t="s">
        <v>132</v>
      </c>
      <c r="B930" t="s">
        <v>22</v>
      </c>
    </row>
    <row r="931" spans="1:2" x14ac:dyDescent="0.25">
      <c r="A931" t="s">
        <v>133</v>
      </c>
      <c r="B931" t="s">
        <v>28</v>
      </c>
    </row>
    <row r="932" spans="1:2" x14ac:dyDescent="0.25">
      <c r="A932" t="s">
        <v>134</v>
      </c>
      <c r="B932" t="s">
        <v>44</v>
      </c>
    </row>
    <row r="933" spans="1:2" x14ac:dyDescent="0.25">
      <c r="A933" t="s">
        <v>135</v>
      </c>
      <c r="B933" t="s">
        <v>32</v>
      </c>
    </row>
    <row r="934" spans="1:2" x14ac:dyDescent="0.25">
      <c r="A934" t="s">
        <v>136</v>
      </c>
      <c r="B934" t="s">
        <v>46</v>
      </c>
    </row>
    <row r="935" spans="1:2" x14ac:dyDescent="0.25">
      <c r="A935" t="s">
        <v>137</v>
      </c>
      <c r="B935" t="s">
        <v>46</v>
      </c>
    </row>
    <row r="936" spans="1:2" x14ac:dyDescent="0.25">
      <c r="A936" t="s">
        <v>138</v>
      </c>
      <c r="B936" t="s">
        <v>28</v>
      </c>
    </row>
    <row r="937" spans="1:2" x14ac:dyDescent="0.25">
      <c r="A937" t="s">
        <v>139</v>
      </c>
      <c r="B937" t="s">
        <v>44</v>
      </c>
    </row>
    <row r="938" spans="1:2" x14ac:dyDescent="0.25">
      <c r="A938" t="s">
        <v>140</v>
      </c>
      <c r="B938" t="s">
        <v>22</v>
      </c>
    </row>
    <row r="939" spans="1:2" x14ac:dyDescent="0.25">
      <c r="A939" t="s">
        <v>141</v>
      </c>
      <c r="B939" t="s">
        <v>28</v>
      </c>
    </row>
    <row r="940" spans="1:2" x14ac:dyDescent="0.25">
      <c r="A940" t="s">
        <v>142</v>
      </c>
      <c r="B940" t="s">
        <v>46</v>
      </c>
    </row>
    <row r="941" spans="1:2" x14ac:dyDescent="0.25">
      <c r="A941" t="s">
        <v>143</v>
      </c>
      <c r="B941" t="s">
        <v>36</v>
      </c>
    </row>
    <row r="942" spans="1:2" x14ac:dyDescent="0.25">
      <c r="A942" t="s">
        <v>144</v>
      </c>
      <c r="B942" t="s">
        <v>44</v>
      </c>
    </row>
    <row r="943" spans="1:2" x14ac:dyDescent="0.25">
      <c r="A943" t="s">
        <v>145</v>
      </c>
      <c r="B943" t="s">
        <v>28</v>
      </c>
    </row>
    <row r="944" spans="1:2" x14ac:dyDescent="0.25">
      <c r="A944" t="s">
        <v>146</v>
      </c>
      <c r="B944" t="s">
        <v>36</v>
      </c>
    </row>
    <row r="945" spans="1:2" x14ac:dyDescent="0.25">
      <c r="A945" t="s">
        <v>147</v>
      </c>
      <c r="B945" t="s">
        <v>22</v>
      </c>
    </row>
    <row r="946" spans="1:2" x14ac:dyDescent="0.25">
      <c r="A946" t="s">
        <v>148</v>
      </c>
      <c r="B946" t="s">
        <v>46</v>
      </c>
    </row>
    <row r="947" spans="1:2" x14ac:dyDescent="0.25">
      <c r="A947" t="s">
        <v>149</v>
      </c>
      <c r="B947" t="s">
        <v>32</v>
      </c>
    </row>
    <row r="948" spans="1:2" x14ac:dyDescent="0.25">
      <c r="A948" t="s">
        <v>150</v>
      </c>
      <c r="B948" t="s">
        <v>32</v>
      </c>
    </row>
    <row r="949" spans="1:2" x14ac:dyDescent="0.25">
      <c r="A949" t="s">
        <v>151</v>
      </c>
      <c r="B949" t="s">
        <v>46</v>
      </c>
    </row>
    <row r="950" spans="1:2" x14ac:dyDescent="0.25">
      <c r="A950" t="s">
        <v>152</v>
      </c>
      <c r="B950" t="s">
        <v>46</v>
      </c>
    </row>
    <row r="951" spans="1:2" x14ac:dyDescent="0.25">
      <c r="A951" t="s">
        <v>153</v>
      </c>
      <c r="B951" t="s">
        <v>46</v>
      </c>
    </row>
    <row r="952" spans="1:2" x14ac:dyDescent="0.25">
      <c r="A952" t="s">
        <v>154</v>
      </c>
      <c r="B952" t="s">
        <v>44</v>
      </c>
    </row>
    <row r="953" spans="1:2" x14ac:dyDescent="0.25">
      <c r="A953" t="s">
        <v>155</v>
      </c>
      <c r="B953" t="s">
        <v>32</v>
      </c>
    </row>
    <row r="954" spans="1:2" x14ac:dyDescent="0.25">
      <c r="A954" t="s">
        <v>156</v>
      </c>
      <c r="B954" t="s">
        <v>28</v>
      </c>
    </row>
    <row r="955" spans="1:2" x14ac:dyDescent="0.25">
      <c r="A955" t="s">
        <v>157</v>
      </c>
      <c r="B955" t="s">
        <v>36</v>
      </c>
    </row>
    <row r="956" spans="1:2" x14ac:dyDescent="0.25">
      <c r="A956" t="s">
        <v>158</v>
      </c>
      <c r="B956" t="s">
        <v>36</v>
      </c>
    </row>
    <row r="957" spans="1:2" x14ac:dyDescent="0.25">
      <c r="A957" t="s">
        <v>159</v>
      </c>
      <c r="B957" t="s">
        <v>32</v>
      </c>
    </row>
    <row r="958" spans="1:2" x14ac:dyDescent="0.25">
      <c r="A958" t="s">
        <v>160</v>
      </c>
      <c r="B958" t="s">
        <v>46</v>
      </c>
    </row>
    <row r="959" spans="1:2" x14ac:dyDescent="0.25">
      <c r="A959" t="s">
        <v>161</v>
      </c>
      <c r="B959" t="s">
        <v>32</v>
      </c>
    </row>
    <row r="960" spans="1:2" x14ac:dyDescent="0.25">
      <c r="A960" t="s">
        <v>162</v>
      </c>
      <c r="B960" t="s">
        <v>36</v>
      </c>
    </row>
    <row r="961" spans="1:2" x14ac:dyDescent="0.25">
      <c r="A961" t="s">
        <v>163</v>
      </c>
      <c r="B961" t="s">
        <v>46</v>
      </c>
    </row>
    <row r="962" spans="1:2" x14ac:dyDescent="0.25">
      <c r="A962" t="s">
        <v>164</v>
      </c>
      <c r="B962" t="s">
        <v>44</v>
      </c>
    </row>
    <row r="963" spans="1:2" x14ac:dyDescent="0.25">
      <c r="A963" t="s">
        <v>165</v>
      </c>
      <c r="B963" t="s">
        <v>36</v>
      </c>
    </row>
    <row r="964" spans="1:2" x14ac:dyDescent="0.25">
      <c r="A964" t="s">
        <v>166</v>
      </c>
      <c r="B964" t="s">
        <v>46</v>
      </c>
    </row>
    <row r="965" spans="1:2" x14ac:dyDescent="0.25">
      <c r="A965" t="s">
        <v>167</v>
      </c>
      <c r="B965" t="s">
        <v>36</v>
      </c>
    </row>
    <row r="966" spans="1:2" x14ac:dyDescent="0.25">
      <c r="A966" t="s">
        <v>168</v>
      </c>
      <c r="B966" t="s">
        <v>36</v>
      </c>
    </row>
    <row r="967" spans="1:2" x14ac:dyDescent="0.25">
      <c r="A967" t="s">
        <v>169</v>
      </c>
      <c r="B967" t="s">
        <v>28</v>
      </c>
    </row>
    <row r="968" spans="1:2" x14ac:dyDescent="0.25">
      <c r="A968" t="s">
        <v>170</v>
      </c>
      <c r="B968" t="s">
        <v>22</v>
      </c>
    </row>
    <row r="969" spans="1:2" x14ac:dyDescent="0.25">
      <c r="A969" t="s">
        <v>171</v>
      </c>
      <c r="B969" t="s">
        <v>46</v>
      </c>
    </row>
    <row r="970" spans="1:2" x14ac:dyDescent="0.25">
      <c r="A970" t="s">
        <v>172</v>
      </c>
      <c r="B970" t="s">
        <v>28</v>
      </c>
    </row>
    <row r="971" spans="1:2" x14ac:dyDescent="0.25">
      <c r="A971" t="s">
        <v>173</v>
      </c>
      <c r="B971" t="s">
        <v>32</v>
      </c>
    </row>
    <row r="972" spans="1:2" x14ac:dyDescent="0.25">
      <c r="A972" t="s">
        <v>174</v>
      </c>
      <c r="B972" t="s">
        <v>36</v>
      </c>
    </row>
    <row r="973" spans="1:2" x14ac:dyDescent="0.25">
      <c r="A973" t="s">
        <v>175</v>
      </c>
      <c r="B973" t="s">
        <v>36</v>
      </c>
    </row>
    <row r="974" spans="1:2" x14ac:dyDescent="0.25">
      <c r="A974" t="s">
        <v>176</v>
      </c>
      <c r="B974" t="s">
        <v>36</v>
      </c>
    </row>
    <row r="975" spans="1:2" x14ac:dyDescent="0.25">
      <c r="A975" t="s">
        <v>177</v>
      </c>
      <c r="B975" t="s">
        <v>22</v>
      </c>
    </row>
    <row r="976" spans="1:2" x14ac:dyDescent="0.25">
      <c r="A976" t="s">
        <v>178</v>
      </c>
      <c r="B976" t="s">
        <v>22</v>
      </c>
    </row>
    <row r="977" spans="1:2" x14ac:dyDescent="0.25">
      <c r="A977" t="s">
        <v>179</v>
      </c>
      <c r="B977" t="s">
        <v>44</v>
      </c>
    </row>
    <row r="978" spans="1:2" x14ac:dyDescent="0.25">
      <c r="A978" t="s">
        <v>180</v>
      </c>
      <c r="B978" t="s">
        <v>32</v>
      </c>
    </row>
    <row r="979" spans="1:2" x14ac:dyDescent="0.25">
      <c r="A979" t="s">
        <v>181</v>
      </c>
      <c r="B979" t="s">
        <v>22</v>
      </c>
    </row>
    <row r="980" spans="1:2" x14ac:dyDescent="0.25">
      <c r="A980" t="s">
        <v>182</v>
      </c>
      <c r="B980" t="s">
        <v>46</v>
      </c>
    </row>
    <row r="981" spans="1:2" x14ac:dyDescent="0.25">
      <c r="A981" t="s">
        <v>183</v>
      </c>
      <c r="B981" t="s">
        <v>22</v>
      </c>
    </row>
    <row r="982" spans="1:2" x14ac:dyDescent="0.25">
      <c r="A982" t="s">
        <v>184</v>
      </c>
      <c r="B982" t="s">
        <v>32</v>
      </c>
    </row>
    <row r="983" spans="1:2" x14ac:dyDescent="0.25">
      <c r="A983" t="s">
        <v>185</v>
      </c>
      <c r="B983" t="s">
        <v>22</v>
      </c>
    </row>
    <row r="984" spans="1:2" x14ac:dyDescent="0.25">
      <c r="A984" t="s">
        <v>186</v>
      </c>
      <c r="B984" t="s">
        <v>46</v>
      </c>
    </row>
    <row r="985" spans="1:2" x14ac:dyDescent="0.25">
      <c r="A985" t="s">
        <v>187</v>
      </c>
      <c r="B985" t="s">
        <v>36</v>
      </c>
    </row>
    <row r="986" spans="1:2" x14ac:dyDescent="0.25">
      <c r="A986" t="s">
        <v>188</v>
      </c>
      <c r="B986" t="s">
        <v>46</v>
      </c>
    </row>
    <row r="987" spans="1:2" x14ac:dyDescent="0.25">
      <c r="A987" t="s">
        <v>189</v>
      </c>
      <c r="B987" t="s">
        <v>44</v>
      </c>
    </row>
    <row r="988" spans="1:2" x14ac:dyDescent="0.25">
      <c r="A988" t="s">
        <v>190</v>
      </c>
      <c r="B988" t="s">
        <v>36</v>
      </c>
    </row>
    <row r="989" spans="1:2" x14ac:dyDescent="0.25">
      <c r="A989" t="s">
        <v>191</v>
      </c>
      <c r="B989" t="s">
        <v>44</v>
      </c>
    </row>
    <row r="990" spans="1:2" x14ac:dyDescent="0.25">
      <c r="A990" t="s">
        <v>192</v>
      </c>
      <c r="B990" t="s">
        <v>28</v>
      </c>
    </row>
    <row r="991" spans="1:2" x14ac:dyDescent="0.25">
      <c r="A991" t="s">
        <v>193</v>
      </c>
      <c r="B991" t="s">
        <v>32</v>
      </c>
    </row>
    <row r="992" spans="1:2" x14ac:dyDescent="0.25">
      <c r="A992" t="s">
        <v>194</v>
      </c>
      <c r="B992" t="s">
        <v>22</v>
      </c>
    </row>
    <row r="993" spans="1:2" x14ac:dyDescent="0.25">
      <c r="A993" t="s">
        <v>195</v>
      </c>
      <c r="B993" t="s">
        <v>36</v>
      </c>
    </row>
    <row r="994" spans="1:2" x14ac:dyDescent="0.25">
      <c r="A994" t="s">
        <v>196</v>
      </c>
      <c r="B994" t="s">
        <v>44</v>
      </c>
    </row>
    <row r="995" spans="1:2" x14ac:dyDescent="0.25">
      <c r="A995" t="s">
        <v>197</v>
      </c>
      <c r="B995" t="s">
        <v>36</v>
      </c>
    </row>
    <row r="996" spans="1:2" x14ac:dyDescent="0.25">
      <c r="A996" t="s">
        <v>198</v>
      </c>
      <c r="B996" t="s">
        <v>44</v>
      </c>
    </row>
    <row r="997" spans="1:2" x14ac:dyDescent="0.25">
      <c r="A997" t="s">
        <v>199</v>
      </c>
      <c r="B997" t="s">
        <v>36</v>
      </c>
    </row>
    <row r="998" spans="1:2" x14ac:dyDescent="0.25">
      <c r="A998" t="s">
        <v>200</v>
      </c>
      <c r="B998" t="s">
        <v>44</v>
      </c>
    </row>
    <row r="999" spans="1:2" x14ac:dyDescent="0.25">
      <c r="A999" t="s">
        <v>201</v>
      </c>
      <c r="B999" t="s">
        <v>22</v>
      </c>
    </row>
    <row r="1000" spans="1:2" x14ac:dyDescent="0.25">
      <c r="A1000" t="s">
        <v>202</v>
      </c>
      <c r="B1000" t="s">
        <v>32</v>
      </c>
    </row>
    <row r="1001" spans="1:2" x14ac:dyDescent="0.25">
      <c r="A1001" t="s">
        <v>203</v>
      </c>
      <c r="B1001" t="s">
        <v>46</v>
      </c>
    </row>
  </sheetData>
  <pageMargins left="0.7" right="0.7" top="0.75" bottom="0.75" header="0.3" footer="0.3"/>
  <pageSetup paperSize="9"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dimension ref="A1:C1001"/>
  <sheetViews>
    <sheetView topLeftCell="A982" workbookViewId="0">
      <selection activeCell="N9" sqref="N9"/>
    </sheetView>
  </sheetViews>
  <sheetFormatPr defaultRowHeight="15" x14ac:dyDescent="0.25"/>
  <cols>
    <col min="1" max="1" width="11.28515625" customWidth="1"/>
    <col min="2" max="2" width="6.85546875" bestFit="1" customWidth="1"/>
    <col min="3" max="3" width="10.140625" bestFit="1" customWidth="1"/>
  </cols>
  <sheetData>
    <row r="1" spans="1:3" x14ac:dyDescent="0.25">
      <c r="A1" s="3" t="s">
        <v>0</v>
      </c>
      <c r="B1" s="3" t="s">
        <v>1</v>
      </c>
      <c r="C1" s="3" t="s">
        <v>2</v>
      </c>
    </row>
    <row r="2" spans="1:3" x14ac:dyDescent="0.25">
      <c r="A2" t="s">
        <v>204</v>
      </c>
      <c r="B2" t="s">
        <v>18</v>
      </c>
      <c r="C2" t="s">
        <v>19</v>
      </c>
    </row>
    <row r="3" spans="1:3" x14ac:dyDescent="0.25">
      <c r="A3" t="s">
        <v>205</v>
      </c>
      <c r="B3" t="s">
        <v>18</v>
      </c>
      <c r="C3" t="s">
        <v>19</v>
      </c>
    </row>
    <row r="4" spans="1:3" x14ac:dyDescent="0.25">
      <c r="A4" t="s">
        <v>206</v>
      </c>
      <c r="B4" t="s">
        <v>18</v>
      </c>
      <c r="C4" t="s">
        <v>19</v>
      </c>
    </row>
    <row r="5" spans="1:3" x14ac:dyDescent="0.25">
      <c r="A5" t="s">
        <v>207</v>
      </c>
      <c r="B5" t="s">
        <v>42</v>
      </c>
      <c r="C5" t="s">
        <v>43</v>
      </c>
    </row>
    <row r="6" spans="1:3" x14ac:dyDescent="0.25">
      <c r="A6" t="s">
        <v>208</v>
      </c>
      <c r="B6" t="s">
        <v>25</v>
      </c>
      <c r="C6" t="s">
        <v>26</v>
      </c>
    </row>
    <row r="7" spans="1:3" x14ac:dyDescent="0.25">
      <c r="A7" t="s">
        <v>209</v>
      </c>
      <c r="B7" t="s">
        <v>42</v>
      </c>
      <c r="C7" t="s">
        <v>43</v>
      </c>
    </row>
    <row r="8" spans="1:3" x14ac:dyDescent="0.25">
      <c r="A8" t="s">
        <v>210</v>
      </c>
      <c r="B8" t="s">
        <v>42</v>
      </c>
      <c r="C8" t="s">
        <v>43</v>
      </c>
    </row>
    <row r="9" spans="1:3" x14ac:dyDescent="0.25">
      <c r="A9" t="s">
        <v>211</v>
      </c>
      <c r="B9" t="s">
        <v>18</v>
      </c>
      <c r="C9" t="s">
        <v>19</v>
      </c>
    </row>
    <row r="10" spans="1:3" x14ac:dyDescent="0.25">
      <c r="A10" t="s">
        <v>212</v>
      </c>
      <c r="B10" t="s">
        <v>18</v>
      </c>
      <c r="C10" t="s">
        <v>19</v>
      </c>
    </row>
    <row r="11" spans="1:3" x14ac:dyDescent="0.25">
      <c r="A11" t="s">
        <v>213</v>
      </c>
      <c r="B11" t="s">
        <v>25</v>
      </c>
      <c r="C11" t="s">
        <v>26</v>
      </c>
    </row>
    <row r="12" spans="1:3" x14ac:dyDescent="0.25">
      <c r="A12" t="s">
        <v>214</v>
      </c>
      <c r="B12" t="s">
        <v>18</v>
      </c>
      <c r="C12" t="s">
        <v>19</v>
      </c>
    </row>
    <row r="13" spans="1:3" x14ac:dyDescent="0.25">
      <c r="A13" t="s">
        <v>215</v>
      </c>
      <c r="B13" t="s">
        <v>25</v>
      </c>
      <c r="C13" t="s">
        <v>26</v>
      </c>
    </row>
    <row r="14" spans="1:3" x14ac:dyDescent="0.25">
      <c r="A14" t="s">
        <v>216</v>
      </c>
      <c r="B14" t="s">
        <v>25</v>
      </c>
      <c r="C14" t="s">
        <v>26</v>
      </c>
    </row>
    <row r="15" spans="1:3" x14ac:dyDescent="0.25">
      <c r="A15" t="s">
        <v>217</v>
      </c>
      <c r="B15" t="s">
        <v>25</v>
      </c>
      <c r="C15" t="s">
        <v>26</v>
      </c>
    </row>
    <row r="16" spans="1:3" x14ac:dyDescent="0.25">
      <c r="A16" t="s">
        <v>218</v>
      </c>
      <c r="B16" t="s">
        <v>18</v>
      </c>
      <c r="C16" t="s">
        <v>19</v>
      </c>
    </row>
    <row r="17" spans="1:3" x14ac:dyDescent="0.25">
      <c r="A17" t="s">
        <v>219</v>
      </c>
      <c r="B17" t="s">
        <v>25</v>
      </c>
      <c r="C17" t="s">
        <v>26</v>
      </c>
    </row>
    <row r="18" spans="1:3" x14ac:dyDescent="0.25">
      <c r="A18" t="s">
        <v>220</v>
      </c>
      <c r="B18" t="s">
        <v>18</v>
      </c>
      <c r="C18" t="s">
        <v>19</v>
      </c>
    </row>
    <row r="19" spans="1:3" x14ac:dyDescent="0.25">
      <c r="A19" t="s">
        <v>221</v>
      </c>
      <c r="B19" t="s">
        <v>42</v>
      </c>
      <c r="C19" t="s">
        <v>43</v>
      </c>
    </row>
    <row r="20" spans="1:3" x14ac:dyDescent="0.25">
      <c r="A20" t="s">
        <v>222</v>
      </c>
      <c r="B20" t="s">
        <v>42</v>
      </c>
      <c r="C20" t="s">
        <v>43</v>
      </c>
    </row>
    <row r="21" spans="1:3" x14ac:dyDescent="0.25">
      <c r="A21" t="s">
        <v>223</v>
      </c>
      <c r="B21" t="s">
        <v>42</v>
      </c>
      <c r="C21" t="s">
        <v>43</v>
      </c>
    </row>
    <row r="22" spans="1:3" x14ac:dyDescent="0.25">
      <c r="A22" t="s">
        <v>224</v>
      </c>
      <c r="B22" t="s">
        <v>18</v>
      </c>
      <c r="C22" t="s">
        <v>19</v>
      </c>
    </row>
    <row r="23" spans="1:3" x14ac:dyDescent="0.25">
      <c r="A23" t="s">
        <v>225</v>
      </c>
      <c r="B23" t="s">
        <v>25</v>
      </c>
      <c r="C23" t="s">
        <v>26</v>
      </c>
    </row>
    <row r="24" spans="1:3" x14ac:dyDescent="0.25">
      <c r="A24" t="s">
        <v>226</v>
      </c>
      <c r="B24" t="s">
        <v>42</v>
      </c>
      <c r="C24" t="s">
        <v>43</v>
      </c>
    </row>
    <row r="25" spans="1:3" x14ac:dyDescent="0.25">
      <c r="A25" t="s">
        <v>227</v>
      </c>
      <c r="B25" t="s">
        <v>42</v>
      </c>
      <c r="C25" t="s">
        <v>43</v>
      </c>
    </row>
    <row r="26" spans="1:3" x14ac:dyDescent="0.25">
      <c r="A26" t="s">
        <v>228</v>
      </c>
      <c r="B26" t="s">
        <v>25</v>
      </c>
      <c r="C26" t="s">
        <v>26</v>
      </c>
    </row>
    <row r="27" spans="1:3" x14ac:dyDescent="0.25">
      <c r="A27" t="s">
        <v>229</v>
      </c>
      <c r="B27" t="s">
        <v>42</v>
      </c>
      <c r="C27" t="s">
        <v>43</v>
      </c>
    </row>
    <row r="28" spans="1:3" x14ac:dyDescent="0.25">
      <c r="A28" t="s">
        <v>230</v>
      </c>
      <c r="B28" t="s">
        <v>18</v>
      </c>
      <c r="C28" t="s">
        <v>19</v>
      </c>
    </row>
    <row r="29" spans="1:3" x14ac:dyDescent="0.25">
      <c r="A29" t="s">
        <v>231</v>
      </c>
      <c r="B29" t="s">
        <v>25</v>
      </c>
      <c r="C29" t="s">
        <v>26</v>
      </c>
    </row>
    <row r="30" spans="1:3" x14ac:dyDescent="0.25">
      <c r="A30" t="s">
        <v>232</v>
      </c>
      <c r="B30" t="s">
        <v>25</v>
      </c>
      <c r="C30" t="s">
        <v>26</v>
      </c>
    </row>
    <row r="31" spans="1:3" x14ac:dyDescent="0.25">
      <c r="A31" t="s">
        <v>233</v>
      </c>
      <c r="B31" t="s">
        <v>18</v>
      </c>
      <c r="C31" t="s">
        <v>19</v>
      </c>
    </row>
    <row r="32" spans="1:3" x14ac:dyDescent="0.25">
      <c r="A32" t="s">
        <v>234</v>
      </c>
      <c r="B32" t="s">
        <v>25</v>
      </c>
      <c r="C32" t="s">
        <v>26</v>
      </c>
    </row>
    <row r="33" spans="1:3" x14ac:dyDescent="0.25">
      <c r="A33" t="s">
        <v>235</v>
      </c>
      <c r="B33" t="s">
        <v>25</v>
      </c>
      <c r="C33" t="s">
        <v>26</v>
      </c>
    </row>
    <row r="34" spans="1:3" x14ac:dyDescent="0.25">
      <c r="A34" t="s">
        <v>236</v>
      </c>
      <c r="B34" t="s">
        <v>25</v>
      </c>
      <c r="C34" t="s">
        <v>26</v>
      </c>
    </row>
    <row r="35" spans="1:3" x14ac:dyDescent="0.25">
      <c r="A35" t="s">
        <v>237</v>
      </c>
      <c r="B35" t="s">
        <v>42</v>
      </c>
      <c r="C35" t="s">
        <v>43</v>
      </c>
    </row>
    <row r="36" spans="1:3" x14ac:dyDescent="0.25">
      <c r="A36" t="s">
        <v>238</v>
      </c>
      <c r="B36" t="s">
        <v>25</v>
      </c>
      <c r="C36" t="s">
        <v>26</v>
      </c>
    </row>
    <row r="37" spans="1:3" x14ac:dyDescent="0.25">
      <c r="A37" t="s">
        <v>239</v>
      </c>
      <c r="B37" t="s">
        <v>42</v>
      </c>
      <c r="C37" t="s">
        <v>43</v>
      </c>
    </row>
    <row r="38" spans="1:3" x14ac:dyDescent="0.25">
      <c r="A38" t="s">
        <v>240</v>
      </c>
      <c r="B38" t="s">
        <v>42</v>
      </c>
      <c r="C38" t="s">
        <v>43</v>
      </c>
    </row>
    <row r="39" spans="1:3" x14ac:dyDescent="0.25">
      <c r="A39" t="s">
        <v>241</v>
      </c>
      <c r="B39" t="s">
        <v>18</v>
      </c>
      <c r="C39" t="s">
        <v>19</v>
      </c>
    </row>
    <row r="40" spans="1:3" x14ac:dyDescent="0.25">
      <c r="A40" t="s">
        <v>242</v>
      </c>
      <c r="B40" t="s">
        <v>25</v>
      </c>
      <c r="C40" t="s">
        <v>26</v>
      </c>
    </row>
    <row r="41" spans="1:3" x14ac:dyDescent="0.25">
      <c r="A41" t="s">
        <v>243</v>
      </c>
      <c r="B41" t="s">
        <v>25</v>
      </c>
      <c r="C41" t="s">
        <v>26</v>
      </c>
    </row>
    <row r="42" spans="1:3" x14ac:dyDescent="0.25">
      <c r="A42" t="s">
        <v>244</v>
      </c>
      <c r="B42" t="s">
        <v>42</v>
      </c>
      <c r="C42" t="s">
        <v>43</v>
      </c>
    </row>
    <row r="43" spans="1:3" x14ac:dyDescent="0.25">
      <c r="A43" t="s">
        <v>245</v>
      </c>
      <c r="B43" t="s">
        <v>42</v>
      </c>
      <c r="C43" t="s">
        <v>43</v>
      </c>
    </row>
    <row r="44" spans="1:3" x14ac:dyDescent="0.25">
      <c r="A44" t="s">
        <v>246</v>
      </c>
      <c r="B44" t="s">
        <v>18</v>
      </c>
      <c r="C44" t="s">
        <v>19</v>
      </c>
    </row>
    <row r="45" spans="1:3" x14ac:dyDescent="0.25">
      <c r="A45" t="s">
        <v>247</v>
      </c>
      <c r="B45" t="s">
        <v>25</v>
      </c>
      <c r="C45" t="s">
        <v>26</v>
      </c>
    </row>
    <row r="46" spans="1:3" x14ac:dyDescent="0.25">
      <c r="A46" t="s">
        <v>248</v>
      </c>
      <c r="B46" t="s">
        <v>42</v>
      </c>
      <c r="C46" t="s">
        <v>43</v>
      </c>
    </row>
    <row r="47" spans="1:3" x14ac:dyDescent="0.25">
      <c r="A47" t="s">
        <v>249</v>
      </c>
      <c r="B47" t="s">
        <v>42</v>
      </c>
      <c r="C47" t="s">
        <v>43</v>
      </c>
    </row>
    <row r="48" spans="1:3" x14ac:dyDescent="0.25">
      <c r="A48" t="s">
        <v>250</v>
      </c>
      <c r="B48" t="s">
        <v>42</v>
      </c>
      <c r="C48" t="s">
        <v>43</v>
      </c>
    </row>
    <row r="49" spans="1:3" x14ac:dyDescent="0.25">
      <c r="A49" t="s">
        <v>251</v>
      </c>
      <c r="B49" t="s">
        <v>18</v>
      </c>
      <c r="C49" t="s">
        <v>19</v>
      </c>
    </row>
    <row r="50" spans="1:3" x14ac:dyDescent="0.25">
      <c r="A50" t="s">
        <v>252</v>
      </c>
      <c r="B50" t="s">
        <v>42</v>
      </c>
      <c r="C50" t="s">
        <v>43</v>
      </c>
    </row>
    <row r="51" spans="1:3" x14ac:dyDescent="0.25">
      <c r="A51" t="s">
        <v>253</v>
      </c>
      <c r="B51" t="s">
        <v>18</v>
      </c>
      <c r="C51" t="s">
        <v>19</v>
      </c>
    </row>
    <row r="52" spans="1:3" x14ac:dyDescent="0.25">
      <c r="A52" t="s">
        <v>254</v>
      </c>
      <c r="B52" t="s">
        <v>42</v>
      </c>
      <c r="C52" t="s">
        <v>43</v>
      </c>
    </row>
    <row r="53" spans="1:3" x14ac:dyDescent="0.25">
      <c r="A53" t="s">
        <v>255</v>
      </c>
      <c r="B53" t="s">
        <v>42</v>
      </c>
      <c r="C53" t="s">
        <v>43</v>
      </c>
    </row>
    <row r="54" spans="1:3" x14ac:dyDescent="0.25">
      <c r="A54" t="s">
        <v>256</v>
      </c>
      <c r="B54" t="s">
        <v>42</v>
      </c>
      <c r="C54" t="s">
        <v>43</v>
      </c>
    </row>
    <row r="55" spans="1:3" x14ac:dyDescent="0.25">
      <c r="A55" t="s">
        <v>257</v>
      </c>
      <c r="B55" t="s">
        <v>42</v>
      </c>
      <c r="C55" t="s">
        <v>43</v>
      </c>
    </row>
    <row r="56" spans="1:3" x14ac:dyDescent="0.25">
      <c r="A56" t="s">
        <v>258</v>
      </c>
      <c r="B56" t="s">
        <v>25</v>
      </c>
      <c r="C56" t="s">
        <v>26</v>
      </c>
    </row>
    <row r="57" spans="1:3" x14ac:dyDescent="0.25">
      <c r="A57" t="s">
        <v>259</v>
      </c>
      <c r="B57" t="s">
        <v>25</v>
      </c>
      <c r="C57" t="s">
        <v>26</v>
      </c>
    </row>
    <row r="58" spans="1:3" x14ac:dyDescent="0.25">
      <c r="A58" t="s">
        <v>260</v>
      </c>
      <c r="B58" t="s">
        <v>18</v>
      </c>
      <c r="C58" t="s">
        <v>19</v>
      </c>
    </row>
    <row r="59" spans="1:3" x14ac:dyDescent="0.25">
      <c r="A59" t="s">
        <v>261</v>
      </c>
      <c r="B59" t="s">
        <v>25</v>
      </c>
      <c r="C59" t="s">
        <v>26</v>
      </c>
    </row>
    <row r="60" spans="1:3" x14ac:dyDescent="0.25">
      <c r="A60" t="s">
        <v>262</v>
      </c>
      <c r="B60" t="s">
        <v>42</v>
      </c>
      <c r="C60" t="s">
        <v>43</v>
      </c>
    </row>
    <row r="61" spans="1:3" x14ac:dyDescent="0.25">
      <c r="A61" t="s">
        <v>263</v>
      </c>
      <c r="B61" t="s">
        <v>25</v>
      </c>
      <c r="C61" t="s">
        <v>26</v>
      </c>
    </row>
    <row r="62" spans="1:3" x14ac:dyDescent="0.25">
      <c r="A62" t="s">
        <v>264</v>
      </c>
      <c r="B62" t="s">
        <v>42</v>
      </c>
      <c r="C62" t="s">
        <v>43</v>
      </c>
    </row>
    <row r="63" spans="1:3" x14ac:dyDescent="0.25">
      <c r="A63" t="s">
        <v>265</v>
      </c>
      <c r="B63" t="s">
        <v>18</v>
      </c>
      <c r="C63" t="s">
        <v>19</v>
      </c>
    </row>
    <row r="64" spans="1:3" x14ac:dyDescent="0.25">
      <c r="A64" t="s">
        <v>266</v>
      </c>
      <c r="B64" t="s">
        <v>42</v>
      </c>
      <c r="C64" t="s">
        <v>43</v>
      </c>
    </row>
    <row r="65" spans="1:3" x14ac:dyDescent="0.25">
      <c r="A65" t="s">
        <v>267</v>
      </c>
      <c r="B65" t="s">
        <v>42</v>
      </c>
      <c r="C65" t="s">
        <v>43</v>
      </c>
    </row>
    <row r="66" spans="1:3" x14ac:dyDescent="0.25">
      <c r="A66" t="s">
        <v>268</v>
      </c>
      <c r="B66" t="s">
        <v>42</v>
      </c>
      <c r="C66" t="s">
        <v>43</v>
      </c>
    </row>
    <row r="67" spans="1:3" x14ac:dyDescent="0.25">
      <c r="A67" t="s">
        <v>269</v>
      </c>
      <c r="B67" t="s">
        <v>42</v>
      </c>
      <c r="C67" t="s">
        <v>43</v>
      </c>
    </row>
    <row r="68" spans="1:3" x14ac:dyDescent="0.25">
      <c r="A68" t="s">
        <v>270</v>
      </c>
      <c r="B68" t="s">
        <v>18</v>
      </c>
      <c r="C68" t="s">
        <v>19</v>
      </c>
    </row>
    <row r="69" spans="1:3" x14ac:dyDescent="0.25">
      <c r="A69" t="s">
        <v>271</v>
      </c>
      <c r="B69" t="s">
        <v>18</v>
      </c>
      <c r="C69" t="s">
        <v>19</v>
      </c>
    </row>
    <row r="70" spans="1:3" x14ac:dyDescent="0.25">
      <c r="A70" t="s">
        <v>272</v>
      </c>
      <c r="B70" t="s">
        <v>25</v>
      </c>
      <c r="C70" t="s">
        <v>26</v>
      </c>
    </row>
    <row r="71" spans="1:3" x14ac:dyDescent="0.25">
      <c r="A71" t="s">
        <v>273</v>
      </c>
      <c r="B71" t="s">
        <v>25</v>
      </c>
      <c r="C71" t="s">
        <v>26</v>
      </c>
    </row>
    <row r="72" spans="1:3" x14ac:dyDescent="0.25">
      <c r="A72" t="s">
        <v>274</v>
      </c>
      <c r="B72" t="s">
        <v>42</v>
      </c>
      <c r="C72" t="s">
        <v>43</v>
      </c>
    </row>
    <row r="73" spans="1:3" x14ac:dyDescent="0.25">
      <c r="A73" t="s">
        <v>275</v>
      </c>
      <c r="B73" t="s">
        <v>18</v>
      </c>
      <c r="C73" t="s">
        <v>19</v>
      </c>
    </row>
    <row r="74" spans="1:3" x14ac:dyDescent="0.25">
      <c r="A74" t="s">
        <v>276</v>
      </c>
      <c r="B74" t="s">
        <v>18</v>
      </c>
      <c r="C74" t="s">
        <v>19</v>
      </c>
    </row>
    <row r="75" spans="1:3" x14ac:dyDescent="0.25">
      <c r="A75" t="s">
        <v>277</v>
      </c>
      <c r="B75" t="s">
        <v>18</v>
      </c>
      <c r="C75" t="s">
        <v>19</v>
      </c>
    </row>
    <row r="76" spans="1:3" x14ac:dyDescent="0.25">
      <c r="A76" t="s">
        <v>278</v>
      </c>
      <c r="B76" t="s">
        <v>25</v>
      </c>
      <c r="C76" t="s">
        <v>26</v>
      </c>
    </row>
    <row r="77" spans="1:3" x14ac:dyDescent="0.25">
      <c r="A77" t="s">
        <v>279</v>
      </c>
      <c r="B77" t="s">
        <v>18</v>
      </c>
      <c r="C77" t="s">
        <v>19</v>
      </c>
    </row>
    <row r="78" spans="1:3" x14ac:dyDescent="0.25">
      <c r="A78" t="s">
        <v>280</v>
      </c>
      <c r="B78" t="s">
        <v>42</v>
      </c>
      <c r="C78" t="s">
        <v>43</v>
      </c>
    </row>
    <row r="79" spans="1:3" x14ac:dyDescent="0.25">
      <c r="A79" t="s">
        <v>281</v>
      </c>
      <c r="B79" t="s">
        <v>18</v>
      </c>
      <c r="C79" t="s">
        <v>19</v>
      </c>
    </row>
    <row r="80" spans="1:3" x14ac:dyDescent="0.25">
      <c r="A80" t="s">
        <v>282</v>
      </c>
      <c r="B80" t="s">
        <v>42</v>
      </c>
      <c r="C80" t="s">
        <v>43</v>
      </c>
    </row>
    <row r="81" spans="1:3" x14ac:dyDescent="0.25">
      <c r="A81" t="s">
        <v>283</v>
      </c>
      <c r="B81" t="s">
        <v>18</v>
      </c>
      <c r="C81" t="s">
        <v>19</v>
      </c>
    </row>
    <row r="82" spans="1:3" x14ac:dyDescent="0.25">
      <c r="A82" t="s">
        <v>284</v>
      </c>
      <c r="B82" t="s">
        <v>18</v>
      </c>
      <c r="C82" t="s">
        <v>19</v>
      </c>
    </row>
    <row r="83" spans="1:3" x14ac:dyDescent="0.25">
      <c r="A83" t="s">
        <v>285</v>
      </c>
      <c r="B83" t="s">
        <v>42</v>
      </c>
      <c r="C83" t="s">
        <v>43</v>
      </c>
    </row>
    <row r="84" spans="1:3" x14ac:dyDescent="0.25">
      <c r="A84" t="s">
        <v>286</v>
      </c>
      <c r="B84" t="s">
        <v>42</v>
      </c>
      <c r="C84" t="s">
        <v>43</v>
      </c>
    </row>
    <row r="85" spans="1:3" x14ac:dyDescent="0.25">
      <c r="A85" t="s">
        <v>287</v>
      </c>
      <c r="B85" t="s">
        <v>25</v>
      </c>
      <c r="C85" t="s">
        <v>26</v>
      </c>
    </row>
    <row r="86" spans="1:3" x14ac:dyDescent="0.25">
      <c r="A86" t="s">
        <v>288</v>
      </c>
      <c r="B86" t="s">
        <v>25</v>
      </c>
      <c r="C86" t="s">
        <v>26</v>
      </c>
    </row>
    <row r="87" spans="1:3" x14ac:dyDescent="0.25">
      <c r="A87" t="s">
        <v>289</v>
      </c>
      <c r="B87" t="s">
        <v>18</v>
      </c>
      <c r="C87" t="s">
        <v>19</v>
      </c>
    </row>
    <row r="88" spans="1:3" x14ac:dyDescent="0.25">
      <c r="A88" t="s">
        <v>290</v>
      </c>
      <c r="B88" t="s">
        <v>18</v>
      </c>
      <c r="C88" t="s">
        <v>19</v>
      </c>
    </row>
    <row r="89" spans="1:3" x14ac:dyDescent="0.25">
      <c r="A89" t="s">
        <v>291</v>
      </c>
      <c r="B89" t="s">
        <v>42</v>
      </c>
      <c r="C89" t="s">
        <v>43</v>
      </c>
    </row>
    <row r="90" spans="1:3" x14ac:dyDescent="0.25">
      <c r="A90" t="s">
        <v>292</v>
      </c>
      <c r="B90" t="s">
        <v>18</v>
      </c>
      <c r="C90" t="s">
        <v>19</v>
      </c>
    </row>
    <row r="91" spans="1:3" x14ac:dyDescent="0.25">
      <c r="A91" t="s">
        <v>293</v>
      </c>
      <c r="B91" t="s">
        <v>18</v>
      </c>
      <c r="C91" t="s">
        <v>19</v>
      </c>
    </row>
    <row r="92" spans="1:3" x14ac:dyDescent="0.25">
      <c r="A92" t="s">
        <v>294</v>
      </c>
      <c r="B92" t="s">
        <v>18</v>
      </c>
      <c r="C92" t="s">
        <v>19</v>
      </c>
    </row>
    <row r="93" spans="1:3" x14ac:dyDescent="0.25">
      <c r="A93" t="s">
        <v>295</v>
      </c>
      <c r="B93" t="s">
        <v>25</v>
      </c>
      <c r="C93" t="s">
        <v>26</v>
      </c>
    </row>
    <row r="94" spans="1:3" x14ac:dyDescent="0.25">
      <c r="A94" t="s">
        <v>296</v>
      </c>
      <c r="B94" t="s">
        <v>18</v>
      </c>
      <c r="C94" t="s">
        <v>19</v>
      </c>
    </row>
    <row r="95" spans="1:3" x14ac:dyDescent="0.25">
      <c r="A95" t="s">
        <v>297</v>
      </c>
      <c r="B95" t="s">
        <v>25</v>
      </c>
      <c r="C95" t="s">
        <v>26</v>
      </c>
    </row>
    <row r="96" spans="1:3" x14ac:dyDescent="0.25">
      <c r="A96" t="s">
        <v>298</v>
      </c>
      <c r="B96" t="s">
        <v>42</v>
      </c>
      <c r="C96" t="s">
        <v>43</v>
      </c>
    </row>
    <row r="97" spans="1:3" x14ac:dyDescent="0.25">
      <c r="A97" t="s">
        <v>299</v>
      </c>
      <c r="B97" t="s">
        <v>18</v>
      </c>
      <c r="C97" t="s">
        <v>19</v>
      </c>
    </row>
    <row r="98" spans="1:3" x14ac:dyDescent="0.25">
      <c r="A98" t="s">
        <v>300</v>
      </c>
      <c r="B98" t="s">
        <v>42</v>
      </c>
      <c r="C98" t="s">
        <v>43</v>
      </c>
    </row>
    <row r="99" spans="1:3" x14ac:dyDescent="0.25">
      <c r="A99" t="s">
        <v>301</v>
      </c>
      <c r="B99" t="s">
        <v>18</v>
      </c>
      <c r="C99" t="s">
        <v>19</v>
      </c>
    </row>
    <row r="100" spans="1:3" x14ac:dyDescent="0.25">
      <c r="A100" t="s">
        <v>302</v>
      </c>
      <c r="B100" t="s">
        <v>25</v>
      </c>
      <c r="C100" t="s">
        <v>26</v>
      </c>
    </row>
    <row r="101" spans="1:3" x14ac:dyDescent="0.25">
      <c r="A101" t="s">
        <v>303</v>
      </c>
      <c r="B101" t="s">
        <v>42</v>
      </c>
      <c r="C101" t="s">
        <v>43</v>
      </c>
    </row>
    <row r="102" spans="1:3" x14ac:dyDescent="0.25">
      <c r="A102" t="s">
        <v>304</v>
      </c>
      <c r="B102" t="s">
        <v>18</v>
      </c>
      <c r="C102" t="s">
        <v>19</v>
      </c>
    </row>
    <row r="103" spans="1:3" x14ac:dyDescent="0.25">
      <c r="A103" t="s">
        <v>305</v>
      </c>
      <c r="B103" t="s">
        <v>18</v>
      </c>
      <c r="C103" t="s">
        <v>19</v>
      </c>
    </row>
    <row r="104" spans="1:3" x14ac:dyDescent="0.25">
      <c r="A104" t="s">
        <v>306</v>
      </c>
      <c r="B104" t="s">
        <v>42</v>
      </c>
      <c r="C104" t="s">
        <v>43</v>
      </c>
    </row>
    <row r="105" spans="1:3" x14ac:dyDescent="0.25">
      <c r="A105" t="s">
        <v>307</v>
      </c>
      <c r="B105" t="s">
        <v>25</v>
      </c>
      <c r="C105" t="s">
        <v>26</v>
      </c>
    </row>
    <row r="106" spans="1:3" x14ac:dyDescent="0.25">
      <c r="A106" t="s">
        <v>308</v>
      </c>
      <c r="B106" t="s">
        <v>18</v>
      </c>
      <c r="C106" t="s">
        <v>19</v>
      </c>
    </row>
    <row r="107" spans="1:3" x14ac:dyDescent="0.25">
      <c r="A107" t="s">
        <v>309</v>
      </c>
      <c r="B107" t="s">
        <v>18</v>
      </c>
      <c r="C107" t="s">
        <v>19</v>
      </c>
    </row>
    <row r="108" spans="1:3" x14ac:dyDescent="0.25">
      <c r="A108" t="s">
        <v>310</v>
      </c>
      <c r="B108" t="s">
        <v>42</v>
      </c>
      <c r="C108" t="s">
        <v>43</v>
      </c>
    </row>
    <row r="109" spans="1:3" x14ac:dyDescent="0.25">
      <c r="A109" t="s">
        <v>311</v>
      </c>
      <c r="B109" t="s">
        <v>42</v>
      </c>
      <c r="C109" t="s">
        <v>43</v>
      </c>
    </row>
    <row r="110" spans="1:3" x14ac:dyDescent="0.25">
      <c r="A110" t="s">
        <v>312</v>
      </c>
      <c r="B110" t="s">
        <v>25</v>
      </c>
      <c r="C110" t="s">
        <v>26</v>
      </c>
    </row>
    <row r="111" spans="1:3" x14ac:dyDescent="0.25">
      <c r="A111" t="s">
        <v>313</v>
      </c>
      <c r="B111" t="s">
        <v>25</v>
      </c>
      <c r="C111" t="s">
        <v>26</v>
      </c>
    </row>
    <row r="112" spans="1:3" x14ac:dyDescent="0.25">
      <c r="A112" t="s">
        <v>314</v>
      </c>
      <c r="B112" t="s">
        <v>25</v>
      </c>
      <c r="C112" t="s">
        <v>26</v>
      </c>
    </row>
    <row r="113" spans="1:3" x14ac:dyDescent="0.25">
      <c r="A113" t="s">
        <v>315</v>
      </c>
      <c r="B113" t="s">
        <v>18</v>
      </c>
      <c r="C113" t="s">
        <v>19</v>
      </c>
    </row>
    <row r="114" spans="1:3" x14ac:dyDescent="0.25">
      <c r="A114" t="s">
        <v>316</v>
      </c>
      <c r="B114" t="s">
        <v>18</v>
      </c>
      <c r="C114" t="s">
        <v>19</v>
      </c>
    </row>
    <row r="115" spans="1:3" x14ac:dyDescent="0.25">
      <c r="A115" t="s">
        <v>317</v>
      </c>
      <c r="B115" t="s">
        <v>25</v>
      </c>
      <c r="C115" t="s">
        <v>26</v>
      </c>
    </row>
    <row r="116" spans="1:3" x14ac:dyDescent="0.25">
      <c r="A116" t="s">
        <v>318</v>
      </c>
      <c r="B116" t="s">
        <v>18</v>
      </c>
      <c r="C116" t="s">
        <v>19</v>
      </c>
    </row>
    <row r="117" spans="1:3" x14ac:dyDescent="0.25">
      <c r="A117" t="s">
        <v>319</v>
      </c>
      <c r="B117" t="s">
        <v>18</v>
      </c>
      <c r="C117" t="s">
        <v>19</v>
      </c>
    </row>
    <row r="118" spans="1:3" x14ac:dyDescent="0.25">
      <c r="A118" t="s">
        <v>320</v>
      </c>
      <c r="B118" t="s">
        <v>18</v>
      </c>
      <c r="C118" t="s">
        <v>19</v>
      </c>
    </row>
    <row r="119" spans="1:3" x14ac:dyDescent="0.25">
      <c r="A119" t="s">
        <v>321</v>
      </c>
      <c r="B119" t="s">
        <v>42</v>
      </c>
      <c r="C119" t="s">
        <v>43</v>
      </c>
    </row>
    <row r="120" spans="1:3" x14ac:dyDescent="0.25">
      <c r="A120" t="s">
        <v>322</v>
      </c>
      <c r="B120" t="s">
        <v>25</v>
      </c>
      <c r="C120" t="s">
        <v>26</v>
      </c>
    </row>
    <row r="121" spans="1:3" x14ac:dyDescent="0.25">
      <c r="A121" t="s">
        <v>323</v>
      </c>
      <c r="B121" t="s">
        <v>25</v>
      </c>
      <c r="C121" t="s">
        <v>26</v>
      </c>
    </row>
    <row r="122" spans="1:3" x14ac:dyDescent="0.25">
      <c r="A122" t="s">
        <v>324</v>
      </c>
      <c r="B122" t="s">
        <v>42</v>
      </c>
      <c r="C122" t="s">
        <v>43</v>
      </c>
    </row>
    <row r="123" spans="1:3" x14ac:dyDescent="0.25">
      <c r="A123" t="s">
        <v>325</v>
      </c>
      <c r="B123" t="s">
        <v>18</v>
      </c>
      <c r="C123" t="s">
        <v>19</v>
      </c>
    </row>
    <row r="124" spans="1:3" x14ac:dyDescent="0.25">
      <c r="A124" t="s">
        <v>326</v>
      </c>
      <c r="B124" t="s">
        <v>42</v>
      </c>
      <c r="C124" t="s">
        <v>43</v>
      </c>
    </row>
    <row r="125" spans="1:3" x14ac:dyDescent="0.25">
      <c r="A125" t="s">
        <v>327</v>
      </c>
      <c r="B125" t="s">
        <v>25</v>
      </c>
      <c r="C125" t="s">
        <v>26</v>
      </c>
    </row>
    <row r="126" spans="1:3" x14ac:dyDescent="0.25">
      <c r="A126" t="s">
        <v>328</v>
      </c>
      <c r="B126" t="s">
        <v>18</v>
      </c>
      <c r="C126" t="s">
        <v>19</v>
      </c>
    </row>
    <row r="127" spans="1:3" x14ac:dyDescent="0.25">
      <c r="A127" t="s">
        <v>329</v>
      </c>
      <c r="B127" t="s">
        <v>18</v>
      </c>
      <c r="C127" t="s">
        <v>19</v>
      </c>
    </row>
    <row r="128" spans="1:3" x14ac:dyDescent="0.25">
      <c r="A128" t="s">
        <v>330</v>
      </c>
      <c r="B128" t="s">
        <v>42</v>
      </c>
      <c r="C128" t="s">
        <v>43</v>
      </c>
    </row>
    <row r="129" spans="1:3" x14ac:dyDescent="0.25">
      <c r="A129" t="s">
        <v>331</v>
      </c>
      <c r="B129" t="s">
        <v>25</v>
      </c>
      <c r="C129" t="s">
        <v>26</v>
      </c>
    </row>
    <row r="130" spans="1:3" x14ac:dyDescent="0.25">
      <c r="A130" t="s">
        <v>332</v>
      </c>
      <c r="B130" t="s">
        <v>25</v>
      </c>
      <c r="C130" t="s">
        <v>26</v>
      </c>
    </row>
    <row r="131" spans="1:3" x14ac:dyDescent="0.25">
      <c r="A131" t="s">
        <v>333</v>
      </c>
      <c r="B131" t="s">
        <v>18</v>
      </c>
      <c r="C131" t="s">
        <v>19</v>
      </c>
    </row>
    <row r="132" spans="1:3" x14ac:dyDescent="0.25">
      <c r="A132" t="s">
        <v>334</v>
      </c>
      <c r="B132" t="s">
        <v>18</v>
      </c>
      <c r="C132" t="s">
        <v>19</v>
      </c>
    </row>
    <row r="133" spans="1:3" x14ac:dyDescent="0.25">
      <c r="A133" t="s">
        <v>335</v>
      </c>
      <c r="B133" t="s">
        <v>25</v>
      </c>
      <c r="C133" t="s">
        <v>26</v>
      </c>
    </row>
    <row r="134" spans="1:3" x14ac:dyDescent="0.25">
      <c r="A134" t="s">
        <v>336</v>
      </c>
      <c r="B134" t="s">
        <v>25</v>
      </c>
      <c r="C134" t="s">
        <v>26</v>
      </c>
    </row>
    <row r="135" spans="1:3" x14ac:dyDescent="0.25">
      <c r="A135" t="s">
        <v>337</v>
      </c>
      <c r="B135" t="s">
        <v>42</v>
      </c>
      <c r="C135" t="s">
        <v>43</v>
      </c>
    </row>
    <row r="136" spans="1:3" x14ac:dyDescent="0.25">
      <c r="A136" t="s">
        <v>338</v>
      </c>
      <c r="B136" t="s">
        <v>25</v>
      </c>
      <c r="C136" t="s">
        <v>26</v>
      </c>
    </row>
    <row r="137" spans="1:3" x14ac:dyDescent="0.25">
      <c r="A137" t="s">
        <v>339</v>
      </c>
      <c r="B137" t="s">
        <v>18</v>
      </c>
      <c r="C137" t="s">
        <v>19</v>
      </c>
    </row>
    <row r="138" spans="1:3" x14ac:dyDescent="0.25">
      <c r="A138" t="s">
        <v>340</v>
      </c>
      <c r="B138" t="s">
        <v>42</v>
      </c>
      <c r="C138" t="s">
        <v>43</v>
      </c>
    </row>
    <row r="139" spans="1:3" x14ac:dyDescent="0.25">
      <c r="A139" t="s">
        <v>341</v>
      </c>
      <c r="B139" t="s">
        <v>18</v>
      </c>
      <c r="C139" t="s">
        <v>19</v>
      </c>
    </row>
    <row r="140" spans="1:3" x14ac:dyDescent="0.25">
      <c r="A140" t="s">
        <v>342</v>
      </c>
      <c r="B140" t="s">
        <v>18</v>
      </c>
      <c r="C140" t="s">
        <v>19</v>
      </c>
    </row>
    <row r="141" spans="1:3" x14ac:dyDescent="0.25">
      <c r="A141" t="s">
        <v>343</v>
      </c>
      <c r="B141" t="s">
        <v>18</v>
      </c>
      <c r="C141" t="s">
        <v>19</v>
      </c>
    </row>
    <row r="142" spans="1:3" x14ac:dyDescent="0.25">
      <c r="A142" t="s">
        <v>344</v>
      </c>
      <c r="B142" t="s">
        <v>18</v>
      </c>
      <c r="C142" t="s">
        <v>19</v>
      </c>
    </row>
    <row r="143" spans="1:3" x14ac:dyDescent="0.25">
      <c r="A143" t="s">
        <v>345</v>
      </c>
      <c r="B143" t="s">
        <v>18</v>
      </c>
      <c r="C143" t="s">
        <v>19</v>
      </c>
    </row>
    <row r="144" spans="1:3" x14ac:dyDescent="0.25">
      <c r="A144" t="s">
        <v>346</v>
      </c>
      <c r="B144" t="s">
        <v>42</v>
      </c>
      <c r="C144" t="s">
        <v>43</v>
      </c>
    </row>
    <row r="145" spans="1:3" x14ac:dyDescent="0.25">
      <c r="A145" t="s">
        <v>347</v>
      </c>
      <c r="B145" t="s">
        <v>25</v>
      </c>
      <c r="C145" t="s">
        <v>26</v>
      </c>
    </row>
    <row r="146" spans="1:3" x14ac:dyDescent="0.25">
      <c r="A146" t="s">
        <v>348</v>
      </c>
      <c r="B146" t="s">
        <v>18</v>
      </c>
      <c r="C146" t="s">
        <v>19</v>
      </c>
    </row>
    <row r="147" spans="1:3" x14ac:dyDescent="0.25">
      <c r="A147" t="s">
        <v>349</v>
      </c>
      <c r="B147" t="s">
        <v>18</v>
      </c>
      <c r="C147" t="s">
        <v>19</v>
      </c>
    </row>
    <row r="148" spans="1:3" x14ac:dyDescent="0.25">
      <c r="A148" t="s">
        <v>350</v>
      </c>
      <c r="B148" t="s">
        <v>25</v>
      </c>
      <c r="C148" t="s">
        <v>26</v>
      </c>
    </row>
    <row r="149" spans="1:3" x14ac:dyDescent="0.25">
      <c r="A149" t="s">
        <v>351</v>
      </c>
      <c r="B149" t="s">
        <v>25</v>
      </c>
      <c r="C149" t="s">
        <v>26</v>
      </c>
    </row>
    <row r="150" spans="1:3" x14ac:dyDescent="0.25">
      <c r="A150" t="s">
        <v>352</v>
      </c>
      <c r="B150" t="s">
        <v>25</v>
      </c>
      <c r="C150" t="s">
        <v>26</v>
      </c>
    </row>
    <row r="151" spans="1:3" x14ac:dyDescent="0.25">
      <c r="A151" t="s">
        <v>353</v>
      </c>
      <c r="B151" t="s">
        <v>25</v>
      </c>
      <c r="C151" t="s">
        <v>26</v>
      </c>
    </row>
    <row r="152" spans="1:3" x14ac:dyDescent="0.25">
      <c r="A152" t="s">
        <v>354</v>
      </c>
      <c r="B152" t="s">
        <v>25</v>
      </c>
      <c r="C152" t="s">
        <v>26</v>
      </c>
    </row>
    <row r="153" spans="1:3" x14ac:dyDescent="0.25">
      <c r="A153" t="s">
        <v>355</v>
      </c>
      <c r="B153" t="s">
        <v>25</v>
      </c>
      <c r="C153" t="s">
        <v>26</v>
      </c>
    </row>
    <row r="154" spans="1:3" x14ac:dyDescent="0.25">
      <c r="A154" t="s">
        <v>356</v>
      </c>
      <c r="B154" t="s">
        <v>25</v>
      </c>
      <c r="C154" t="s">
        <v>26</v>
      </c>
    </row>
    <row r="155" spans="1:3" x14ac:dyDescent="0.25">
      <c r="A155" t="s">
        <v>357</v>
      </c>
      <c r="B155" t="s">
        <v>25</v>
      </c>
      <c r="C155" t="s">
        <v>26</v>
      </c>
    </row>
    <row r="156" spans="1:3" x14ac:dyDescent="0.25">
      <c r="A156" t="s">
        <v>358</v>
      </c>
      <c r="B156" t="s">
        <v>18</v>
      </c>
      <c r="C156" t="s">
        <v>19</v>
      </c>
    </row>
    <row r="157" spans="1:3" x14ac:dyDescent="0.25">
      <c r="A157" t="s">
        <v>359</v>
      </c>
      <c r="B157" t="s">
        <v>18</v>
      </c>
      <c r="C157" t="s">
        <v>19</v>
      </c>
    </row>
    <row r="158" spans="1:3" x14ac:dyDescent="0.25">
      <c r="A158" t="s">
        <v>360</v>
      </c>
      <c r="B158" t="s">
        <v>18</v>
      </c>
      <c r="C158" t="s">
        <v>19</v>
      </c>
    </row>
    <row r="159" spans="1:3" x14ac:dyDescent="0.25">
      <c r="A159" t="s">
        <v>361</v>
      </c>
      <c r="B159" t="s">
        <v>42</v>
      </c>
      <c r="C159" t="s">
        <v>43</v>
      </c>
    </row>
    <row r="160" spans="1:3" x14ac:dyDescent="0.25">
      <c r="A160" t="s">
        <v>362</v>
      </c>
      <c r="B160" t="s">
        <v>18</v>
      </c>
      <c r="C160" t="s">
        <v>19</v>
      </c>
    </row>
    <row r="161" spans="1:3" x14ac:dyDescent="0.25">
      <c r="A161" t="s">
        <v>363</v>
      </c>
      <c r="B161" t="s">
        <v>25</v>
      </c>
      <c r="C161" t="s">
        <v>26</v>
      </c>
    </row>
    <row r="162" spans="1:3" x14ac:dyDescent="0.25">
      <c r="A162" t="s">
        <v>364</v>
      </c>
      <c r="B162" t="s">
        <v>42</v>
      </c>
      <c r="C162" t="s">
        <v>43</v>
      </c>
    </row>
    <row r="163" spans="1:3" x14ac:dyDescent="0.25">
      <c r="A163" t="s">
        <v>365</v>
      </c>
      <c r="B163" t="s">
        <v>18</v>
      </c>
      <c r="C163" t="s">
        <v>19</v>
      </c>
    </row>
    <row r="164" spans="1:3" x14ac:dyDescent="0.25">
      <c r="A164" t="s">
        <v>366</v>
      </c>
      <c r="B164" t="s">
        <v>42</v>
      </c>
      <c r="C164" t="s">
        <v>43</v>
      </c>
    </row>
    <row r="165" spans="1:3" x14ac:dyDescent="0.25">
      <c r="A165" t="s">
        <v>367</v>
      </c>
      <c r="B165" t="s">
        <v>18</v>
      </c>
      <c r="C165" t="s">
        <v>19</v>
      </c>
    </row>
    <row r="166" spans="1:3" x14ac:dyDescent="0.25">
      <c r="A166" t="s">
        <v>368</v>
      </c>
      <c r="B166" t="s">
        <v>18</v>
      </c>
      <c r="C166" t="s">
        <v>19</v>
      </c>
    </row>
    <row r="167" spans="1:3" x14ac:dyDescent="0.25">
      <c r="A167" t="s">
        <v>369</v>
      </c>
      <c r="B167" t="s">
        <v>18</v>
      </c>
      <c r="C167" t="s">
        <v>19</v>
      </c>
    </row>
    <row r="168" spans="1:3" x14ac:dyDescent="0.25">
      <c r="A168" t="s">
        <v>370</v>
      </c>
      <c r="B168" t="s">
        <v>25</v>
      </c>
      <c r="C168" t="s">
        <v>26</v>
      </c>
    </row>
    <row r="169" spans="1:3" x14ac:dyDescent="0.25">
      <c r="A169" t="s">
        <v>371</v>
      </c>
      <c r="B169" t="s">
        <v>18</v>
      </c>
      <c r="C169" t="s">
        <v>19</v>
      </c>
    </row>
    <row r="170" spans="1:3" x14ac:dyDescent="0.25">
      <c r="A170" t="s">
        <v>372</v>
      </c>
      <c r="B170" t="s">
        <v>18</v>
      </c>
      <c r="C170" t="s">
        <v>19</v>
      </c>
    </row>
    <row r="171" spans="1:3" x14ac:dyDescent="0.25">
      <c r="A171" t="s">
        <v>373</v>
      </c>
      <c r="B171" t="s">
        <v>42</v>
      </c>
      <c r="C171" t="s">
        <v>43</v>
      </c>
    </row>
    <row r="172" spans="1:3" x14ac:dyDescent="0.25">
      <c r="A172" t="s">
        <v>374</v>
      </c>
      <c r="B172" t="s">
        <v>25</v>
      </c>
      <c r="C172" t="s">
        <v>26</v>
      </c>
    </row>
    <row r="173" spans="1:3" x14ac:dyDescent="0.25">
      <c r="A173" t="s">
        <v>375</v>
      </c>
      <c r="B173" t="s">
        <v>42</v>
      </c>
      <c r="C173" t="s">
        <v>43</v>
      </c>
    </row>
    <row r="174" spans="1:3" x14ac:dyDescent="0.25">
      <c r="A174" t="s">
        <v>376</v>
      </c>
      <c r="B174" t="s">
        <v>42</v>
      </c>
      <c r="C174" t="s">
        <v>43</v>
      </c>
    </row>
    <row r="175" spans="1:3" x14ac:dyDescent="0.25">
      <c r="A175" t="s">
        <v>377</v>
      </c>
      <c r="B175" t="s">
        <v>42</v>
      </c>
      <c r="C175" t="s">
        <v>43</v>
      </c>
    </row>
    <row r="176" spans="1:3" x14ac:dyDescent="0.25">
      <c r="A176" t="s">
        <v>378</v>
      </c>
      <c r="B176" t="s">
        <v>42</v>
      </c>
      <c r="C176" t="s">
        <v>43</v>
      </c>
    </row>
    <row r="177" spans="1:3" x14ac:dyDescent="0.25">
      <c r="A177" t="s">
        <v>379</v>
      </c>
      <c r="B177" t="s">
        <v>25</v>
      </c>
      <c r="C177" t="s">
        <v>26</v>
      </c>
    </row>
    <row r="178" spans="1:3" x14ac:dyDescent="0.25">
      <c r="A178" t="s">
        <v>380</v>
      </c>
      <c r="B178" t="s">
        <v>18</v>
      </c>
      <c r="C178" t="s">
        <v>19</v>
      </c>
    </row>
    <row r="179" spans="1:3" x14ac:dyDescent="0.25">
      <c r="A179" t="s">
        <v>381</v>
      </c>
      <c r="B179" t="s">
        <v>18</v>
      </c>
      <c r="C179" t="s">
        <v>19</v>
      </c>
    </row>
    <row r="180" spans="1:3" x14ac:dyDescent="0.25">
      <c r="A180" t="s">
        <v>382</v>
      </c>
      <c r="B180" t="s">
        <v>18</v>
      </c>
      <c r="C180" t="s">
        <v>19</v>
      </c>
    </row>
    <row r="181" spans="1:3" x14ac:dyDescent="0.25">
      <c r="A181" t="s">
        <v>383</v>
      </c>
      <c r="B181" t="s">
        <v>25</v>
      </c>
      <c r="C181" t="s">
        <v>26</v>
      </c>
    </row>
    <row r="182" spans="1:3" x14ac:dyDescent="0.25">
      <c r="A182" t="s">
        <v>384</v>
      </c>
      <c r="B182" t="s">
        <v>18</v>
      </c>
      <c r="C182" t="s">
        <v>19</v>
      </c>
    </row>
    <row r="183" spans="1:3" x14ac:dyDescent="0.25">
      <c r="A183" t="s">
        <v>385</v>
      </c>
      <c r="B183" t="s">
        <v>42</v>
      </c>
      <c r="C183" t="s">
        <v>43</v>
      </c>
    </row>
    <row r="184" spans="1:3" x14ac:dyDescent="0.25">
      <c r="A184" t="s">
        <v>386</v>
      </c>
      <c r="B184" t="s">
        <v>25</v>
      </c>
      <c r="C184" t="s">
        <v>26</v>
      </c>
    </row>
    <row r="185" spans="1:3" x14ac:dyDescent="0.25">
      <c r="A185" t="s">
        <v>387</v>
      </c>
      <c r="B185" t="s">
        <v>18</v>
      </c>
      <c r="C185" t="s">
        <v>19</v>
      </c>
    </row>
    <row r="186" spans="1:3" x14ac:dyDescent="0.25">
      <c r="A186" t="s">
        <v>388</v>
      </c>
      <c r="B186" t="s">
        <v>42</v>
      </c>
      <c r="C186" t="s">
        <v>43</v>
      </c>
    </row>
    <row r="187" spans="1:3" x14ac:dyDescent="0.25">
      <c r="A187" t="s">
        <v>389</v>
      </c>
      <c r="B187" t="s">
        <v>42</v>
      </c>
      <c r="C187" t="s">
        <v>43</v>
      </c>
    </row>
    <row r="188" spans="1:3" x14ac:dyDescent="0.25">
      <c r="A188" t="s">
        <v>390</v>
      </c>
      <c r="B188" t="s">
        <v>25</v>
      </c>
      <c r="C188" t="s">
        <v>26</v>
      </c>
    </row>
    <row r="189" spans="1:3" x14ac:dyDescent="0.25">
      <c r="A189" t="s">
        <v>391</v>
      </c>
      <c r="B189" t="s">
        <v>42</v>
      </c>
      <c r="C189" t="s">
        <v>43</v>
      </c>
    </row>
    <row r="190" spans="1:3" x14ac:dyDescent="0.25">
      <c r="A190" t="s">
        <v>392</v>
      </c>
      <c r="B190" t="s">
        <v>25</v>
      </c>
      <c r="C190" t="s">
        <v>26</v>
      </c>
    </row>
    <row r="191" spans="1:3" x14ac:dyDescent="0.25">
      <c r="A191" t="s">
        <v>393</v>
      </c>
      <c r="B191" t="s">
        <v>25</v>
      </c>
      <c r="C191" t="s">
        <v>26</v>
      </c>
    </row>
    <row r="192" spans="1:3" x14ac:dyDescent="0.25">
      <c r="A192" t="s">
        <v>394</v>
      </c>
      <c r="B192" t="s">
        <v>42</v>
      </c>
      <c r="C192" t="s">
        <v>43</v>
      </c>
    </row>
    <row r="193" spans="1:3" x14ac:dyDescent="0.25">
      <c r="A193" t="s">
        <v>395</v>
      </c>
      <c r="B193" t="s">
        <v>42</v>
      </c>
      <c r="C193" t="s">
        <v>43</v>
      </c>
    </row>
    <row r="194" spans="1:3" x14ac:dyDescent="0.25">
      <c r="A194" t="s">
        <v>396</v>
      </c>
      <c r="B194" t="s">
        <v>18</v>
      </c>
      <c r="C194" t="s">
        <v>19</v>
      </c>
    </row>
    <row r="195" spans="1:3" x14ac:dyDescent="0.25">
      <c r="A195" t="s">
        <v>397</v>
      </c>
      <c r="B195" t="s">
        <v>25</v>
      </c>
      <c r="C195" t="s">
        <v>26</v>
      </c>
    </row>
    <row r="196" spans="1:3" x14ac:dyDescent="0.25">
      <c r="A196" t="s">
        <v>398</v>
      </c>
      <c r="B196" t="s">
        <v>25</v>
      </c>
      <c r="C196" t="s">
        <v>26</v>
      </c>
    </row>
    <row r="197" spans="1:3" x14ac:dyDescent="0.25">
      <c r="A197" t="s">
        <v>399</v>
      </c>
      <c r="B197" t="s">
        <v>18</v>
      </c>
      <c r="C197" t="s">
        <v>19</v>
      </c>
    </row>
    <row r="198" spans="1:3" x14ac:dyDescent="0.25">
      <c r="A198" t="s">
        <v>400</v>
      </c>
      <c r="B198" t="s">
        <v>25</v>
      </c>
      <c r="C198" t="s">
        <v>26</v>
      </c>
    </row>
    <row r="199" spans="1:3" x14ac:dyDescent="0.25">
      <c r="A199" t="s">
        <v>401</v>
      </c>
      <c r="B199" t="s">
        <v>25</v>
      </c>
      <c r="C199" t="s">
        <v>26</v>
      </c>
    </row>
    <row r="200" spans="1:3" x14ac:dyDescent="0.25">
      <c r="A200" t="s">
        <v>402</v>
      </c>
      <c r="B200" t="s">
        <v>25</v>
      </c>
      <c r="C200" t="s">
        <v>26</v>
      </c>
    </row>
    <row r="201" spans="1:3" x14ac:dyDescent="0.25">
      <c r="A201" t="s">
        <v>403</v>
      </c>
      <c r="B201" t="s">
        <v>18</v>
      </c>
      <c r="C201" t="s">
        <v>19</v>
      </c>
    </row>
    <row r="202" spans="1:3" x14ac:dyDescent="0.25">
      <c r="A202" t="s">
        <v>404</v>
      </c>
      <c r="B202" t="s">
        <v>25</v>
      </c>
      <c r="C202" t="s">
        <v>26</v>
      </c>
    </row>
    <row r="203" spans="1:3" x14ac:dyDescent="0.25">
      <c r="A203" t="s">
        <v>405</v>
      </c>
      <c r="B203" t="s">
        <v>18</v>
      </c>
      <c r="C203" t="s">
        <v>19</v>
      </c>
    </row>
    <row r="204" spans="1:3" x14ac:dyDescent="0.25">
      <c r="A204" t="s">
        <v>406</v>
      </c>
      <c r="B204" t="s">
        <v>42</v>
      </c>
      <c r="C204" t="s">
        <v>43</v>
      </c>
    </row>
    <row r="205" spans="1:3" x14ac:dyDescent="0.25">
      <c r="A205" t="s">
        <v>407</v>
      </c>
      <c r="B205" t="s">
        <v>42</v>
      </c>
      <c r="C205" t="s">
        <v>43</v>
      </c>
    </row>
    <row r="206" spans="1:3" x14ac:dyDescent="0.25">
      <c r="A206" t="s">
        <v>408</v>
      </c>
      <c r="B206" t="s">
        <v>25</v>
      </c>
      <c r="C206" t="s">
        <v>26</v>
      </c>
    </row>
    <row r="207" spans="1:3" x14ac:dyDescent="0.25">
      <c r="A207" t="s">
        <v>409</v>
      </c>
      <c r="B207" t="s">
        <v>25</v>
      </c>
      <c r="C207" t="s">
        <v>26</v>
      </c>
    </row>
    <row r="208" spans="1:3" x14ac:dyDescent="0.25">
      <c r="A208" t="s">
        <v>410</v>
      </c>
      <c r="B208" t="s">
        <v>18</v>
      </c>
      <c r="C208" t="s">
        <v>19</v>
      </c>
    </row>
    <row r="209" spans="1:3" x14ac:dyDescent="0.25">
      <c r="A209" t="s">
        <v>411</v>
      </c>
      <c r="B209" t="s">
        <v>18</v>
      </c>
      <c r="C209" t="s">
        <v>19</v>
      </c>
    </row>
    <row r="210" spans="1:3" x14ac:dyDescent="0.25">
      <c r="A210" t="s">
        <v>412</v>
      </c>
      <c r="B210" t="s">
        <v>42</v>
      </c>
      <c r="C210" t="s">
        <v>43</v>
      </c>
    </row>
    <row r="211" spans="1:3" x14ac:dyDescent="0.25">
      <c r="A211" t="s">
        <v>413</v>
      </c>
      <c r="B211" t="s">
        <v>25</v>
      </c>
      <c r="C211" t="s">
        <v>26</v>
      </c>
    </row>
    <row r="212" spans="1:3" x14ac:dyDescent="0.25">
      <c r="A212" t="s">
        <v>414</v>
      </c>
      <c r="B212" t="s">
        <v>25</v>
      </c>
      <c r="C212" t="s">
        <v>26</v>
      </c>
    </row>
    <row r="213" spans="1:3" x14ac:dyDescent="0.25">
      <c r="A213" t="s">
        <v>415</v>
      </c>
      <c r="B213" t="s">
        <v>42</v>
      </c>
      <c r="C213" t="s">
        <v>43</v>
      </c>
    </row>
    <row r="214" spans="1:3" x14ac:dyDescent="0.25">
      <c r="A214" t="s">
        <v>416</v>
      </c>
      <c r="B214" t="s">
        <v>18</v>
      </c>
      <c r="C214" t="s">
        <v>19</v>
      </c>
    </row>
    <row r="215" spans="1:3" x14ac:dyDescent="0.25">
      <c r="A215" t="s">
        <v>417</v>
      </c>
      <c r="B215" t="s">
        <v>25</v>
      </c>
      <c r="C215" t="s">
        <v>26</v>
      </c>
    </row>
    <row r="216" spans="1:3" x14ac:dyDescent="0.25">
      <c r="A216" t="s">
        <v>418</v>
      </c>
      <c r="B216" t="s">
        <v>42</v>
      </c>
      <c r="C216" t="s">
        <v>43</v>
      </c>
    </row>
    <row r="217" spans="1:3" x14ac:dyDescent="0.25">
      <c r="A217" t="s">
        <v>419</v>
      </c>
      <c r="B217" t="s">
        <v>25</v>
      </c>
      <c r="C217" t="s">
        <v>26</v>
      </c>
    </row>
    <row r="218" spans="1:3" x14ac:dyDescent="0.25">
      <c r="A218" t="s">
        <v>420</v>
      </c>
      <c r="B218" t="s">
        <v>18</v>
      </c>
      <c r="C218" t="s">
        <v>19</v>
      </c>
    </row>
    <row r="219" spans="1:3" x14ac:dyDescent="0.25">
      <c r="A219" t="s">
        <v>421</v>
      </c>
      <c r="B219" t="s">
        <v>42</v>
      </c>
      <c r="C219" t="s">
        <v>43</v>
      </c>
    </row>
    <row r="220" spans="1:3" x14ac:dyDescent="0.25">
      <c r="A220" t="s">
        <v>422</v>
      </c>
      <c r="B220" t="s">
        <v>25</v>
      </c>
      <c r="C220" t="s">
        <v>26</v>
      </c>
    </row>
    <row r="221" spans="1:3" x14ac:dyDescent="0.25">
      <c r="A221" t="s">
        <v>423</v>
      </c>
      <c r="B221" t="s">
        <v>18</v>
      </c>
      <c r="C221" t="s">
        <v>19</v>
      </c>
    </row>
    <row r="222" spans="1:3" x14ac:dyDescent="0.25">
      <c r="A222" t="s">
        <v>424</v>
      </c>
      <c r="B222" t="s">
        <v>25</v>
      </c>
      <c r="C222" t="s">
        <v>26</v>
      </c>
    </row>
    <row r="223" spans="1:3" x14ac:dyDescent="0.25">
      <c r="A223" t="s">
        <v>425</v>
      </c>
      <c r="B223" t="s">
        <v>42</v>
      </c>
      <c r="C223" t="s">
        <v>43</v>
      </c>
    </row>
    <row r="224" spans="1:3" x14ac:dyDescent="0.25">
      <c r="A224" t="s">
        <v>426</v>
      </c>
      <c r="B224" t="s">
        <v>25</v>
      </c>
      <c r="C224" t="s">
        <v>26</v>
      </c>
    </row>
    <row r="225" spans="1:3" x14ac:dyDescent="0.25">
      <c r="A225" t="s">
        <v>427</v>
      </c>
      <c r="B225" t="s">
        <v>42</v>
      </c>
      <c r="C225" t="s">
        <v>43</v>
      </c>
    </row>
    <row r="226" spans="1:3" x14ac:dyDescent="0.25">
      <c r="A226" t="s">
        <v>428</v>
      </c>
      <c r="B226" t="s">
        <v>18</v>
      </c>
      <c r="C226" t="s">
        <v>19</v>
      </c>
    </row>
    <row r="227" spans="1:3" x14ac:dyDescent="0.25">
      <c r="A227" t="s">
        <v>429</v>
      </c>
      <c r="B227" t="s">
        <v>18</v>
      </c>
      <c r="C227" t="s">
        <v>19</v>
      </c>
    </row>
    <row r="228" spans="1:3" x14ac:dyDescent="0.25">
      <c r="A228" t="s">
        <v>430</v>
      </c>
      <c r="B228" t="s">
        <v>18</v>
      </c>
      <c r="C228" t="s">
        <v>19</v>
      </c>
    </row>
    <row r="229" spans="1:3" x14ac:dyDescent="0.25">
      <c r="A229" t="s">
        <v>431</v>
      </c>
      <c r="B229" t="s">
        <v>18</v>
      </c>
      <c r="C229" t="s">
        <v>19</v>
      </c>
    </row>
    <row r="230" spans="1:3" x14ac:dyDescent="0.25">
      <c r="A230" t="s">
        <v>432</v>
      </c>
      <c r="B230" t="s">
        <v>18</v>
      </c>
      <c r="C230" t="s">
        <v>19</v>
      </c>
    </row>
    <row r="231" spans="1:3" x14ac:dyDescent="0.25">
      <c r="A231" t="s">
        <v>433</v>
      </c>
      <c r="B231" t="s">
        <v>42</v>
      </c>
      <c r="C231" t="s">
        <v>43</v>
      </c>
    </row>
    <row r="232" spans="1:3" x14ac:dyDescent="0.25">
      <c r="A232" t="s">
        <v>434</v>
      </c>
      <c r="B232" t="s">
        <v>42</v>
      </c>
      <c r="C232" t="s">
        <v>43</v>
      </c>
    </row>
    <row r="233" spans="1:3" x14ac:dyDescent="0.25">
      <c r="A233" t="s">
        <v>435</v>
      </c>
      <c r="B233" t="s">
        <v>42</v>
      </c>
      <c r="C233" t="s">
        <v>43</v>
      </c>
    </row>
    <row r="234" spans="1:3" x14ac:dyDescent="0.25">
      <c r="A234" t="s">
        <v>436</v>
      </c>
      <c r="B234" t="s">
        <v>25</v>
      </c>
      <c r="C234" t="s">
        <v>26</v>
      </c>
    </row>
    <row r="235" spans="1:3" x14ac:dyDescent="0.25">
      <c r="A235" t="s">
        <v>437</v>
      </c>
      <c r="B235" t="s">
        <v>25</v>
      </c>
      <c r="C235" t="s">
        <v>26</v>
      </c>
    </row>
    <row r="236" spans="1:3" x14ac:dyDescent="0.25">
      <c r="A236" t="s">
        <v>438</v>
      </c>
      <c r="B236" t="s">
        <v>25</v>
      </c>
      <c r="C236" t="s">
        <v>26</v>
      </c>
    </row>
    <row r="237" spans="1:3" x14ac:dyDescent="0.25">
      <c r="A237" t="s">
        <v>439</v>
      </c>
      <c r="B237" t="s">
        <v>42</v>
      </c>
      <c r="C237" t="s">
        <v>43</v>
      </c>
    </row>
    <row r="238" spans="1:3" x14ac:dyDescent="0.25">
      <c r="A238" t="s">
        <v>440</v>
      </c>
      <c r="B238" t="s">
        <v>25</v>
      </c>
      <c r="C238" t="s">
        <v>26</v>
      </c>
    </row>
    <row r="239" spans="1:3" x14ac:dyDescent="0.25">
      <c r="A239" t="s">
        <v>441</v>
      </c>
      <c r="B239" t="s">
        <v>18</v>
      </c>
      <c r="C239" t="s">
        <v>19</v>
      </c>
    </row>
    <row r="240" spans="1:3" x14ac:dyDescent="0.25">
      <c r="A240" t="s">
        <v>442</v>
      </c>
      <c r="B240" t="s">
        <v>18</v>
      </c>
      <c r="C240" t="s">
        <v>19</v>
      </c>
    </row>
    <row r="241" spans="1:3" x14ac:dyDescent="0.25">
      <c r="A241" t="s">
        <v>443</v>
      </c>
      <c r="B241" t="s">
        <v>42</v>
      </c>
      <c r="C241" t="s">
        <v>43</v>
      </c>
    </row>
    <row r="242" spans="1:3" x14ac:dyDescent="0.25">
      <c r="A242" t="s">
        <v>444</v>
      </c>
      <c r="B242" t="s">
        <v>18</v>
      </c>
      <c r="C242" t="s">
        <v>19</v>
      </c>
    </row>
    <row r="243" spans="1:3" x14ac:dyDescent="0.25">
      <c r="A243" t="s">
        <v>445</v>
      </c>
      <c r="B243" t="s">
        <v>25</v>
      </c>
      <c r="C243" t="s">
        <v>26</v>
      </c>
    </row>
    <row r="244" spans="1:3" x14ac:dyDescent="0.25">
      <c r="A244" t="s">
        <v>446</v>
      </c>
      <c r="B244" t="s">
        <v>42</v>
      </c>
      <c r="C244" t="s">
        <v>43</v>
      </c>
    </row>
    <row r="245" spans="1:3" x14ac:dyDescent="0.25">
      <c r="A245" t="s">
        <v>447</v>
      </c>
      <c r="B245" t="s">
        <v>42</v>
      </c>
      <c r="C245" t="s">
        <v>43</v>
      </c>
    </row>
    <row r="246" spans="1:3" x14ac:dyDescent="0.25">
      <c r="A246" t="s">
        <v>448</v>
      </c>
      <c r="B246" t="s">
        <v>18</v>
      </c>
      <c r="C246" t="s">
        <v>19</v>
      </c>
    </row>
    <row r="247" spans="1:3" x14ac:dyDescent="0.25">
      <c r="A247" t="s">
        <v>449</v>
      </c>
      <c r="B247" t="s">
        <v>18</v>
      </c>
      <c r="C247" t="s">
        <v>19</v>
      </c>
    </row>
    <row r="248" spans="1:3" x14ac:dyDescent="0.25">
      <c r="A248" t="s">
        <v>450</v>
      </c>
      <c r="B248" t="s">
        <v>18</v>
      </c>
      <c r="C248" t="s">
        <v>19</v>
      </c>
    </row>
    <row r="249" spans="1:3" x14ac:dyDescent="0.25">
      <c r="A249" t="s">
        <v>451</v>
      </c>
      <c r="B249" t="s">
        <v>42</v>
      </c>
      <c r="C249" t="s">
        <v>43</v>
      </c>
    </row>
    <row r="250" spans="1:3" x14ac:dyDescent="0.25">
      <c r="A250" t="s">
        <v>452</v>
      </c>
      <c r="B250" t="s">
        <v>25</v>
      </c>
      <c r="C250" t="s">
        <v>26</v>
      </c>
    </row>
    <row r="251" spans="1:3" x14ac:dyDescent="0.25">
      <c r="A251" t="s">
        <v>453</v>
      </c>
      <c r="B251" t="s">
        <v>25</v>
      </c>
      <c r="C251" t="s">
        <v>26</v>
      </c>
    </row>
    <row r="252" spans="1:3" x14ac:dyDescent="0.25">
      <c r="A252" t="s">
        <v>454</v>
      </c>
      <c r="B252" t="s">
        <v>42</v>
      </c>
      <c r="C252" t="s">
        <v>43</v>
      </c>
    </row>
    <row r="253" spans="1:3" x14ac:dyDescent="0.25">
      <c r="A253" t="s">
        <v>455</v>
      </c>
      <c r="B253" t="s">
        <v>18</v>
      </c>
      <c r="C253" t="s">
        <v>19</v>
      </c>
    </row>
    <row r="254" spans="1:3" x14ac:dyDescent="0.25">
      <c r="A254" t="s">
        <v>456</v>
      </c>
      <c r="B254" t="s">
        <v>25</v>
      </c>
      <c r="C254" t="s">
        <v>26</v>
      </c>
    </row>
    <row r="255" spans="1:3" x14ac:dyDescent="0.25">
      <c r="A255" t="s">
        <v>457</v>
      </c>
      <c r="B255" t="s">
        <v>25</v>
      </c>
      <c r="C255" t="s">
        <v>26</v>
      </c>
    </row>
    <row r="256" spans="1:3" x14ac:dyDescent="0.25">
      <c r="A256" t="s">
        <v>458</v>
      </c>
      <c r="B256" t="s">
        <v>25</v>
      </c>
      <c r="C256" t="s">
        <v>26</v>
      </c>
    </row>
    <row r="257" spans="1:3" x14ac:dyDescent="0.25">
      <c r="A257" t="s">
        <v>459</v>
      </c>
      <c r="B257" t="s">
        <v>42</v>
      </c>
      <c r="C257" t="s">
        <v>43</v>
      </c>
    </row>
    <row r="258" spans="1:3" x14ac:dyDescent="0.25">
      <c r="A258" t="s">
        <v>460</v>
      </c>
      <c r="B258" t="s">
        <v>25</v>
      </c>
      <c r="C258" t="s">
        <v>26</v>
      </c>
    </row>
    <row r="259" spans="1:3" x14ac:dyDescent="0.25">
      <c r="A259" t="s">
        <v>461</v>
      </c>
      <c r="B259" t="s">
        <v>42</v>
      </c>
      <c r="C259" t="s">
        <v>43</v>
      </c>
    </row>
    <row r="260" spans="1:3" x14ac:dyDescent="0.25">
      <c r="A260" t="s">
        <v>462</v>
      </c>
      <c r="B260" t="s">
        <v>18</v>
      </c>
      <c r="C260" t="s">
        <v>19</v>
      </c>
    </row>
    <row r="261" spans="1:3" x14ac:dyDescent="0.25">
      <c r="A261" t="s">
        <v>463</v>
      </c>
      <c r="B261" t="s">
        <v>42</v>
      </c>
      <c r="C261" t="s">
        <v>43</v>
      </c>
    </row>
    <row r="262" spans="1:3" x14ac:dyDescent="0.25">
      <c r="A262" t="s">
        <v>464</v>
      </c>
      <c r="B262" t="s">
        <v>42</v>
      </c>
      <c r="C262" t="s">
        <v>43</v>
      </c>
    </row>
    <row r="263" spans="1:3" x14ac:dyDescent="0.25">
      <c r="A263" t="s">
        <v>465</v>
      </c>
      <c r="B263" t="s">
        <v>18</v>
      </c>
      <c r="C263" t="s">
        <v>19</v>
      </c>
    </row>
    <row r="264" spans="1:3" x14ac:dyDescent="0.25">
      <c r="A264" t="s">
        <v>466</v>
      </c>
      <c r="B264" t="s">
        <v>42</v>
      </c>
      <c r="C264" t="s">
        <v>43</v>
      </c>
    </row>
    <row r="265" spans="1:3" x14ac:dyDescent="0.25">
      <c r="A265" t="s">
        <v>467</v>
      </c>
      <c r="B265" t="s">
        <v>25</v>
      </c>
      <c r="C265" t="s">
        <v>26</v>
      </c>
    </row>
    <row r="266" spans="1:3" x14ac:dyDescent="0.25">
      <c r="A266" t="s">
        <v>468</v>
      </c>
      <c r="B266" t="s">
        <v>18</v>
      </c>
      <c r="C266" t="s">
        <v>19</v>
      </c>
    </row>
    <row r="267" spans="1:3" x14ac:dyDescent="0.25">
      <c r="A267" t="s">
        <v>469</v>
      </c>
      <c r="B267" t="s">
        <v>42</v>
      </c>
      <c r="C267" t="s">
        <v>43</v>
      </c>
    </row>
    <row r="268" spans="1:3" x14ac:dyDescent="0.25">
      <c r="A268" t="s">
        <v>470</v>
      </c>
      <c r="B268" t="s">
        <v>42</v>
      </c>
      <c r="C268" t="s">
        <v>43</v>
      </c>
    </row>
    <row r="269" spans="1:3" x14ac:dyDescent="0.25">
      <c r="A269" t="s">
        <v>471</v>
      </c>
      <c r="B269" t="s">
        <v>25</v>
      </c>
      <c r="C269" t="s">
        <v>26</v>
      </c>
    </row>
    <row r="270" spans="1:3" x14ac:dyDescent="0.25">
      <c r="A270" t="s">
        <v>472</v>
      </c>
      <c r="B270" t="s">
        <v>25</v>
      </c>
      <c r="C270" t="s">
        <v>26</v>
      </c>
    </row>
    <row r="271" spans="1:3" x14ac:dyDescent="0.25">
      <c r="A271" t="s">
        <v>473</v>
      </c>
      <c r="B271" t="s">
        <v>18</v>
      </c>
      <c r="C271" t="s">
        <v>19</v>
      </c>
    </row>
    <row r="272" spans="1:3" x14ac:dyDescent="0.25">
      <c r="A272" t="s">
        <v>474</v>
      </c>
      <c r="B272" t="s">
        <v>25</v>
      </c>
      <c r="C272" t="s">
        <v>26</v>
      </c>
    </row>
    <row r="273" spans="1:3" x14ac:dyDescent="0.25">
      <c r="A273" t="s">
        <v>475</v>
      </c>
      <c r="B273" t="s">
        <v>25</v>
      </c>
      <c r="C273" t="s">
        <v>26</v>
      </c>
    </row>
    <row r="274" spans="1:3" x14ac:dyDescent="0.25">
      <c r="A274" t="s">
        <v>476</v>
      </c>
      <c r="B274" t="s">
        <v>25</v>
      </c>
      <c r="C274" t="s">
        <v>26</v>
      </c>
    </row>
    <row r="275" spans="1:3" x14ac:dyDescent="0.25">
      <c r="A275" t="s">
        <v>477</v>
      </c>
      <c r="B275" t="s">
        <v>42</v>
      </c>
      <c r="C275" t="s">
        <v>43</v>
      </c>
    </row>
    <row r="276" spans="1:3" x14ac:dyDescent="0.25">
      <c r="A276" t="s">
        <v>478</v>
      </c>
      <c r="B276" t="s">
        <v>18</v>
      </c>
      <c r="C276" t="s">
        <v>19</v>
      </c>
    </row>
    <row r="277" spans="1:3" x14ac:dyDescent="0.25">
      <c r="A277" t="s">
        <v>479</v>
      </c>
      <c r="B277" t="s">
        <v>25</v>
      </c>
      <c r="C277" t="s">
        <v>26</v>
      </c>
    </row>
    <row r="278" spans="1:3" x14ac:dyDescent="0.25">
      <c r="A278" t="s">
        <v>480</v>
      </c>
      <c r="B278" t="s">
        <v>18</v>
      </c>
      <c r="C278" t="s">
        <v>19</v>
      </c>
    </row>
    <row r="279" spans="1:3" x14ac:dyDescent="0.25">
      <c r="A279" t="s">
        <v>481</v>
      </c>
      <c r="B279" t="s">
        <v>42</v>
      </c>
      <c r="C279" t="s">
        <v>43</v>
      </c>
    </row>
    <row r="280" spans="1:3" x14ac:dyDescent="0.25">
      <c r="A280" t="s">
        <v>482</v>
      </c>
      <c r="B280" t="s">
        <v>25</v>
      </c>
      <c r="C280" t="s">
        <v>26</v>
      </c>
    </row>
    <row r="281" spans="1:3" x14ac:dyDescent="0.25">
      <c r="A281" t="s">
        <v>483</v>
      </c>
      <c r="B281" t="s">
        <v>25</v>
      </c>
      <c r="C281" t="s">
        <v>26</v>
      </c>
    </row>
    <row r="282" spans="1:3" x14ac:dyDescent="0.25">
      <c r="A282" t="s">
        <v>484</v>
      </c>
      <c r="B282" t="s">
        <v>42</v>
      </c>
      <c r="C282" t="s">
        <v>43</v>
      </c>
    </row>
    <row r="283" spans="1:3" x14ac:dyDescent="0.25">
      <c r="A283" t="s">
        <v>485</v>
      </c>
      <c r="B283" t="s">
        <v>42</v>
      </c>
      <c r="C283" t="s">
        <v>43</v>
      </c>
    </row>
    <row r="284" spans="1:3" x14ac:dyDescent="0.25">
      <c r="A284" t="s">
        <v>486</v>
      </c>
      <c r="B284" t="s">
        <v>42</v>
      </c>
      <c r="C284" t="s">
        <v>43</v>
      </c>
    </row>
    <row r="285" spans="1:3" x14ac:dyDescent="0.25">
      <c r="A285" t="s">
        <v>487</v>
      </c>
      <c r="B285" t="s">
        <v>42</v>
      </c>
      <c r="C285" t="s">
        <v>43</v>
      </c>
    </row>
    <row r="286" spans="1:3" x14ac:dyDescent="0.25">
      <c r="A286" t="s">
        <v>488</v>
      </c>
      <c r="B286" t="s">
        <v>18</v>
      </c>
      <c r="C286" t="s">
        <v>19</v>
      </c>
    </row>
    <row r="287" spans="1:3" x14ac:dyDescent="0.25">
      <c r="A287" t="s">
        <v>489</v>
      </c>
      <c r="B287" t="s">
        <v>18</v>
      </c>
      <c r="C287" t="s">
        <v>19</v>
      </c>
    </row>
    <row r="288" spans="1:3" x14ac:dyDescent="0.25">
      <c r="A288" t="s">
        <v>490</v>
      </c>
      <c r="B288" t="s">
        <v>18</v>
      </c>
      <c r="C288" t="s">
        <v>19</v>
      </c>
    </row>
    <row r="289" spans="1:3" x14ac:dyDescent="0.25">
      <c r="A289" t="s">
        <v>491</v>
      </c>
      <c r="B289" t="s">
        <v>42</v>
      </c>
      <c r="C289" t="s">
        <v>43</v>
      </c>
    </row>
    <row r="290" spans="1:3" x14ac:dyDescent="0.25">
      <c r="A290" t="s">
        <v>492</v>
      </c>
      <c r="B290" t="s">
        <v>42</v>
      </c>
      <c r="C290" t="s">
        <v>43</v>
      </c>
    </row>
    <row r="291" spans="1:3" x14ac:dyDescent="0.25">
      <c r="A291" t="s">
        <v>493</v>
      </c>
      <c r="B291" t="s">
        <v>42</v>
      </c>
      <c r="C291" t="s">
        <v>43</v>
      </c>
    </row>
    <row r="292" spans="1:3" x14ac:dyDescent="0.25">
      <c r="A292" t="s">
        <v>494</v>
      </c>
      <c r="B292" t="s">
        <v>25</v>
      </c>
      <c r="C292" t="s">
        <v>26</v>
      </c>
    </row>
    <row r="293" spans="1:3" x14ac:dyDescent="0.25">
      <c r="A293" t="s">
        <v>495</v>
      </c>
      <c r="B293" t="s">
        <v>25</v>
      </c>
      <c r="C293" t="s">
        <v>26</v>
      </c>
    </row>
    <row r="294" spans="1:3" x14ac:dyDescent="0.25">
      <c r="A294" t="s">
        <v>496</v>
      </c>
      <c r="B294" t="s">
        <v>25</v>
      </c>
      <c r="C294" t="s">
        <v>26</v>
      </c>
    </row>
    <row r="295" spans="1:3" x14ac:dyDescent="0.25">
      <c r="A295" t="s">
        <v>497</v>
      </c>
      <c r="B295" t="s">
        <v>42</v>
      </c>
      <c r="C295" t="s">
        <v>43</v>
      </c>
    </row>
    <row r="296" spans="1:3" x14ac:dyDescent="0.25">
      <c r="A296" t="s">
        <v>498</v>
      </c>
      <c r="B296" t="s">
        <v>25</v>
      </c>
      <c r="C296" t="s">
        <v>26</v>
      </c>
    </row>
    <row r="297" spans="1:3" x14ac:dyDescent="0.25">
      <c r="A297" t="s">
        <v>499</v>
      </c>
      <c r="B297" t="s">
        <v>25</v>
      </c>
      <c r="C297" t="s">
        <v>26</v>
      </c>
    </row>
    <row r="298" spans="1:3" x14ac:dyDescent="0.25">
      <c r="A298" t="s">
        <v>500</v>
      </c>
      <c r="B298" t="s">
        <v>18</v>
      </c>
      <c r="C298" t="s">
        <v>19</v>
      </c>
    </row>
    <row r="299" spans="1:3" x14ac:dyDescent="0.25">
      <c r="A299" t="s">
        <v>501</v>
      </c>
      <c r="B299" t="s">
        <v>25</v>
      </c>
      <c r="C299" t="s">
        <v>26</v>
      </c>
    </row>
    <row r="300" spans="1:3" x14ac:dyDescent="0.25">
      <c r="A300" t="s">
        <v>502</v>
      </c>
      <c r="B300" t="s">
        <v>25</v>
      </c>
      <c r="C300" t="s">
        <v>26</v>
      </c>
    </row>
    <row r="301" spans="1:3" x14ac:dyDescent="0.25">
      <c r="A301" t="s">
        <v>503</v>
      </c>
      <c r="B301" t="s">
        <v>42</v>
      </c>
      <c r="C301" t="s">
        <v>43</v>
      </c>
    </row>
    <row r="302" spans="1:3" x14ac:dyDescent="0.25">
      <c r="A302" t="s">
        <v>504</v>
      </c>
      <c r="B302" t="s">
        <v>25</v>
      </c>
      <c r="C302" t="s">
        <v>26</v>
      </c>
    </row>
    <row r="303" spans="1:3" x14ac:dyDescent="0.25">
      <c r="A303" t="s">
        <v>505</v>
      </c>
      <c r="B303" t="s">
        <v>25</v>
      </c>
      <c r="C303" t="s">
        <v>26</v>
      </c>
    </row>
    <row r="304" spans="1:3" x14ac:dyDescent="0.25">
      <c r="A304" t="s">
        <v>506</v>
      </c>
      <c r="B304" t="s">
        <v>25</v>
      </c>
      <c r="C304" t="s">
        <v>26</v>
      </c>
    </row>
    <row r="305" spans="1:3" x14ac:dyDescent="0.25">
      <c r="A305" t="s">
        <v>507</v>
      </c>
      <c r="B305" t="s">
        <v>18</v>
      </c>
      <c r="C305" t="s">
        <v>19</v>
      </c>
    </row>
    <row r="306" spans="1:3" x14ac:dyDescent="0.25">
      <c r="A306" t="s">
        <v>508</v>
      </c>
      <c r="B306" t="s">
        <v>18</v>
      </c>
      <c r="C306" t="s">
        <v>19</v>
      </c>
    </row>
    <row r="307" spans="1:3" x14ac:dyDescent="0.25">
      <c r="A307" t="s">
        <v>509</v>
      </c>
      <c r="B307" t="s">
        <v>42</v>
      </c>
      <c r="C307" t="s">
        <v>43</v>
      </c>
    </row>
    <row r="308" spans="1:3" x14ac:dyDescent="0.25">
      <c r="A308" t="s">
        <v>510</v>
      </c>
      <c r="B308" t="s">
        <v>18</v>
      </c>
      <c r="C308" t="s">
        <v>19</v>
      </c>
    </row>
    <row r="309" spans="1:3" x14ac:dyDescent="0.25">
      <c r="A309" t="s">
        <v>511</v>
      </c>
      <c r="B309" t="s">
        <v>18</v>
      </c>
      <c r="C309" t="s">
        <v>19</v>
      </c>
    </row>
    <row r="310" spans="1:3" x14ac:dyDescent="0.25">
      <c r="A310" t="s">
        <v>512</v>
      </c>
      <c r="B310" t="s">
        <v>18</v>
      </c>
      <c r="C310" t="s">
        <v>19</v>
      </c>
    </row>
    <row r="311" spans="1:3" x14ac:dyDescent="0.25">
      <c r="A311" t="s">
        <v>513</v>
      </c>
      <c r="B311" t="s">
        <v>25</v>
      </c>
      <c r="C311" t="s">
        <v>26</v>
      </c>
    </row>
    <row r="312" spans="1:3" x14ac:dyDescent="0.25">
      <c r="A312" t="s">
        <v>514</v>
      </c>
      <c r="B312" t="s">
        <v>42</v>
      </c>
      <c r="C312" t="s">
        <v>43</v>
      </c>
    </row>
    <row r="313" spans="1:3" x14ac:dyDescent="0.25">
      <c r="A313" t="s">
        <v>515</v>
      </c>
      <c r="B313" t="s">
        <v>18</v>
      </c>
      <c r="C313" t="s">
        <v>19</v>
      </c>
    </row>
    <row r="314" spans="1:3" x14ac:dyDescent="0.25">
      <c r="A314" t="s">
        <v>516</v>
      </c>
      <c r="B314" t="s">
        <v>25</v>
      </c>
      <c r="C314" t="s">
        <v>26</v>
      </c>
    </row>
    <row r="315" spans="1:3" x14ac:dyDescent="0.25">
      <c r="A315" t="s">
        <v>517</v>
      </c>
      <c r="B315" t="s">
        <v>25</v>
      </c>
      <c r="C315" t="s">
        <v>26</v>
      </c>
    </row>
    <row r="316" spans="1:3" x14ac:dyDescent="0.25">
      <c r="A316" t="s">
        <v>518</v>
      </c>
      <c r="B316" t="s">
        <v>18</v>
      </c>
      <c r="C316" t="s">
        <v>19</v>
      </c>
    </row>
    <row r="317" spans="1:3" x14ac:dyDescent="0.25">
      <c r="A317" t="s">
        <v>519</v>
      </c>
      <c r="B317" t="s">
        <v>42</v>
      </c>
      <c r="C317" t="s">
        <v>43</v>
      </c>
    </row>
    <row r="318" spans="1:3" x14ac:dyDescent="0.25">
      <c r="A318" t="s">
        <v>520</v>
      </c>
      <c r="B318" t="s">
        <v>25</v>
      </c>
      <c r="C318" t="s">
        <v>26</v>
      </c>
    </row>
    <row r="319" spans="1:3" x14ac:dyDescent="0.25">
      <c r="A319" t="s">
        <v>521</v>
      </c>
      <c r="B319" t="s">
        <v>42</v>
      </c>
      <c r="C319" t="s">
        <v>43</v>
      </c>
    </row>
    <row r="320" spans="1:3" x14ac:dyDescent="0.25">
      <c r="A320" t="s">
        <v>522</v>
      </c>
      <c r="B320" t="s">
        <v>42</v>
      </c>
      <c r="C320" t="s">
        <v>43</v>
      </c>
    </row>
    <row r="321" spans="1:3" x14ac:dyDescent="0.25">
      <c r="A321" t="s">
        <v>523</v>
      </c>
      <c r="B321" t="s">
        <v>18</v>
      </c>
      <c r="C321" t="s">
        <v>19</v>
      </c>
    </row>
    <row r="322" spans="1:3" x14ac:dyDescent="0.25">
      <c r="A322" t="s">
        <v>524</v>
      </c>
      <c r="B322" t="s">
        <v>25</v>
      </c>
      <c r="C322" t="s">
        <v>26</v>
      </c>
    </row>
    <row r="323" spans="1:3" x14ac:dyDescent="0.25">
      <c r="A323" t="s">
        <v>525</v>
      </c>
      <c r="B323" t="s">
        <v>42</v>
      </c>
      <c r="C323" t="s">
        <v>43</v>
      </c>
    </row>
    <row r="324" spans="1:3" x14ac:dyDescent="0.25">
      <c r="A324" t="s">
        <v>526</v>
      </c>
      <c r="B324" t="s">
        <v>42</v>
      </c>
      <c r="C324" t="s">
        <v>43</v>
      </c>
    </row>
    <row r="325" spans="1:3" x14ac:dyDescent="0.25">
      <c r="A325" t="s">
        <v>527</v>
      </c>
      <c r="B325" t="s">
        <v>18</v>
      </c>
      <c r="C325" t="s">
        <v>19</v>
      </c>
    </row>
    <row r="326" spans="1:3" x14ac:dyDescent="0.25">
      <c r="A326" t="s">
        <v>528</v>
      </c>
      <c r="B326" t="s">
        <v>42</v>
      </c>
      <c r="C326" t="s">
        <v>43</v>
      </c>
    </row>
    <row r="327" spans="1:3" x14ac:dyDescent="0.25">
      <c r="A327" t="s">
        <v>529</v>
      </c>
      <c r="B327" t="s">
        <v>25</v>
      </c>
      <c r="C327" t="s">
        <v>26</v>
      </c>
    </row>
    <row r="328" spans="1:3" x14ac:dyDescent="0.25">
      <c r="A328" t="s">
        <v>530</v>
      </c>
      <c r="B328" t="s">
        <v>42</v>
      </c>
      <c r="C328" t="s">
        <v>43</v>
      </c>
    </row>
    <row r="329" spans="1:3" x14ac:dyDescent="0.25">
      <c r="A329" t="s">
        <v>531</v>
      </c>
      <c r="B329" t="s">
        <v>42</v>
      </c>
      <c r="C329" t="s">
        <v>43</v>
      </c>
    </row>
    <row r="330" spans="1:3" x14ac:dyDescent="0.25">
      <c r="A330" t="s">
        <v>532</v>
      </c>
      <c r="B330" t="s">
        <v>25</v>
      </c>
      <c r="C330" t="s">
        <v>26</v>
      </c>
    </row>
    <row r="331" spans="1:3" x14ac:dyDescent="0.25">
      <c r="A331" t="s">
        <v>533</v>
      </c>
      <c r="B331" t="s">
        <v>25</v>
      </c>
      <c r="C331" t="s">
        <v>26</v>
      </c>
    </row>
    <row r="332" spans="1:3" x14ac:dyDescent="0.25">
      <c r="A332" t="s">
        <v>534</v>
      </c>
      <c r="B332" t="s">
        <v>42</v>
      </c>
      <c r="C332" t="s">
        <v>43</v>
      </c>
    </row>
    <row r="333" spans="1:3" x14ac:dyDescent="0.25">
      <c r="A333" t="s">
        <v>535</v>
      </c>
      <c r="B333" t="s">
        <v>18</v>
      </c>
      <c r="C333" t="s">
        <v>19</v>
      </c>
    </row>
    <row r="334" spans="1:3" x14ac:dyDescent="0.25">
      <c r="A334" t="s">
        <v>536</v>
      </c>
      <c r="B334" t="s">
        <v>42</v>
      </c>
      <c r="C334" t="s">
        <v>43</v>
      </c>
    </row>
    <row r="335" spans="1:3" x14ac:dyDescent="0.25">
      <c r="A335" t="s">
        <v>537</v>
      </c>
      <c r="B335" t="s">
        <v>25</v>
      </c>
      <c r="C335" t="s">
        <v>26</v>
      </c>
    </row>
    <row r="336" spans="1:3" x14ac:dyDescent="0.25">
      <c r="A336" t="s">
        <v>538</v>
      </c>
      <c r="B336" t="s">
        <v>25</v>
      </c>
      <c r="C336" t="s">
        <v>26</v>
      </c>
    </row>
    <row r="337" spans="1:3" x14ac:dyDescent="0.25">
      <c r="A337" t="s">
        <v>539</v>
      </c>
      <c r="B337" t="s">
        <v>42</v>
      </c>
      <c r="C337" t="s">
        <v>43</v>
      </c>
    </row>
    <row r="338" spans="1:3" x14ac:dyDescent="0.25">
      <c r="A338" t="s">
        <v>540</v>
      </c>
      <c r="B338" t="s">
        <v>42</v>
      </c>
      <c r="C338" t="s">
        <v>43</v>
      </c>
    </row>
    <row r="339" spans="1:3" x14ac:dyDescent="0.25">
      <c r="A339" t="s">
        <v>541</v>
      </c>
      <c r="B339" t="s">
        <v>18</v>
      </c>
      <c r="C339" t="s">
        <v>19</v>
      </c>
    </row>
    <row r="340" spans="1:3" x14ac:dyDescent="0.25">
      <c r="A340" t="s">
        <v>542</v>
      </c>
      <c r="B340" t="s">
        <v>42</v>
      </c>
      <c r="C340" t="s">
        <v>43</v>
      </c>
    </row>
    <row r="341" spans="1:3" x14ac:dyDescent="0.25">
      <c r="A341" t="s">
        <v>543</v>
      </c>
      <c r="B341" t="s">
        <v>42</v>
      </c>
      <c r="C341" t="s">
        <v>43</v>
      </c>
    </row>
    <row r="342" spans="1:3" x14ac:dyDescent="0.25">
      <c r="A342" t="s">
        <v>544</v>
      </c>
      <c r="B342" t="s">
        <v>42</v>
      </c>
      <c r="C342" t="s">
        <v>43</v>
      </c>
    </row>
    <row r="343" spans="1:3" x14ac:dyDescent="0.25">
      <c r="A343" t="s">
        <v>545</v>
      </c>
      <c r="B343" t="s">
        <v>25</v>
      </c>
      <c r="C343" t="s">
        <v>26</v>
      </c>
    </row>
    <row r="344" spans="1:3" x14ac:dyDescent="0.25">
      <c r="A344" t="s">
        <v>546</v>
      </c>
      <c r="B344" t="s">
        <v>42</v>
      </c>
      <c r="C344" t="s">
        <v>43</v>
      </c>
    </row>
    <row r="345" spans="1:3" x14ac:dyDescent="0.25">
      <c r="A345" t="s">
        <v>547</v>
      </c>
      <c r="B345" t="s">
        <v>18</v>
      </c>
      <c r="C345" t="s">
        <v>19</v>
      </c>
    </row>
    <row r="346" spans="1:3" x14ac:dyDescent="0.25">
      <c r="A346" t="s">
        <v>548</v>
      </c>
      <c r="B346" t="s">
        <v>18</v>
      </c>
      <c r="C346" t="s">
        <v>19</v>
      </c>
    </row>
    <row r="347" spans="1:3" x14ac:dyDescent="0.25">
      <c r="A347" t="s">
        <v>549</v>
      </c>
      <c r="B347" t="s">
        <v>18</v>
      </c>
      <c r="C347" t="s">
        <v>19</v>
      </c>
    </row>
    <row r="348" spans="1:3" x14ac:dyDescent="0.25">
      <c r="A348" t="s">
        <v>550</v>
      </c>
      <c r="B348" t="s">
        <v>25</v>
      </c>
      <c r="C348" t="s">
        <v>26</v>
      </c>
    </row>
    <row r="349" spans="1:3" x14ac:dyDescent="0.25">
      <c r="A349" t="s">
        <v>551</v>
      </c>
      <c r="B349" t="s">
        <v>25</v>
      </c>
      <c r="C349" t="s">
        <v>26</v>
      </c>
    </row>
    <row r="350" spans="1:3" x14ac:dyDescent="0.25">
      <c r="A350" t="s">
        <v>552</v>
      </c>
      <c r="B350" t="s">
        <v>42</v>
      </c>
      <c r="C350" t="s">
        <v>43</v>
      </c>
    </row>
    <row r="351" spans="1:3" x14ac:dyDescent="0.25">
      <c r="A351" t="s">
        <v>553</v>
      </c>
      <c r="B351" t="s">
        <v>25</v>
      </c>
      <c r="C351" t="s">
        <v>26</v>
      </c>
    </row>
    <row r="352" spans="1:3" x14ac:dyDescent="0.25">
      <c r="A352" t="s">
        <v>554</v>
      </c>
      <c r="B352" t="s">
        <v>18</v>
      </c>
      <c r="C352" t="s">
        <v>19</v>
      </c>
    </row>
    <row r="353" spans="1:3" x14ac:dyDescent="0.25">
      <c r="A353" t="s">
        <v>555</v>
      </c>
      <c r="B353" t="s">
        <v>25</v>
      </c>
      <c r="C353" t="s">
        <v>26</v>
      </c>
    </row>
    <row r="354" spans="1:3" x14ac:dyDescent="0.25">
      <c r="A354" t="s">
        <v>556</v>
      </c>
      <c r="B354" t="s">
        <v>42</v>
      </c>
      <c r="C354" t="s">
        <v>43</v>
      </c>
    </row>
    <row r="355" spans="1:3" x14ac:dyDescent="0.25">
      <c r="A355" t="s">
        <v>557</v>
      </c>
      <c r="B355" t="s">
        <v>25</v>
      </c>
      <c r="C355" t="s">
        <v>26</v>
      </c>
    </row>
    <row r="356" spans="1:3" x14ac:dyDescent="0.25">
      <c r="A356" t="s">
        <v>558</v>
      </c>
      <c r="B356" t="s">
        <v>18</v>
      </c>
      <c r="C356" t="s">
        <v>19</v>
      </c>
    </row>
    <row r="357" spans="1:3" x14ac:dyDescent="0.25">
      <c r="A357" t="s">
        <v>559</v>
      </c>
      <c r="B357" t="s">
        <v>25</v>
      </c>
      <c r="C357" t="s">
        <v>26</v>
      </c>
    </row>
    <row r="358" spans="1:3" x14ac:dyDescent="0.25">
      <c r="A358" t="s">
        <v>560</v>
      </c>
      <c r="B358" t="s">
        <v>18</v>
      </c>
      <c r="C358" t="s">
        <v>19</v>
      </c>
    </row>
    <row r="359" spans="1:3" x14ac:dyDescent="0.25">
      <c r="A359" t="s">
        <v>561</v>
      </c>
      <c r="B359" t="s">
        <v>18</v>
      </c>
      <c r="C359" t="s">
        <v>19</v>
      </c>
    </row>
    <row r="360" spans="1:3" x14ac:dyDescent="0.25">
      <c r="A360" t="s">
        <v>562</v>
      </c>
      <c r="B360" t="s">
        <v>42</v>
      </c>
      <c r="C360" t="s">
        <v>43</v>
      </c>
    </row>
    <row r="361" spans="1:3" x14ac:dyDescent="0.25">
      <c r="A361" t="s">
        <v>563</v>
      </c>
      <c r="B361" t="s">
        <v>42</v>
      </c>
      <c r="C361" t="s">
        <v>43</v>
      </c>
    </row>
    <row r="362" spans="1:3" x14ac:dyDescent="0.25">
      <c r="A362" t="s">
        <v>564</v>
      </c>
      <c r="B362" t="s">
        <v>42</v>
      </c>
      <c r="C362" t="s">
        <v>43</v>
      </c>
    </row>
    <row r="363" spans="1:3" x14ac:dyDescent="0.25">
      <c r="A363" t="s">
        <v>565</v>
      </c>
      <c r="B363" t="s">
        <v>18</v>
      </c>
      <c r="C363" t="s">
        <v>19</v>
      </c>
    </row>
    <row r="364" spans="1:3" x14ac:dyDescent="0.25">
      <c r="A364" t="s">
        <v>566</v>
      </c>
      <c r="B364" t="s">
        <v>18</v>
      </c>
      <c r="C364" t="s">
        <v>19</v>
      </c>
    </row>
    <row r="365" spans="1:3" x14ac:dyDescent="0.25">
      <c r="A365" t="s">
        <v>567</v>
      </c>
      <c r="B365" t="s">
        <v>18</v>
      </c>
      <c r="C365" t="s">
        <v>19</v>
      </c>
    </row>
    <row r="366" spans="1:3" x14ac:dyDescent="0.25">
      <c r="A366" t="s">
        <v>568</v>
      </c>
      <c r="B366" t="s">
        <v>42</v>
      </c>
      <c r="C366" t="s">
        <v>43</v>
      </c>
    </row>
    <row r="367" spans="1:3" x14ac:dyDescent="0.25">
      <c r="A367" t="s">
        <v>569</v>
      </c>
      <c r="B367" t="s">
        <v>25</v>
      </c>
      <c r="C367" t="s">
        <v>26</v>
      </c>
    </row>
    <row r="368" spans="1:3" x14ac:dyDescent="0.25">
      <c r="A368" t="s">
        <v>570</v>
      </c>
      <c r="B368" t="s">
        <v>18</v>
      </c>
      <c r="C368" t="s">
        <v>19</v>
      </c>
    </row>
    <row r="369" spans="1:3" x14ac:dyDescent="0.25">
      <c r="A369" t="s">
        <v>571</v>
      </c>
      <c r="B369" t="s">
        <v>25</v>
      </c>
      <c r="C369" t="s">
        <v>26</v>
      </c>
    </row>
    <row r="370" spans="1:3" x14ac:dyDescent="0.25">
      <c r="A370" t="s">
        <v>572</v>
      </c>
      <c r="B370" t="s">
        <v>42</v>
      </c>
      <c r="C370" t="s">
        <v>43</v>
      </c>
    </row>
    <row r="371" spans="1:3" x14ac:dyDescent="0.25">
      <c r="A371" t="s">
        <v>573</v>
      </c>
      <c r="B371" t="s">
        <v>18</v>
      </c>
      <c r="C371" t="s">
        <v>19</v>
      </c>
    </row>
    <row r="372" spans="1:3" x14ac:dyDescent="0.25">
      <c r="A372" t="s">
        <v>574</v>
      </c>
      <c r="B372" t="s">
        <v>18</v>
      </c>
      <c r="C372" t="s">
        <v>19</v>
      </c>
    </row>
    <row r="373" spans="1:3" x14ac:dyDescent="0.25">
      <c r="A373" t="s">
        <v>575</v>
      </c>
      <c r="B373" t="s">
        <v>25</v>
      </c>
      <c r="C373" t="s">
        <v>26</v>
      </c>
    </row>
    <row r="374" spans="1:3" x14ac:dyDescent="0.25">
      <c r="A374" t="s">
        <v>576</v>
      </c>
      <c r="B374" t="s">
        <v>18</v>
      </c>
      <c r="C374" t="s">
        <v>19</v>
      </c>
    </row>
    <row r="375" spans="1:3" x14ac:dyDescent="0.25">
      <c r="A375" t="s">
        <v>577</v>
      </c>
      <c r="B375" t="s">
        <v>25</v>
      </c>
      <c r="C375" t="s">
        <v>26</v>
      </c>
    </row>
    <row r="376" spans="1:3" x14ac:dyDescent="0.25">
      <c r="A376" t="s">
        <v>578</v>
      </c>
      <c r="B376" t="s">
        <v>42</v>
      </c>
      <c r="C376" t="s">
        <v>43</v>
      </c>
    </row>
    <row r="377" spans="1:3" x14ac:dyDescent="0.25">
      <c r="A377" t="s">
        <v>579</v>
      </c>
      <c r="B377" t="s">
        <v>25</v>
      </c>
      <c r="C377" t="s">
        <v>26</v>
      </c>
    </row>
    <row r="378" spans="1:3" x14ac:dyDescent="0.25">
      <c r="A378" t="s">
        <v>580</v>
      </c>
      <c r="B378" t="s">
        <v>42</v>
      </c>
      <c r="C378" t="s">
        <v>43</v>
      </c>
    </row>
    <row r="379" spans="1:3" x14ac:dyDescent="0.25">
      <c r="A379" t="s">
        <v>581</v>
      </c>
      <c r="B379" t="s">
        <v>42</v>
      </c>
      <c r="C379" t="s">
        <v>43</v>
      </c>
    </row>
    <row r="380" spans="1:3" x14ac:dyDescent="0.25">
      <c r="A380" t="s">
        <v>582</v>
      </c>
      <c r="B380" t="s">
        <v>18</v>
      </c>
      <c r="C380" t="s">
        <v>19</v>
      </c>
    </row>
    <row r="381" spans="1:3" x14ac:dyDescent="0.25">
      <c r="A381" t="s">
        <v>583</v>
      </c>
      <c r="B381" t="s">
        <v>18</v>
      </c>
      <c r="C381" t="s">
        <v>19</v>
      </c>
    </row>
    <row r="382" spans="1:3" x14ac:dyDescent="0.25">
      <c r="A382" t="s">
        <v>584</v>
      </c>
      <c r="B382" t="s">
        <v>42</v>
      </c>
      <c r="C382" t="s">
        <v>43</v>
      </c>
    </row>
    <row r="383" spans="1:3" x14ac:dyDescent="0.25">
      <c r="A383" t="s">
        <v>585</v>
      </c>
      <c r="B383" t="s">
        <v>18</v>
      </c>
      <c r="C383" t="s">
        <v>19</v>
      </c>
    </row>
    <row r="384" spans="1:3" x14ac:dyDescent="0.25">
      <c r="A384" t="s">
        <v>586</v>
      </c>
      <c r="B384" t="s">
        <v>42</v>
      </c>
      <c r="C384" t="s">
        <v>43</v>
      </c>
    </row>
    <row r="385" spans="1:3" x14ac:dyDescent="0.25">
      <c r="A385" t="s">
        <v>587</v>
      </c>
      <c r="B385" t="s">
        <v>42</v>
      </c>
      <c r="C385" t="s">
        <v>43</v>
      </c>
    </row>
    <row r="386" spans="1:3" x14ac:dyDescent="0.25">
      <c r="A386" t="s">
        <v>588</v>
      </c>
      <c r="B386" t="s">
        <v>42</v>
      </c>
      <c r="C386" t="s">
        <v>43</v>
      </c>
    </row>
    <row r="387" spans="1:3" x14ac:dyDescent="0.25">
      <c r="A387" t="s">
        <v>589</v>
      </c>
      <c r="B387" t="s">
        <v>25</v>
      </c>
      <c r="C387" t="s">
        <v>26</v>
      </c>
    </row>
    <row r="388" spans="1:3" x14ac:dyDescent="0.25">
      <c r="A388" t="s">
        <v>590</v>
      </c>
      <c r="B388" t="s">
        <v>18</v>
      </c>
      <c r="C388" t="s">
        <v>19</v>
      </c>
    </row>
    <row r="389" spans="1:3" x14ac:dyDescent="0.25">
      <c r="A389" t="s">
        <v>591</v>
      </c>
      <c r="B389" t="s">
        <v>42</v>
      </c>
      <c r="C389" t="s">
        <v>43</v>
      </c>
    </row>
    <row r="390" spans="1:3" x14ac:dyDescent="0.25">
      <c r="A390" t="s">
        <v>592</v>
      </c>
      <c r="B390" t="s">
        <v>42</v>
      </c>
      <c r="C390" t="s">
        <v>43</v>
      </c>
    </row>
    <row r="391" spans="1:3" x14ac:dyDescent="0.25">
      <c r="A391" t="s">
        <v>593</v>
      </c>
      <c r="B391" t="s">
        <v>25</v>
      </c>
      <c r="C391" t="s">
        <v>26</v>
      </c>
    </row>
    <row r="392" spans="1:3" x14ac:dyDescent="0.25">
      <c r="A392" t="s">
        <v>594</v>
      </c>
      <c r="B392" t="s">
        <v>18</v>
      </c>
      <c r="C392" t="s">
        <v>19</v>
      </c>
    </row>
    <row r="393" spans="1:3" x14ac:dyDescent="0.25">
      <c r="A393" t="s">
        <v>595</v>
      </c>
      <c r="B393" t="s">
        <v>18</v>
      </c>
      <c r="C393" t="s">
        <v>19</v>
      </c>
    </row>
    <row r="394" spans="1:3" x14ac:dyDescent="0.25">
      <c r="A394" t="s">
        <v>596</v>
      </c>
      <c r="B394" t="s">
        <v>42</v>
      </c>
      <c r="C394" t="s">
        <v>43</v>
      </c>
    </row>
    <row r="395" spans="1:3" x14ac:dyDescent="0.25">
      <c r="A395" t="s">
        <v>597</v>
      </c>
      <c r="B395" t="s">
        <v>25</v>
      </c>
      <c r="C395" t="s">
        <v>26</v>
      </c>
    </row>
    <row r="396" spans="1:3" x14ac:dyDescent="0.25">
      <c r="A396" t="s">
        <v>598</v>
      </c>
      <c r="B396" t="s">
        <v>42</v>
      </c>
      <c r="C396" t="s">
        <v>43</v>
      </c>
    </row>
    <row r="397" spans="1:3" x14ac:dyDescent="0.25">
      <c r="A397" t="s">
        <v>599</v>
      </c>
      <c r="B397" t="s">
        <v>18</v>
      </c>
      <c r="C397" t="s">
        <v>19</v>
      </c>
    </row>
    <row r="398" spans="1:3" x14ac:dyDescent="0.25">
      <c r="A398" t="s">
        <v>600</v>
      </c>
      <c r="B398" t="s">
        <v>42</v>
      </c>
      <c r="C398" t="s">
        <v>43</v>
      </c>
    </row>
    <row r="399" spans="1:3" x14ac:dyDescent="0.25">
      <c r="A399" t="s">
        <v>601</v>
      </c>
      <c r="B399" t="s">
        <v>18</v>
      </c>
      <c r="C399" t="s">
        <v>19</v>
      </c>
    </row>
    <row r="400" spans="1:3" x14ac:dyDescent="0.25">
      <c r="A400" t="s">
        <v>602</v>
      </c>
      <c r="B400" t="s">
        <v>25</v>
      </c>
      <c r="C400" t="s">
        <v>26</v>
      </c>
    </row>
    <row r="401" spans="1:3" x14ac:dyDescent="0.25">
      <c r="A401" t="s">
        <v>603</v>
      </c>
      <c r="B401" t="s">
        <v>18</v>
      </c>
      <c r="C401" t="s">
        <v>19</v>
      </c>
    </row>
    <row r="402" spans="1:3" x14ac:dyDescent="0.25">
      <c r="A402" t="s">
        <v>604</v>
      </c>
      <c r="B402" t="s">
        <v>42</v>
      </c>
      <c r="C402" t="s">
        <v>43</v>
      </c>
    </row>
    <row r="403" spans="1:3" x14ac:dyDescent="0.25">
      <c r="A403" t="s">
        <v>605</v>
      </c>
      <c r="B403" t="s">
        <v>25</v>
      </c>
      <c r="C403" t="s">
        <v>26</v>
      </c>
    </row>
    <row r="404" spans="1:3" x14ac:dyDescent="0.25">
      <c r="A404" t="s">
        <v>606</v>
      </c>
      <c r="B404" t="s">
        <v>42</v>
      </c>
      <c r="C404" t="s">
        <v>43</v>
      </c>
    </row>
    <row r="405" spans="1:3" x14ac:dyDescent="0.25">
      <c r="A405" t="s">
        <v>607</v>
      </c>
      <c r="B405" t="s">
        <v>42</v>
      </c>
      <c r="C405" t="s">
        <v>43</v>
      </c>
    </row>
    <row r="406" spans="1:3" x14ac:dyDescent="0.25">
      <c r="A406" t="s">
        <v>608</v>
      </c>
      <c r="B406" t="s">
        <v>18</v>
      </c>
      <c r="C406" t="s">
        <v>19</v>
      </c>
    </row>
    <row r="407" spans="1:3" x14ac:dyDescent="0.25">
      <c r="A407" t="s">
        <v>609</v>
      </c>
      <c r="B407" t="s">
        <v>42</v>
      </c>
      <c r="C407" t="s">
        <v>43</v>
      </c>
    </row>
    <row r="408" spans="1:3" x14ac:dyDescent="0.25">
      <c r="A408" t="s">
        <v>610</v>
      </c>
      <c r="B408" t="s">
        <v>18</v>
      </c>
      <c r="C408" t="s">
        <v>19</v>
      </c>
    </row>
    <row r="409" spans="1:3" x14ac:dyDescent="0.25">
      <c r="A409" t="s">
        <v>611</v>
      </c>
      <c r="B409" t="s">
        <v>42</v>
      </c>
      <c r="C409" t="s">
        <v>43</v>
      </c>
    </row>
    <row r="410" spans="1:3" x14ac:dyDescent="0.25">
      <c r="A410" t="s">
        <v>612</v>
      </c>
      <c r="B410" t="s">
        <v>42</v>
      </c>
      <c r="C410" t="s">
        <v>43</v>
      </c>
    </row>
    <row r="411" spans="1:3" x14ac:dyDescent="0.25">
      <c r="A411" t="s">
        <v>613</v>
      </c>
      <c r="B411" t="s">
        <v>25</v>
      </c>
      <c r="C411" t="s">
        <v>26</v>
      </c>
    </row>
    <row r="412" spans="1:3" x14ac:dyDescent="0.25">
      <c r="A412" t="s">
        <v>614</v>
      </c>
      <c r="B412" t="s">
        <v>18</v>
      </c>
      <c r="C412" t="s">
        <v>19</v>
      </c>
    </row>
    <row r="413" spans="1:3" x14ac:dyDescent="0.25">
      <c r="A413" t="s">
        <v>615</v>
      </c>
      <c r="B413" t="s">
        <v>42</v>
      </c>
      <c r="C413" t="s">
        <v>43</v>
      </c>
    </row>
    <row r="414" spans="1:3" x14ac:dyDescent="0.25">
      <c r="A414" t="s">
        <v>616</v>
      </c>
      <c r="B414" t="s">
        <v>25</v>
      </c>
      <c r="C414" t="s">
        <v>26</v>
      </c>
    </row>
    <row r="415" spans="1:3" x14ac:dyDescent="0.25">
      <c r="A415" t="s">
        <v>617</v>
      </c>
      <c r="B415" t="s">
        <v>18</v>
      </c>
      <c r="C415" t="s">
        <v>19</v>
      </c>
    </row>
    <row r="416" spans="1:3" x14ac:dyDescent="0.25">
      <c r="A416" t="s">
        <v>618</v>
      </c>
      <c r="B416" t="s">
        <v>25</v>
      </c>
      <c r="C416" t="s">
        <v>26</v>
      </c>
    </row>
    <row r="417" spans="1:3" x14ac:dyDescent="0.25">
      <c r="A417" t="s">
        <v>619</v>
      </c>
      <c r="B417" t="s">
        <v>42</v>
      </c>
      <c r="C417" t="s">
        <v>43</v>
      </c>
    </row>
    <row r="418" spans="1:3" x14ac:dyDescent="0.25">
      <c r="A418" t="s">
        <v>620</v>
      </c>
      <c r="B418" t="s">
        <v>42</v>
      </c>
      <c r="C418" t="s">
        <v>43</v>
      </c>
    </row>
    <row r="419" spans="1:3" x14ac:dyDescent="0.25">
      <c r="A419" t="s">
        <v>621</v>
      </c>
      <c r="B419" t="s">
        <v>18</v>
      </c>
      <c r="C419" t="s">
        <v>19</v>
      </c>
    </row>
    <row r="420" spans="1:3" x14ac:dyDescent="0.25">
      <c r="A420" t="s">
        <v>622</v>
      </c>
      <c r="B420" t="s">
        <v>18</v>
      </c>
      <c r="C420" t="s">
        <v>19</v>
      </c>
    </row>
    <row r="421" spans="1:3" x14ac:dyDescent="0.25">
      <c r="A421" t="s">
        <v>623</v>
      </c>
      <c r="B421" t="s">
        <v>18</v>
      </c>
      <c r="C421" t="s">
        <v>19</v>
      </c>
    </row>
    <row r="422" spans="1:3" x14ac:dyDescent="0.25">
      <c r="A422" t="s">
        <v>624</v>
      </c>
      <c r="B422" t="s">
        <v>25</v>
      </c>
      <c r="C422" t="s">
        <v>26</v>
      </c>
    </row>
    <row r="423" spans="1:3" x14ac:dyDescent="0.25">
      <c r="A423" t="s">
        <v>625</v>
      </c>
      <c r="B423" t="s">
        <v>18</v>
      </c>
      <c r="C423" t="s">
        <v>19</v>
      </c>
    </row>
    <row r="424" spans="1:3" x14ac:dyDescent="0.25">
      <c r="A424" t="s">
        <v>626</v>
      </c>
      <c r="B424" t="s">
        <v>25</v>
      </c>
      <c r="C424" t="s">
        <v>26</v>
      </c>
    </row>
    <row r="425" spans="1:3" x14ac:dyDescent="0.25">
      <c r="A425" t="s">
        <v>627</v>
      </c>
      <c r="B425" t="s">
        <v>25</v>
      </c>
      <c r="C425" t="s">
        <v>26</v>
      </c>
    </row>
    <row r="426" spans="1:3" x14ac:dyDescent="0.25">
      <c r="A426" t="s">
        <v>628</v>
      </c>
      <c r="B426" t="s">
        <v>18</v>
      </c>
      <c r="C426" t="s">
        <v>19</v>
      </c>
    </row>
    <row r="427" spans="1:3" x14ac:dyDescent="0.25">
      <c r="A427" t="s">
        <v>629</v>
      </c>
      <c r="B427" t="s">
        <v>18</v>
      </c>
      <c r="C427" t="s">
        <v>19</v>
      </c>
    </row>
    <row r="428" spans="1:3" x14ac:dyDescent="0.25">
      <c r="A428" t="s">
        <v>630</v>
      </c>
      <c r="B428" t="s">
        <v>42</v>
      </c>
      <c r="C428" t="s">
        <v>43</v>
      </c>
    </row>
    <row r="429" spans="1:3" x14ac:dyDescent="0.25">
      <c r="A429" t="s">
        <v>631</v>
      </c>
      <c r="B429" t="s">
        <v>42</v>
      </c>
      <c r="C429" t="s">
        <v>43</v>
      </c>
    </row>
    <row r="430" spans="1:3" x14ac:dyDescent="0.25">
      <c r="A430" t="s">
        <v>632</v>
      </c>
      <c r="B430" t="s">
        <v>18</v>
      </c>
      <c r="C430" t="s">
        <v>19</v>
      </c>
    </row>
    <row r="431" spans="1:3" x14ac:dyDescent="0.25">
      <c r="A431" t="s">
        <v>633</v>
      </c>
      <c r="B431" t="s">
        <v>25</v>
      </c>
      <c r="C431" t="s">
        <v>26</v>
      </c>
    </row>
    <row r="432" spans="1:3" x14ac:dyDescent="0.25">
      <c r="A432" t="s">
        <v>634</v>
      </c>
      <c r="B432" t="s">
        <v>25</v>
      </c>
      <c r="C432" t="s">
        <v>26</v>
      </c>
    </row>
    <row r="433" spans="1:3" x14ac:dyDescent="0.25">
      <c r="A433" t="s">
        <v>635</v>
      </c>
      <c r="B433" t="s">
        <v>18</v>
      </c>
      <c r="C433" t="s">
        <v>19</v>
      </c>
    </row>
    <row r="434" spans="1:3" x14ac:dyDescent="0.25">
      <c r="A434" t="s">
        <v>636</v>
      </c>
      <c r="B434" t="s">
        <v>25</v>
      </c>
      <c r="C434" t="s">
        <v>26</v>
      </c>
    </row>
    <row r="435" spans="1:3" x14ac:dyDescent="0.25">
      <c r="A435" t="s">
        <v>637</v>
      </c>
      <c r="B435" t="s">
        <v>25</v>
      </c>
      <c r="C435" t="s">
        <v>26</v>
      </c>
    </row>
    <row r="436" spans="1:3" x14ac:dyDescent="0.25">
      <c r="A436" t="s">
        <v>638</v>
      </c>
      <c r="B436" t="s">
        <v>25</v>
      </c>
      <c r="C436" t="s">
        <v>26</v>
      </c>
    </row>
    <row r="437" spans="1:3" x14ac:dyDescent="0.25">
      <c r="A437" t="s">
        <v>639</v>
      </c>
      <c r="B437" t="s">
        <v>42</v>
      </c>
      <c r="C437" t="s">
        <v>43</v>
      </c>
    </row>
    <row r="438" spans="1:3" x14ac:dyDescent="0.25">
      <c r="A438" t="s">
        <v>640</v>
      </c>
      <c r="B438" t="s">
        <v>25</v>
      </c>
      <c r="C438" t="s">
        <v>26</v>
      </c>
    </row>
    <row r="439" spans="1:3" x14ac:dyDescent="0.25">
      <c r="A439" t="s">
        <v>641</v>
      </c>
      <c r="B439" t="s">
        <v>42</v>
      </c>
      <c r="C439" t="s">
        <v>43</v>
      </c>
    </row>
    <row r="440" spans="1:3" x14ac:dyDescent="0.25">
      <c r="A440" t="s">
        <v>642</v>
      </c>
      <c r="B440" t="s">
        <v>18</v>
      </c>
      <c r="C440" t="s">
        <v>19</v>
      </c>
    </row>
    <row r="441" spans="1:3" x14ac:dyDescent="0.25">
      <c r="A441" t="s">
        <v>643</v>
      </c>
      <c r="B441" t="s">
        <v>25</v>
      </c>
      <c r="C441" t="s">
        <v>26</v>
      </c>
    </row>
    <row r="442" spans="1:3" x14ac:dyDescent="0.25">
      <c r="A442" t="s">
        <v>644</v>
      </c>
      <c r="B442" t="s">
        <v>18</v>
      </c>
      <c r="C442" t="s">
        <v>19</v>
      </c>
    </row>
    <row r="443" spans="1:3" x14ac:dyDescent="0.25">
      <c r="A443" t="s">
        <v>645</v>
      </c>
      <c r="B443" t="s">
        <v>42</v>
      </c>
      <c r="C443" t="s">
        <v>43</v>
      </c>
    </row>
    <row r="444" spans="1:3" x14ac:dyDescent="0.25">
      <c r="A444" t="s">
        <v>646</v>
      </c>
      <c r="B444" t="s">
        <v>18</v>
      </c>
      <c r="C444" t="s">
        <v>19</v>
      </c>
    </row>
    <row r="445" spans="1:3" x14ac:dyDescent="0.25">
      <c r="A445" t="s">
        <v>647</v>
      </c>
      <c r="B445" t="s">
        <v>25</v>
      </c>
      <c r="C445" t="s">
        <v>26</v>
      </c>
    </row>
    <row r="446" spans="1:3" x14ac:dyDescent="0.25">
      <c r="A446" t="s">
        <v>648</v>
      </c>
      <c r="B446" t="s">
        <v>42</v>
      </c>
      <c r="C446" t="s">
        <v>43</v>
      </c>
    </row>
    <row r="447" spans="1:3" x14ac:dyDescent="0.25">
      <c r="A447" t="s">
        <v>649</v>
      </c>
      <c r="B447" t="s">
        <v>25</v>
      </c>
      <c r="C447" t="s">
        <v>26</v>
      </c>
    </row>
    <row r="448" spans="1:3" x14ac:dyDescent="0.25">
      <c r="A448" t="s">
        <v>650</v>
      </c>
      <c r="B448" t="s">
        <v>18</v>
      </c>
      <c r="C448" t="s">
        <v>19</v>
      </c>
    </row>
    <row r="449" spans="1:3" x14ac:dyDescent="0.25">
      <c r="A449" t="s">
        <v>651</v>
      </c>
      <c r="B449" t="s">
        <v>18</v>
      </c>
      <c r="C449" t="s">
        <v>19</v>
      </c>
    </row>
    <row r="450" spans="1:3" x14ac:dyDescent="0.25">
      <c r="A450" t="s">
        <v>652</v>
      </c>
      <c r="B450" t="s">
        <v>42</v>
      </c>
      <c r="C450" t="s">
        <v>43</v>
      </c>
    </row>
    <row r="451" spans="1:3" x14ac:dyDescent="0.25">
      <c r="A451" t="s">
        <v>653</v>
      </c>
      <c r="B451" t="s">
        <v>25</v>
      </c>
      <c r="C451" t="s">
        <v>26</v>
      </c>
    </row>
    <row r="452" spans="1:3" x14ac:dyDescent="0.25">
      <c r="A452" t="s">
        <v>654</v>
      </c>
      <c r="B452" t="s">
        <v>18</v>
      </c>
      <c r="C452" t="s">
        <v>19</v>
      </c>
    </row>
    <row r="453" spans="1:3" x14ac:dyDescent="0.25">
      <c r="A453" t="s">
        <v>655</v>
      </c>
      <c r="B453" t="s">
        <v>25</v>
      </c>
      <c r="C453" t="s">
        <v>26</v>
      </c>
    </row>
    <row r="454" spans="1:3" x14ac:dyDescent="0.25">
      <c r="A454" t="s">
        <v>656</v>
      </c>
      <c r="B454" t="s">
        <v>18</v>
      </c>
      <c r="C454" t="s">
        <v>19</v>
      </c>
    </row>
    <row r="455" spans="1:3" x14ac:dyDescent="0.25">
      <c r="A455" t="s">
        <v>657</v>
      </c>
      <c r="B455" t="s">
        <v>18</v>
      </c>
      <c r="C455" t="s">
        <v>19</v>
      </c>
    </row>
    <row r="456" spans="1:3" x14ac:dyDescent="0.25">
      <c r="A456" t="s">
        <v>658</v>
      </c>
      <c r="B456" t="s">
        <v>42</v>
      </c>
      <c r="C456" t="s">
        <v>43</v>
      </c>
    </row>
    <row r="457" spans="1:3" x14ac:dyDescent="0.25">
      <c r="A457" t="s">
        <v>659</v>
      </c>
      <c r="B457" t="s">
        <v>42</v>
      </c>
      <c r="C457" t="s">
        <v>43</v>
      </c>
    </row>
    <row r="458" spans="1:3" x14ac:dyDescent="0.25">
      <c r="A458" t="s">
        <v>660</v>
      </c>
      <c r="B458" t="s">
        <v>42</v>
      </c>
      <c r="C458" t="s">
        <v>43</v>
      </c>
    </row>
    <row r="459" spans="1:3" x14ac:dyDescent="0.25">
      <c r="A459" t="s">
        <v>661</v>
      </c>
      <c r="B459" t="s">
        <v>42</v>
      </c>
      <c r="C459" t="s">
        <v>43</v>
      </c>
    </row>
    <row r="460" spans="1:3" x14ac:dyDescent="0.25">
      <c r="A460" t="s">
        <v>662</v>
      </c>
      <c r="B460" t="s">
        <v>18</v>
      </c>
      <c r="C460" t="s">
        <v>19</v>
      </c>
    </row>
    <row r="461" spans="1:3" x14ac:dyDescent="0.25">
      <c r="A461" t="s">
        <v>663</v>
      </c>
      <c r="B461" t="s">
        <v>42</v>
      </c>
      <c r="C461" t="s">
        <v>43</v>
      </c>
    </row>
    <row r="462" spans="1:3" x14ac:dyDescent="0.25">
      <c r="A462" t="s">
        <v>664</v>
      </c>
      <c r="B462" t="s">
        <v>18</v>
      </c>
      <c r="C462" t="s">
        <v>19</v>
      </c>
    </row>
    <row r="463" spans="1:3" x14ac:dyDescent="0.25">
      <c r="A463" t="s">
        <v>665</v>
      </c>
      <c r="B463" t="s">
        <v>18</v>
      </c>
      <c r="C463" t="s">
        <v>19</v>
      </c>
    </row>
    <row r="464" spans="1:3" x14ac:dyDescent="0.25">
      <c r="A464" t="s">
        <v>666</v>
      </c>
      <c r="B464" t="s">
        <v>18</v>
      </c>
      <c r="C464" t="s">
        <v>19</v>
      </c>
    </row>
    <row r="465" spans="1:3" x14ac:dyDescent="0.25">
      <c r="A465" t="s">
        <v>667</v>
      </c>
      <c r="B465" t="s">
        <v>18</v>
      </c>
      <c r="C465" t="s">
        <v>19</v>
      </c>
    </row>
    <row r="466" spans="1:3" x14ac:dyDescent="0.25">
      <c r="A466" t="s">
        <v>668</v>
      </c>
      <c r="B466" t="s">
        <v>18</v>
      </c>
      <c r="C466" t="s">
        <v>19</v>
      </c>
    </row>
    <row r="467" spans="1:3" x14ac:dyDescent="0.25">
      <c r="A467" t="s">
        <v>669</v>
      </c>
      <c r="B467" t="s">
        <v>42</v>
      </c>
      <c r="C467" t="s">
        <v>43</v>
      </c>
    </row>
    <row r="468" spans="1:3" x14ac:dyDescent="0.25">
      <c r="A468" t="s">
        <v>670</v>
      </c>
      <c r="B468" t="s">
        <v>42</v>
      </c>
      <c r="C468" t="s">
        <v>43</v>
      </c>
    </row>
    <row r="469" spans="1:3" x14ac:dyDescent="0.25">
      <c r="A469" t="s">
        <v>671</v>
      </c>
      <c r="B469" t="s">
        <v>42</v>
      </c>
      <c r="C469" t="s">
        <v>43</v>
      </c>
    </row>
    <row r="470" spans="1:3" x14ac:dyDescent="0.25">
      <c r="A470" t="s">
        <v>672</v>
      </c>
      <c r="B470" t="s">
        <v>18</v>
      </c>
      <c r="C470" t="s">
        <v>19</v>
      </c>
    </row>
    <row r="471" spans="1:3" x14ac:dyDescent="0.25">
      <c r="A471" t="s">
        <v>673</v>
      </c>
      <c r="B471" t="s">
        <v>25</v>
      </c>
      <c r="C471" t="s">
        <v>26</v>
      </c>
    </row>
    <row r="472" spans="1:3" x14ac:dyDescent="0.25">
      <c r="A472" t="s">
        <v>674</v>
      </c>
      <c r="B472" t="s">
        <v>42</v>
      </c>
      <c r="C472" t="s">
        <v>43</v>
      </c>
    </row>
    <row r="473" spans="1:3" x14ac:dyDescent="0.25">
      <c r="A473" t="s">
        <v>675</v>
      </c>
      <c r="B473" t="s">
        <v>42</v>
      </c>
      <c r="C473" t="s">
        <v>43</v>
      </c>
    </row>
    <row r="474" spans="1:3" x14ac:dyDescent="0.25">
      <c r="A474" t="s">
        <v>676</v>
      </c>
      <c r="B474" t="s">
        <v>42</v>
      </c>
      <c r="C474" t="s">
        <v>43</v>
      </c>
    </row>
    <row r="475" spans="1:3" x14ac:dyDescent="0.25">
      <c r="A475" t="s">
        <v>677</v>
      </c>
      <c r="B475" t="s">
        <v>25</v>
      </c>
      <c r="C475" t="s">
        <v>26</v>
      </c>
    </row>
    <row r="476" spans="1:3" x14ac:dyDescent="0.25">
      <c r="A476" t="s">
        <v>678</v>
      </c>
      <c r="B476" t="s">
        <v>42</v>
      </c>
      <c r="C476" t="s">
        <v>43</v>
      </c>
    </row>
    <row r="477" spans="1:3" x14ac:dyDescent="0.25">
      <c r="A477" t="s">
        <v>679</v>
      </c>
      <c r="B477" t="s">
        <v>25</v>
      </c>
      <c r="C477" t="s">
        <v>26</v>
      </c>
    </row>
    <row r="478" spans="1:3" x14ac:dyDescent="0.25">
      <c r="A478" t="s">
        <v>680</v>
      </c>
      <c r="B478" t="s">
        <v>25</v>
      </c>
      <c r="C478" t="s">
        <v>26</v>
      </c>
    </row>
    <row r="479" spans="1:3" x14ac:dyDescent="0.25">
      <c r="A479" t="s">
        <v>681</v>
      </c>
      <c r="B479" t="s">
        <v>18</v>
      </c>
      <c r="C479" t="s">
        <v>19</v>
      </c>
    </row>
    <row r="480" spans="1:3" x14ac:dyDescent="0.25">
      <c r="A480" t="s">
        <v>682</v>
      </c>
      <c r="B480" t="s">
        <v>25</v>
      </c>
      <c r="C480" t="s">
        <v>26</v>
      </c>
    </row>
    <row r="481" spans="1:3" x14ac:dyDescent="0.25">
      <c r="A481" t="s">
        <v>683</v>
      </c>
      <c r="B481" t="s">
        <v>42</v>
      </c>
      <c r="C481" t="s">
        <v>43</v>
      </c>
    </row>
    <row r="482" spans="1:3" x14ac:dyDescent="0.25">
      <c r="A482" t="s">
        <v>684</v>
      </c>
      <c r="B482" t="s">
        <v>25</v>
      </c>
      <c r="C482" t="s">
        <v>26</v>
      </c>
    </row>
    <row r="483" spans="1:3" x14ac:dyDescent="0.25">
      <c r="A483" t="s">
        <v>685</v>
      </c>
      <c r="B483" t="s">
        <v>25</v>
      </c>
      <c r="C483" t="s">
        <v>26</v>
      </c>
    </row>
    <row r="484" spans="1:3" x14ac:dyDescent="0.25">
      <c r="A484" t="s">
        <v>686</v>
      </c>
      <c r="B484" t="s">
        <v>42</v>
      </c>
      <c r="C484" t="s">
        <v>43</v>
      </c>
    </row>
    <row r="485" spans="1:3" x14ac:dyDescent="0.25">
      <c r="A485" t="s">
        <v>687</v>
      </c>
      <c r="B485" t="s">
        <v>42</v>
      </c>
      <c r="C485" t="s">
        <v>43</v>
      </c>
    </row>
    <row r="486" spans="1:3" x14ac:dyDescent="0.25">
      <c r="A486" t="s">
        <v>688</v>
      </c>
      <c r="B486" t="s">
        <v>18</v>
      </c>
      <c r="C486" t="s">
        <v>19</v>
      </c>
    </row>
    <row r="487" spans="1:3" x14ac:dyDescent="0.25">
      <c r="A487" t="s">
        <v>689</v>
      </c>
      <c r="B487" t="s">
        <v>42</v>
      </c>
      <c r="C487" t="s">
        <v>43</v>
      </c>
    </row>
    <row r="488" spans="1:3" x14ac:dyDescent="0.25">
      <c r="A488" t="s">
        <v>690</v>
      </c>
      <c r="B488" t="s">
        <v>42</v>
      </c>
      <c r="C488" t="s">
        <v>43</v>
      </c>
    </row>
    <row r="489" spans="1:3" x14ac:dyDescent="0.25">
      <c r="A489" t="s">
        <v>691</v>
      </c>
      <c r="B489" t="s">
        <v>18</v>
      </c>
      <c r="C489" t="s">
        <v>19</v>
      </c>
    </row>
    <row r="490" spans="1:3" x14ac:dyDescent="0.25">
      <c r="A490" t="s">
        <v>692</v>
      </c>
      <c r="B490" t="s">
        <v>25</v>
      </c>
      <c r="C490" t="s">
        <v>26</v>
      </c>
    </row>
    <row r="491" spans="1:3" x14ac:dyDescent="0.25">
      <c r="A491" t="s">
        <v>693</v>
      </c>
      <c r="B491" t="s">
        <v>18</v>
      </c>
      <c r="C491" t="s">
        <v>19</v>
      </c>
    </row>
    <row r="492" spans="1:3" x14ac:dyDescent="0.25">
      <c r="A492" t="s">
        <v>694</v>
      </c>
      <c r="B492" t="s">
        <v>18</v>
      </c>
      <c r="C492" t="s">
        <v>19</v>
      </c>
    </row>
    <row r="493" spans="1:3" x14ac:dyDescent="0.25">
      <c r="A493" t="s">
        <v>695</v>
      </c>
      <c r="B493" t="s">
        <v>18</v>
      </c>
      <c r="C493" t="s">
        <v>19</v>
      </c>
    </row>
    <row r="494" spans="1:3" x14ac:dyDescent="0.25">
      <c r="A494" t="s">
        <v>696</v>
      </c>
      <c r="B494" t="s">
        <v>42</v>
      </c>
      <c r="C494" t="s">
        <v>43</v>
      </c>
    </row>
    <row r="495" spans="1:3" x14ac:dyDescent="0.25">
      <c r="A495" t="s">
        <v>697</v>
      </c>
      <c r="B495" t="s">
        <v>25</v>
      </c>
      <c r="C495" t="s">
        <v>26</v>
      </c>
    </row>
    <row r="496" spans="1:3" x14ac:dyDescent="0.25">
      <c r="A496" t="s">
        <v>698</v>
      </c>
      <c r="B496" t="s">
        <v>42</v>
      </c>
      <c r="C496" t="s">
        <v>43</v>
      </c>
    </row>
    <row r="497" spans="1:3" x14ac:dyDescent="0.25">
      <c r="A497" t="s">
        <v>699</v>
      </c>
      <c r="B497" t="s">
        <v>25</v>
      </c>
      <c r="C497" t="s">
        <v>26</v>
      </c>
    </row>
    <row r="498" spans="1:3" x14ac:dyDescent="0.25">
      <c r="A498" t="s">
        <v>700</v>
      </c>
      <c r="B498" t="s">
        <v>25</v>
      </c>
      <c r="C498" t="s">
        <v>26</v>
      </c>
    </row>
    <row r="499" spans="1:3" x14ac:dyDescent="0.25">
      <c r="A499" t="s">
        <v>701</v>
      </c>
      <c r="B499" t="s">
        <v>18</v>
      </c>
      <c r="C499" t="s">
        <v>19</v>
      </c>
    </row>
    <row r="500" spans="1:3" x14ac:dyDescent="0.25">
      <c r="A500" t="s">
        <v>702</v>
      </c>
      <c r="B500" t="s">
        <v>42</v>
      </c>
      <c r="C500" t="s">
        <v>43</v>
      </c>
    </row>
    <row r="501" spans="1:3" x14ac:dyDescent="0.25">
      <c r="A501" t="s">
        <v>703</v>
      </c>
      <c r="B501" t="s">
        <v>42</v>
      </c>
      <c r="C501" t="s">
        <v>43</v>
      </c>
    </row>
    <row r="502" spans="1:3" x14ac:dyDescent="0.25">
      <c r="A502" t="s">
        <v>704</v>
      </c>
      <c r="B502" t="s">
        <v>25</v>
      </c>
      <c r="C502" t="s">
        <v>26</v>
      </c>
    </row>
    <row r="503" spans="1:3" x14ac:dyDescent="0.25">
      <c r="A503" t="s">
        <v>705</v>
      </c>
      <c r="B503" t="s">
        <v>42</v>
      </c>
      <c r="C503" t="s">
        <v>43</v>
      </c>
    </row>
    <row r="504" spans="1:3" x14ac:dyDescent="0.25">
      <c r="A504" t="s">
        <v>706</v>
      </c>
      <c r="B504" t="s">
        <v>18</v>
      </c>
      <c r="C504" t="s">
        <v>19</v>
      </c>
    </row>
    <row r="505" spans="1:3" x14ac:dyDescent="0.25">
      <c r="A505" t="s">
        <v>707</v>
      </c>
      <c r="B505" t="s">
        <v>42</v>
      </c>
      <c r="C505" t="s">
        <v>43</v>
      </c>
    </row>
    <row r="506" spans="1:3" x14ac:dyDescent="0.25">
      <c r="A506" t="s">
        <v>708</v>
      </c>
      <c r="B506" t="s">
        <v>42</v>
      </c>
      <c r="C506" t="s">
        <v>43</v>
      </c>
    </row>
    <row r="507" spans="1:3" x14ac:dyDescent="0.25">
      <c r="A507" t="s">
        <v>709</v>
      </c>
      <c r="B507" t="s">
        <v>25</v>
      </c>
      <c r="C507" t="s">
        <v>26</v>
      </c>
    </row>
    <row r="508" spans="1:3" x14ac:dyDescent="0.25">
      <c r="A508" t="s">
        <v>710</v>
      </c>
      <c r="B508" t="s">
        <v>18</v>
      </c>
      <c r="C508" t="s">
        <v>19</v>
      </c>
    </row>
    <row r="509" spans="1:3" x14ac:dyDescent="0.25">
      <c r="A509" t="s">
        <v>711</v>
      </c>
      <c r="B509" t="s">
        <v>42</v>
      </c>
      <c r="C509" t="s">
        <v>43</v>
      </c>
    </row>
    <row r="510" spans="1:3" x14ac:dyDescent="0.25">
      <c r="A510" t="s">
        <v>712</v>
      </c>
      <c r="B510" t="s">
        <v>42</v>
      </c>
      <c r="C510" t="s">
        <v>43</v>
      </c>
    </row>
    <row r="511" spans="1:3" x14ac:dyDescent="0.25">
      <c r="A511" t="s">
        <v>713</v>
      </c>
      <c r="B511" t="s">
        <v>18</v>
      </c>
      <c r="C511" t="s">
        <v>19</v>
      </c>
    </row>
    <row r="512" spans="1:3" x14ac:dyDescent="0.25">
      <c r="A512" t="s">
        <v>714</v>
      </c>
      <c r="B512" t="s">
        <v>25</v>
      </c>
      <c r="C512" t="s">
        <v>26</v>
      </c>
    </row>
    <row r="513" spans="1:3" x14ac:dyDescent="0.25">
      <c r="A513" t="s">
        <v>715</v>
      </c>
      <c r="B513" t="s">
        <v>18</v>
      </c>
      <c r="C513" t="s">
        <v>19</v>
      </c>
    </row>
    <row r="514" spans="1:3" x14ac:dyDescent="0.25">
      <c r="A514" t="s">
        <v>716</v>
      </c>
      <c r="B514" t="s">
        <v>42</v>
      </c>
      <c r="C514" t="s">
        <v>43</v>
      </c>
    </row>
    <row r="515" spans="1:3" x14ac:dyDescent="0.25">
      <c r="A515" t="s">
        <v>717</v>
      </c>
      <c r="B515" t="s">
        <v>42</v>
      </c>
      <c r="C515" t="s">
        <v>43</v>
      </c>
    </row>
    <row r="516" spans="1:3" x14ac:dyDescent="0.25">
      <c r="A516" t="s">
        <v>718</v>
      </c>
      <c r="B516" t="s">
        <v>25</v>
      </c>
      <c r="C516" t="s">
        <v>26</v>
      </c>
    </row>
    <row r="517" spans="1:3" x14ac:dyDescent="0.25">
      <c r="A517" t="s">
        <v>719</v>
      </c>
      <c r="B517" t="s">
        <v>18</v>
      </c>
      <c r="C517" t="s">
        <v>19</v>
      </c>
    </row>
    <row r="518" spans="1:3" x14ac:dyDescent="0.25">
      <c r="A518" t="s">
        <v>720</v>
      </c>
      <c r="B518" t="s">
        <v>42</v>
      </c>
      <c r="C518" t="s">
        <v>43</v>
      </c>
    </row>
    <row r="519" spans="1:3" x14ac:dyDescent="0.25">
      <c r="A519" t="s">
        <v>721</v>
      </c>
      <c r="B519" t="s">
        <v>42</v>
      </c>
      <c r="C519" t="s">
        <v>43</v>
      </c>
    </row>
    <row r="520" spans="1:3" x14ac:dyDescent="0.25">
      <c r="A520" t="s">
        <v>722</v>
      </c>
      <c r="B520" t="s">
        <v>42</v>
      </c>
      <c r="C520" t="s">
        <v>43</v>
      </c>
    </row>
    <row r="521" spans="1:3" x14ac:dyDescent="0.25">
      <c r="A521" t="s">
        <v>723</v>
      </c>
      <c r="B521" t="s">
        <v>18</v>
      </c>
      <c r="C521" t="s">
        <v>19</v>
      </c>
    </row>
    <row r="522" spans="1:3" x14ac:dyDescent="0.25">
      <c r="A522" t="s">
        <v>724</v>
      </c>
      <c r="B522" t="s">
        <v>25</v>
      </c>
      <c r="C522" t="s">
        <v>26</v>
      </c>
    </row>
    <row r="523" spans="1:3" x14ac:dyDescent="0.25">
      <c r="A523" t="s">
        <v>725</v>
      </c>
      <c r="B523" t="s">
        <v>18</v>
      </c>
      <c r="C523" t="s">
        <v>19</v>
      </c>
    </row>
    <row r="524" spans="1:3" x14ac:dyDescent="0.25">
      <c r="A524" t="s">
        <v>726</v>
      </c>
      <c r="B524" t="s">
        <v>25</v>
      </c>
      <c r="C524" t="s">
        <v>26</v>
      </c>
    </row>
    <row r="525" spans="1:3" x14ac:dyDescent="0.25">
      <c r="A525" t="s">
        <v>727</v>
      </c>
      <c r="B525" t="s">
        <v>25</v>
      </c>
      <c r="C525" t="s">
        <v>26</v>
      </c>
    </row>
    <row r="526" spans="1:3" x14ac:dyDescent="0.25">
      <c r="A526" t="s">
        <v>728</v>
      </c>
      <c r="B526" t="s">
        <v>18</v>
      </c>
      <c r="C526" t="s">
        <v>19</v>
      </c>
    </row>
    <row r="527" spans="1:3" x14ac:dyDescent="0.25">
      <c r="A527" t="s">
        <v>729</v>
      </c>
      <c r="B527" t="s">
        <v>25</v>
      </c>
      <c r="C527" t="s">
        <v>26</v>
      </c>
    </row>
    <row r="528" spans="1:3" x14ac:dyDescent="0.25">
      <c r="A528" t="s">
        <v>730</v>
      </c>
      <c r="B528" t="s">
        <v>25</v>
      </c>
      <c r="C528" t="s">
        <v>26</v>
      </c>
    </row>
    <row r="529" spans="1:3" x14ac:dyDescent="0.25">
      <c r="A529" t="s">
        <v>731</v>
      </c>
      <c r="B529" t="s">
        <v>18</v>
      </c>
      <c r="C529" t="s">
        <v>19</v>
      </c>
    </row>
    <row r="530" spans="1:3" x14ac:dyDescent="0.25">
      <c r="A530" t="s">
        <v>732</v>
      </c>
      <c r="B530" t="s">
        <v>18</v>
      </c>
      <c r="C530" t="s">
        <v>19</v>
      </c>
    </row>
    <row r="531" spans="1:3" x14ac:dyDescent="0.25">
      <c r="A531" t="s">
        <v>733</v>
      </c>
      <c r="B531" t="s">
        <v>42</v>
      </c>
      <c r="C531" t="s">
        <v>43</v>
      </c>
    </row>
    <row r="532" spans="1:3" x14ac:dyDescent="0.25">
      <c r="A532" t="s">
        <v>734</v>
      </c>
      <c r="B532" t="s">
        <v>18</v>
      </c>
      <c r="C532" t="s">
        <v>19</v>
      </c>
    </row>
    <row r="533" spans="1:3" x14ac:dyDescent="0.25">
      <c r="A533" t="s">
        <v>735</v>
      </c>
      <c r="B533" t="s">
        <v>25</v>
      </c>
      <c r="C533" t="s">
        <v>26</v>
      </c>
    </row>
    <row r="534" spans="1:3" x14ac:dyDescent="0.25">
      <c r="A534" t="s">
        <v>736</v>
      </c>
      <c r="B534" t="s">
        <v>25</v>
      </c>
      <c r="C534" t="s">
        <v>26</v>
      </c>
    </row>
    <row r="535" spans="1:3" x14ac:dyDescent="0.25">
      <c r="A535" t="s">
        <v>737</v>
      </c>
      <c r="B535" t="s">
        <v>42</v>
      </c>
      <c r="C535" t="s">
        <v>43</v>
      </c>
    </row>
    <row r="536" spans="1:3" x14ac:dyDescent="0.25">
      <c r="A536" t="s">
        <v>738</v>
      </c>
      <c r="B536" t="s">
        <v>42</v>
      </c>
      <c r="C536" t="s">
        <v>43</v>
      </c>
    </row>
    <row r="537" spans="1:3" x14ac:dyDescent="0.25">
      <c r="A537" t="s">
        <v>739</v>
      </c>
      <c r="B537" t="s">
        <v>42</v>
      </c>
      <c r="C537" t="s">
        <v>43</v>
      </c>
    </row>
    <row r="538" spans="1:3" x14ac:dyDescent="0.25">
      <c r="A538" t="s">
        <v>740</v>
      </c>
      <c r="B538" t="s">
        <v>42</v>
      </c>
      <c r="C538" t="s">
        <v>43</v>
      </c>
    </row>
    <row r="539" spans="1:3" x14ac:dyDescent="0.25">
      <c r="A539" t="s">
        <v>741</v>
      </c>
      <c r="B539" t="s">
        <v>42</v>
      </c>
      <c r="C539" t="s">
        <v>43</v>
      </c>
    </row>
    <row r="540" spans="1:3" x14ac:dyDescent="0.25">
      <c r="A540" t="s">
        <v>742</v>
      </c>
      <c r="B540" t="s">
        <v>42</v>
      </c>
      <c r="C540" t="s">
        <v>43</v>
      </c>
    </row>
    <row r="541" spans="1:3" x14ac:dyDescent="0.25">
      <c r="A541" t="s">
        <v>743</v>
      </c>
      <c r="B541" t="s">
        <v>25</v>
      </c>
      <c r="C541" t="s">
        <v>26</v>
      </c>
    </row>
    <row r="542" spans="1:3" x14ac:dyDescent="0.25">
      <c r="A542" t="s">
        <v>744</v>
      </c>
      <c r="B542" t="s">
        <v>25</v>
      </c>
      <c r="C542" t="s">
        <v>26</v>
      </c>
    </row>
    <row r="543" spans="1:3" x14ac:dyDescent="0.25">
      <c r="A543" t="s">
        <v>745</v>
      </c>
      <c r="B543" t="s">
        <v>18</v>
      </c>
      <c r="C543" t="s">
        <v>19</v>
      </c>
    </row>
    <row r="544" spans="1:3" x14ac:dyDescent="0.25">
      <c r="A544" t="s">
        <v>746</v>
      </c>
      <c r="B544" t="s">
        <v>18</v>
      </c>
      <c r="C544" t="s">
        <v>19</v>
      </c>
    </row>
    <row r="545" spans="1:3" x14ac:dyDescent="0.25">
      <c r="A545" t="s">
        <v>747</v>
      </c>
      <c r="B545" t="s">
        <v>25</v>
      </c>
      <c r="C545" t="s">
        <v>26</v>
      </c>
    </row>
    <row r="546" spans="1:3" x14ac:dyDescent="0.25">
      <c r="A546" t="s">
        <v>748</v>
      </c>
      <c r="B546" t="s">
        <v>25</v>
      </c>
      <c r="C546" t="s">
        <v>26</v>
      </c>
    </row>
    <row r="547" spans="1:3" x14ac:dyDescent="0.25">
      <c r="A547" t="s">
        <v>749</v>
      </c>
      <c r="B547" t="s">
        <v>25</v>
      </c>
      <c r="C547" t="s">
        <v>26</v>
      </c>
    </row>
    <row r="548" spans="1:3" x14ac:dyDescent="0.25">
      <c r="A548" t="s">
        <v>750</v>
      </c>
      <c r="B548" t="s">
        <v>25</v>
      </c>
      <c r="C548" t="s">
        <v>26</v>
      </c>
    </row>
    <row r="549" spans="1:3" x14ac:dyDescent="0.25">
      <c r="A549" t="s">
        <v>751</v>
      </c>
      <c r="B549" t="s">
        <v>18</v>
      </c>
      <c r="C549" t="s">
        <v>19</v>
      </c>
    </row>
    <row r="550" spans="1:3" x14ac:dyDescent="0.25">
      <c r="A550" t="s">
        <v>752</v>
      </c>
      <c r="B550" t="s">
        <v>18</v>
      </c>
      <c r="C550" t="s">
        <v>19</v>
      </c>
    </row>
    <row r="551" spans="1:3" x14ac:dyDescent="0.25">
      <c r="A551" t="s">
        <v>753</v>
      </c>
      <c r="B551" t="s">
        <v>18</v>
      </c>
      <c r="C551" t="s">
        <v>19</v>
      </c>
    </row>
    <row r="552" spans="1:3" x14ac:dyDescent="0.25">
      <c r="A552" t="s">
        <v>754</v>
      </c>
      <c r="B552" t="s">
        <v>18</v>
      </c>
      <c r="C552" t="s">
        <v>19</v>
      </c>
    </row>
    <row r="553" spans="1:3" x14ac:dyDescent="0.25">
      <c r="A553" t="s">
        <v>755</v>
      </c>
      <c r="B553" t="s">
        <v>42</v>
      </c>
      <c r="C553" t="s">
        <v>43</v>
      </c>
    </row>
    <row r="554" spans="1:3" x14ac:dyDescent="0.25">
      <c r="A554" t="s">
        <v>756</v>
      </c>
      <c r="B554" t="s">
        <v>42</v>
      </c>
      <c r="C554" t="s">
        <v>43</v>
      </c>
    </row>
    <row r="555" spans="1:3" x14ac:dyDescent="0.25">
      <c r="A555" t="s">
        <v>757</v>
      </c>
      <c r="B555" t="s">
        <v>25</v>
      </c>
      <c r="C555" t="s">
        <v>26</v>
      </c>
    </row>
    <row r="556" spans="1:3" x14ac:dyDescent="0.25">
      <c r="A556" t="s">
        <v>758</v>
      </c>
      <c r="B556" t="s">
        <v>42</v>
      </c>
      <c r="C556" t="s">
        <v>43</v>
      </c>
    </row>
    <row r="557" spans="1:3" x14ac:dyDescent="0.25">
      <c r="A557" t="s">
        <v>759</v>
      </c>
      <c r="B557" t="s">
        <v>25</v>
      </c>
      <c r="C557" t="s">
        <v>26</v>
      </c>
    </row>
    <row r="558" spans="1:3" x14ac:dyDescent="0.25">
      <c r="A558" t="s">
        <v>760</v>
      </c>
      <c r="B558" t="s">
        <v>42</v>
      </c>
      <c r="C558" t="s">
        <v>43</v>
      </c>
    </row>
    <row r="559" spans="1:3" x14ac:dyDescent="0.25">
      <c r="A559" t="s">
        <v>761</v>
      </c>
      <c r="B559" t="s">
        <v>25</v>
      </c>
      <c r="C559" t="s">
        <v>26</v>
      </c>
    </row>
    <row r="560" spans="1:3" x14ac:dyDescent="0.25">
      <c r="A560" t="s">
        <v>762</v>
      </c>
      <c r="B560" t="s">
        <v>25</v>
      </c>
      <c r="C560" t="s">
        <v>26</v>
      </c>
    </row>
    <row r="561" spans="1:3" x14ac:dyDescent="0.25">
      <c r="A561" t="s">
        <v>763</v>
      </c>
      <c r="B561" t="s">
        <v>42</v>
      </c>
      <c r="C561" t="s">
        <v>43</v>
      </c>
    </row>
    <row r="562" spans="1:3" x14ac:dyDescent="0.25">
      <c r="A562" t="s">
        <v>764</v>
      </c>
      <c r="B562" t="s">
        <v>25</v>
      </c>
      <c r="C562" t="s">
        <v>26</v>
      </c>
    </row>
    <row r="563" spans="1:3" x14ac:dyDescent="0.25">
      <c r="A563" t="s">
        <v>765</v>
      </c>
      <c r="B563" t="s">
        <v>42</v>
      </c>
      <c r="C563" t="s">
        <v>43</v>
      </c>
    </row>
    <row r="564" spans="1:3" x14ac:dyDescent="0.25">
      <c r="A564" t="s">
        <v>766</v>
      </c>
      <c r="B564" t="s">
        <v>18</v>
      </c>
      <c r="C564" t="s">
        <v>19</v>
      </c>
    </row>
    <row r="565" spans="1:3" x14ac:dyDescent="0.25">
      <c r="A565" t="s">
        <v>767</v>
      </c>
      <c r="B565" t="s">
        <v>18</v>
      </c>
      <c r="C565" t="s">
        <v>19</v>
      </c>
    </row>
    <row r="566" spans="1:3" x14ac:dyDescent="0.25">
      <c r="A566" t="s">
        <v>768</v>
      </c>
      <c r="B566" t="s">
        <v>18</v>
      </c>
      <c r="C566" t="s">
        <v>19</v>
      </c>
    </row>
    <row r="567" spans="1:3" x14ac:dyDescent="0.25">
      <c r="A567" t="s">
        <v>769</v>
      </c>
      <c r="B567" t="s">
        <v>42</v>
      </c>
      <c r="C567" t="s">
        <v>43</v>
      </c>
    </row>
    <row r="568" spans="1:3" x14ac:dyDescent="0.25">
      <c r="A568" t="s">
        <v>770</v>
      </c>
      <c r="B568" t="s">
        <v>42</v>
      </c>
      <c r="C568" t="s">
        <v>43</v>
      </c>
    </row>
    <row r="569" spans="1:3" x14ac:dyDescent="0.25">
      <c r="A569" t="s">
        <v>771</v>
      </c>
      <c r="B569" t="s">
        <v>25</v>
      </c>
      <c r="C569" t="s">
        <v>26</v>
      </c>
    </row>
    <row r="570" spans="1:3" x14ac:dyDescent="0.25">
      <c r="A570" t="s">
        <v>772</v>
      </c>
      <c r="B570" t="s">
        <v>25</v>
      </c>
      <c r="C570" t="s">
        <v>26</v>
      </c>
    </row>
    <row r="571" spans="1:3" x14ac:dyDescent="0.25">
      <c r="A571" t="s">
        <v>773</v>
      </c>
      <c r="B571" t="s">
        <v>25</v>
      </c>
      <c r="C571" t="s">
        <v>26</v>
      </c>
    </row>
    <row r="572" spans="1:3" x14ac:dyDescent="0.25">
      <c r="A572" t="s">
        <v>774</v>
      </c>
      <c r="B572" t="s">
        <v>42</v>
      </c>
      <c r="C572" t="s">
        <v>43</v>
      </c>
    </row>
    <row r="573" spans="1:3" x14ac:dyDescent="0.25">
      <c r="A573" t="s">
        <v>775</v>
      </c>
      <c r="B573" t="s">
        <v>18</v>
      </c>
      <c r="C573" t="s">
        <v>19</v>
      </c>
    </row>
    <row r="574" spans="1:3" x14ac:dyDescent="0.25">
      <c r="A574" t="s">
        <v>776</v>
      </c>
      <c r="B574" t="s">
        <v>25</v>
      </c>
      <c r="C574" t="s">
        <v>26</v>
      </c>
    </row>
    <row r="575" spans="1:3" x14ac:dyDescent="0.25">
      <c r="A575" t="s">
        <v>777</v>
      </c>
      <c r="B575" t="s">
        <v>25</v>
      </c>
      <c r="C575" t="s">
        <v>26</v>
      </c>
    </row>
    <row r="576" spans="1:3" x14ac:dyDescent="0.25">
      <c r="A576" t="s">
        <v>778</v>
      </c>
      <c r="B576" t="s">
        <v>18</v>
      </c>
      <c r="C576" t="s">
        <v>19</v>
      </c>
    </row>
    <row r="577" spans="1:3" x14ac:dyDescent="0.25">
      <c r="A577" t="s">
        <v>779</v>
      </c>
      <c r="B577" t="s">
        <v>18</v>
      </c>
      <c r="C577" t="s">
        <v>19</v>
      </c>
    </row>
    <row r="578" spans="1:3" x14ac:dyDescent="0.25">
      <c r="A578" t="s">
        <v>780</v>
      </c>
      <c r="B578" t="s">
        <v>25</v>
      </c>
      <c r="C578" t="s">
        <v>26</v>
      </c>
    </row>
    <row r="579" spans="1:3" x14ac:dyDescent="0.25">
      <c r="A579" t="s">
        <v>781</v>
      </c>
      <c r="B579" t="s">
        <v>25</v>
      </c>
      <c r="C579" t="s">
        <v>26</v>
      </c>
    </row>
    <row r="580" spans="1:3" x14ac:dyDescent="0.25">
      <c r="A580" t="s">
        <v>782</v>
      </c>
      <c r="B580" t="s">
        <v>42</v>
      </c>
      <c r="C580" t="s">
        <v>43</v>
      </c>
    </row>
    <row r="581" spans="1:3" x14ac:dyDescent="0.25">
      <c r="A581" t="s">
        <v>783</v>
      </c>
      <c r="B581" t="s">
        <v>25</v>
      </c>
      <c r="C581" t="s">
        <v>26</v>
      </c>
    </row>
    <row r="582" spans="1:3" x14ac:dyDescent="0.25">
      <c r="A582" t="s">
        <v>784</v>
      </c>
      <c r="B582" t="s">
        <v>42</v>
      </c>
      <c r="C582" t="s">
        <v>43</v>
      </c>
    </row>
    <row r="583" spans="1:3" x14ac:dyDescent="0.25">
      <c r="A583" t="s">
        <v>785</v>
      </c>
      <c r="B583" t="s">
        <v>25</v>
      </c>
      <c r="C583" t="s">
        <v>26</v>
      </c>
    </row>
    <row r="584" spans="1:3" x14ac:dyDescent="0.25">
      <c r="A584" t="s">
        <v>786</v>
      </c>
      <c r="B584" t="s">
        <v>42</v>
      </c>
      <c r="C584" t="s">
        <v>43</v>
      </c>
    </row>
    <row r="585" spans="1:3" x14ac:dyDescent="0.25">
      <c r="A585" t="s">
        <v>787</v>
      </c>
      <c r="B585" t="s">
        <v>18</v>
      </c>
      <c r="C585" t="s">
        <v>19</v>
      </c>
    </row>
    <row r="586" spans="1:3" x14ac:dyDescent="0.25">
      <c r="A586" t="s">
        <v>788</v>
      </c>
      <c r="B586" t="s">
        <v>18</v>
      </c>
      <c r="C586" t="s">
        <v>19</v>
      </c>
    </row>
    <row r="587" spans="1:3" x14ac:dyDescent="0.25">
      <c r="A587" t="s">
        <v>789</v>
      </c>
      <c r="B587" t="s">
        <v>42</v>
      </c>
      <c r="C587" t="s">
        <v>43</v>
      </c>
    </row>
    <row r="588" spans="1:3" x14ac:dyDescent="0.25">
      <c r="A588" t="s">
        <v>790</v>
      </c>
      <c r="B588" t="s">
        <v>25</v>
      </c>
      <c r="C588" t="s">
        <v>26</v>
      </c>
    </row>
    <row r="589" spans="1:3" x14ac:dyDescent="0.25">
      <c r="A589" t="s">
        <v>791</v>
      </c>
      <c r="B589" t="s">
        <v>18</v>
      </c>
      <c r="C589" t="s">
        <v>19</v>
      </c>
    </row>
    <row r="590" spans="1:3" x14ac:dyDescent="0.25">
      <c r="A590" t="s">
        <v>792</v>
      </c>
      <c r="B590" t="s">
        <v>42</v>
      </c>
      <c r="C590" t="s">
        <v>43</v>
      </c>
    </row>
    <row r="591" spans="1:3" x14ac:dyDescent="0.25">
      <c r="A591" t="s">
        <v>793</v>
      </c>
      <c r="B591" t="s">
        <v>18</v>
      </c>
      <c r="C591" t="s">
        <v>19</v>
      </c>
    </row>
    <row r="592" spans="1:3" x14ac:dyDescent="0.25">
      <c r="A592" t="s">
        <v>794</v>
      </c>
      <c r="B592" t="s">
        <v>18</v>
      </c>
      <c r="C592" t="s">
        <v>19</v>
      </c>
    </row>
    <row r="593" spans="1:3" x14ac:dyDescent="0.25">
      <c r="A593" t="s">
        <v>795</v>
      </c>
      <c r="B593" t="s">
        <v>18</v>
      </c>
      <c r="C593" t="s">
        <v>19</v>
      </c>
    </row>
    <row r="594" spans="1:3" x14ac:dyDescent="0.25">
      <c r="A594" t="s">
        <v>796</v>
      </c>
      <c r="B594" t="s">
        <v>42</v>
      </c>
      <c r="C594" t="s">
        <v>43</v>
      </c>
    </row>
    <row r="595" spans="1:3" x14ac:dyDescent="0.25">
      <c r="A595" t="s">
        <v>797</v>
      </c>
      <c r="B595" t="s">
        <v>42</v>
      </c>
      <c r="C595" t="s">
        <v>43</v>
      </c>
    </row>
    <row r="596" spans="1:3" x14ac:dyDescent="0.25">
      <c r="A596" t="s">
        <v>798</v>
      </c>
      <c r="B596" t="s">
        <v>18</v>
      </c>
      <c r="C596" t="s">
        <v>19</v>
      </c>
    </row>
    <row r="597" spans="1:3" x14ac:dyDescent="0.25">
      <c r="A597" t="s">
        <v>799</v>
      </c>
      <c r="B597" t="s">
        <v>18</v>
      </c>
      <c r="C597" t="s">
        <v>19</v>
      </c>
    </row>
    <row r="598" spans="1:3" x14ac:dyDescent="0.25">
      <c r="A598" t="s">
        <v>800</v>
      </c>
      <c r="B598" t="s">
        <v>18</v>
      </c>
      <c r="C598" t="s">
        <v>19</v>
      </c>
    </row>
    <row r="599" spans="1:3" x14ac:dyDescent="0.25">
      <c r="A599" t="s">
        <v>801</v>
      </c>
      <c r="B599" t="s">
        <v>42</v>
      </c>
      <c r="C599" t="s">
        <v>43</v>
      </c>
    </row>
    <row r="600" spans="1:3" x14ac:dyDescent="0.25">
      <c r="A600" t="s">
        <v>802</v>
      </c>
      <c r="B600" t="s">
        <v>25</v>
      </c>
      <c r="C600" t="s">
        <v>26</v>
      </c>
    </row>
    <row r="601" spans="1:3" x14ac:dyDescent="0.25">
      <c r="A601" t="s">
        <v>803</v>
      </c>
      <c r="B601" t="s">
        <v>42</v>
      </c>
      <c r="C601" t="s">
        <v>43</v>
      </c>
    </row>
    <row r="602" spans="1:3" x14ac:dyDescent="0.25">
      <c r="A602" t="s">
        <v>804</v>
      </c>
      <c r="B602" t="s">
        <v>42</v>
      </c>
      <c r="C602" t="s">
        <v>43</v>
      </c>
    </row>
    <row r="603" spans="1:3" x14ac:dyDescent="0.25">
      <c r="A603" t="s">
        <v>805</v>
      </c>
      <c r="B603" t="s">
        <v>18</v>
      </c>
      <c r="C603" t="s">
        <v>19</v>
      </c>
    </row>
    <row r="604" spans="1:3" x14ac:dyDescent="0.25">
      <c r="A604" t="s">
        <v>806</v>
      </c>
      <c r="B604" t="s">
        <v>42</v>
      </c>
      <c r="C604" t="s">
        <v>43</v>
      </c>
    </row>
    <row r="605" spans="1:3" x14ac:dyDescent="0.25">
      <c r="A605" t="s">
        <v>807</v>
      </c>
      <c r="B605" t="s">
        <v>25</v>
      </c>
      <c r="C605" t="s">
        <v>26</v>
      </c>
    </row>
    <row r="606" spans="1:3" x14ac:dyDescent="0.25">
      <c r="A606" t="s">
        <v>808</v>
      </c>
      <c r="B606" t="s">
        <v>25</v>
      </c>
      <c r="C606" t="s">
        <v>26</v>
      </c>
    </row>
    <row r="607" spans="1:3" x14ac:dyDescent="0.25">
      <c r="A607" t="s">
        <v>809</v>
      </c>
      <c r="B607" t="s">
        <v>25</v>
      </c>
      <c r="C607" t="s">
        <v>26</v>
      </c>
    </row>
    <row r="608" spans="1:3" x14ac:dyDescent="0.25">
      <c r="A608" t="s">
        <v>810</v>
      </c>
      <c r="B608" t="s">
        <v>25</v>
      </c>
      <c r="C608" t="s">
        <v>26</v>
      </c>
    </row>
    <row r="609" spans="1:3" x14ac:dyDescent="0.25">
      <c r="A609" t="s">
        <v>811</v>
      </c>
      <c r="B609" t="s">
        <v>42</v>
      </c>
      <c r="C609" t="s">
        <v>43</v>
      </c>
    </row>
    <row r="610" spans="1:3" x14ac:dyDescent="0.25">
      <c r="A610" t="s">
        <v>812</v>
      </c>
      <c r="B610" t="s">
        <v>25</v>
      </c>
      <c r="C610" t="s">
        <v>26</v>
      </c>
    </row>
    <row r="611" spans="1:3" x14ac:dyDescent="0.25">
      <c r="A611" t="s">
        <v>813</v>
      </c>
      <c r="B611" t="s">
        <v>42</v>
      </c>
      <c r="C611" t="s">
        <v>43</v>
      </c>
    </row>
    <row r="612" spans="1:3" x14ac:dyDescent="0.25">
      <c r="A612" t="s">
        <v>814</v>
      </c>
      <c r="B612" t="s">
        <v>25</v>
      </c>
      <c r="C612" t="s">
        <v>26</v>
      </c>
    </row>
    <row r="613" spans="1:3" x14ac:dyDescent="0.25">
      <c r="A613" t="s">
        <v>815</v>
      </c>
      <c r="B613" t="s">
        <v>42</v>
      </c>
      <c r="C613" t="s">
        <v>43</v>
      </c>
    </row>
    <row r="614" spans="1:3" x14ac:dyDescent="0.25">
      <c r="A614" t="s">
        <v>816</v>
      </c>
      <c r="B614" t="s">
        <v>25</v>
      </c>
      <c r="C614" t="s">
        <v>26</v>
      </c>
    </row>
    <row r="615" spans="1:3" x14ac:dyDescent="0.25">
      <c r="A615" t="s">
        <v>817</v>
      </c>
      <c r="B615" t="s">
        <v>18</v>
      </c>
      <c r="C615" t="s">
        <v>19</v>
      </c>
    </row>
    <row r="616" spans="1:3" x14ac:dyDescent="0.25">
      <c r="A616" t="s">
        <v>818</v>
      </c>
      <c r="B616" t="s">
        <v>18</v>
      </c>
      <c r="C616" t="s">
        <v>19</v>
      </c>
    </row>
    <row r="617" spans="1:3" x14ac:dyDescent="0.25">
      <c r="A617" t="s">
        <v>819</v>
      </c>
      <c r="B617" t="s">
        <v>25</v>
      </c>
      <c r="C617" t="s">
        <v>26</v>
      </c>
    </row>
    <row r="618" spans="1:3" x14ac:dyDescent="0.25">
      <c r="A618" t="s">
        <v>820</v>
      </c>
      <c r="B618" t="s">
        <v>25</v>
      </c>
      <c r="C618" t="s">
        <v>26</v>
      </c>
    </row>
    <row r="619" spans="1:3" x14ac:dyDescent="0.25">
      <c r="A619" t="s">
        <v>821</v>
      </c>
      <c r="B619" t="s">
        <v>18</v>
      </c>
      <c r="C619" t="s">
        <v>19</v>
      </c>
    </row>
    <row r="620" spans="1:3" x14ac:dyDescent="0.25">
      <c r="A620" t="s">
        <v>822</v>
      </c>
      <c r="B620" t="s">
        <v>25</v>
      </c>
      <c r="C620" t="s">
        <v>26</v>
      </c>
    </row>
    <row r="621" spans="1:3" x14ac:dyDescent="0.25">
      <c r="A621" t="s">
        <v>823</v>
      </c>
      <c r="B621" t="s">
        <v>25</v>
      </c>
      <c r="C621" t="s">
        <v>26</v>
      </c>
    </row>
    <row r="622" spans="1:3" x14ac:dyDescent="0.25">
      <c r="A622" t="s">
        <v>824</v>
      </c>
      <c r="B622" t="s">
        <v>25</v>
      </c>
      <c r="C622" t="s">
        <v>26</v>
      </c>
    </row>
    <row r="623" spans="1:3" x14ac:dyDescent="0.25">
      <c r="A623" t="s">
        <v>825</v>
      </c>
      <c r="B623" t="s">
        <v>18</v>
      </c>
      <c r="C623" t="s">
        <v>19</v>
      </c>
    </row>
    <row r="624" spans="1:3" x14ac:dyDescent="0.25">
      <c r="A624" t="s">
        <v>826</v>
      </c>
      <c r="B624" t="s">
        <v>18</v>
      </c>
      <c r="C624" t="s">
        <v>19</v>
      </c>
    </row>
    <row r="625" spans="1:3" x14ac:dyDescent="0.25">
      <c r="A625" t="s">
        <v>827</v>
      </c>
      <c r="B625" t="s">
        <v>25</v>
      </c>
      <c r="C625" t="s">
        <v>26</v>
      </c>
    </row>
    <row r="626" spans="1:3" x14ac:dyDescent="0.25">
      <c r="A626" t="s">
        <v>828</v>
      </c>
      <c r="B626" t="s">
        <v>42</v>
      </c>
      <c r="C626" t="s">
        <v>43</v>
      </c>
    </row>
    <row r="627" spans="1:3" x14ac:dyDescent="0.25">
      <c r="A627" t="s">
        <v>829</v>
      </c>
      <c r="B627" t="s">
        <v>18</v>
      </c>
      <c r="C627" t="s">
        <v>19</v>
      </c>
    </row>
    <row r="628" spans="1:3" x14ac:dyDescent="0.25">
      <c r="A628" t="s">
        <v>830</v>
      </c>
      <c r="B628" t="s">
        <v>18</v>
      </c>
      <c r="C628" t="s">
        <v>19</v>
      </c>
    </row>
    <row r="629" spans="1:3" x14ac:dyDescent="0.25">
      <c r="A629" t="s">
        <v>831</v>
      </c>
      <c r="B629" t="s">
        <v>42</v>
      </c>
      <c r="C629" t="s">
        <v>43</v>
      </c>
    </row>
    <row r="630" spans="1:3" x14ac:dyDescent="0.25">
      <c r="A630" t="s">
        <v>832</v>
      </c>
      <c r="B630" t="s">
        <v>25</v>
      </c>
      <c r="C630" t="s">
        <v>26</v>
      </c>
    </row>
    <row r="631" spans="1:3" x14ac:dyDescent="0.25">
      <c r="A631" t="s">
        <v>833</v>
      </c>
      <c r="B631" t="s">
        <v>18</v>
      </c>
      <c r="C631" t="s">
        <v>19</v>
      </c>
    </row>
    <row r="632" spans="1:3" x14ac:dyDescent="0.25">
      <c r="A632" t="s">
        <v>834</v>
      </c>
      <c r="B632" t="s">
        <v>42</v>
      </c>
      <c r="C632" t="s">
        <v>43</v>
      </c>
    </row>
    <row r="633" spans="1:3" x14ac:dyDescent="0.25">
      <c r="A633" t="s">
        <v>835</v>
      </c>
      <c r="B633" t="s">
        <v>25</v>
      </c>
      <c r="C633" t="s">
        <v>26</v>
      </c>
    </row>
    <row r="634" spans="1:3" x14ac:dyDescent="0.25">
      <c r="A634" t="s">
        <v>836</v>
      </c>
      <c r="B634" t="s">
        <v>42</v>
      </c>
      <c r="C634" t="s">
        <v>43</v>
      </c>
    </row>
    <row r="635" spans="1:3" x14ac:dyDescent="0.25">
      <c r="A635" t="s">
        <v>837</v>
      </c>
      <c r="B635" t="s">
        <v>25</v>
      </c>
      <c r="C635" t="s">
        <v>26</v>
      </c>
    </row>
    <row r="636" spans="1:3" x14ac:dyDescent="0.25">
      <c r="A636" t="s">
        <v>838</v>
      </c>
      <c r="B636" t="s">
        <v>25</v>
      </c>
      <c r="C636" t="s">
        <v>26</v>
      </c>
    </row>
    <row r="637" spans="1:3" x14ac:dyDescent="0.25">
      <c r="A637" t="s">
        <v>839</v>
      </c>
      <c r="B637" t="s">
        <v>18</v>
      </c>
      <c r="C637" t="s">
        <v>19</v>
      </c>
    </row>
    <row r="638" spans="1:3" x14ac:dyDescent="0.25">
      <c r="A638" t="s">
        <v>840</v>
      </c>
      <c r="B638" t="s">
        <v>42</v>
      </c>
      <c r="C638" t="s">
        <v>43</v>
      </c>
    </row>
    <row r="639" spans="1:3" x14ac:dyDescent="0.25">
      <c r="A639" t="s">
        <v>841</v>
      </c>
      <c r="B639" t="s">
        <v>18</v>
      </c>
      <c r="C639" t="s">
        <v>19</v>
      </c>
    </row>
    <row r="640" spans="1:3" x14ac:dyDescent="0.25">
      <c r="A640" t="s">
        <v>842</v>
      </c>
      <c r="B640" t="s">
        <v>18</v>
      </c>
      <c r="C640" t="s">
        <v>19</v>
      </c>
    </row>
    <row r="641" spans="1:3" x14ac:dyDescent="0.25">
      <c r="A641" t="s">
        <v>843</v>
      </c>
      <c r="B641" t="s">
        <v>18</v>
      </c>
      <c r="C641" t="s">
        <v>19</v>
      </c>
    </row>
    <row r="642" spans="1:3" x14ac:dyDescent="0.25">
      <c r="A642" t="s">
        <v>844</v>
      </c>
      <c r="B642" t="s">
        <v>42</v>
      </c>
      <c r="C642" t="s">
        <v>43</v>
      </c>
    </row>
    <row r="643" spans="1:3" x14ac:dyDescent="0.25">
      <c r="A643" t="s">
        <v>845</v>
      </c>
      <c r="B643" t="s">
        <v>25</v>
      </c>
      <c r="C643" t="s">
        <v>26</v>
      </c>
    </row>
    <row r="644" spans="1:3" x14ac:dyDescent="0.25">
      <c r="A644" t="s">
        <v>846</v>
      </c>
      <c r="B644" t="s">
        <v>42</v>
      </c>
      <c r="C644" t="s">
        <v>43</v>
      </c>
    </row>
    <row r="645" spans="1:3" x14ac:dyDescent="0.25">
      <c r="A645" t="s">
        <v>847</v>
      </c>
      <c r="B645" t="s">
        <v>18</v>
      </c>
      <c r="C645" t="s">
        <v>19</v>
      </c>
    </row>
    <row r="646" spans="1:3" x14ac:dyDescent="0.25">
      <c r="A646" t="s">
        <v>848</v>
      </c>
      <c r="B646" t="s">
        <v>25</v>
      </c>
      <c r="C646" t="s">
        <v>26</v>
      </c>
    </row>
    <row r="647" spans="1:3" x14ac:dyDescent="0.25">
      <c r="A647" t="s">
        <v>849</v>
      </c>
      <c r="B647" t="s">
        <v>18</v>
      </c>
      <c r="C647" t="s">
        <v>19</v>
      </c>
    </row>
    <row r="648" spans="1:3" x14ac:dyDescent="0.25">
      <c r="A648" t="s">
        <v>850</v>
      </c>
      <c r="B648" t="s">
        <v>18</v>
      </c>
      <c r="C648" t="s">
        <v>19</v>
      </c>
    </row>
    <row r="649" spans="1:3" x14ac:dyDescent="0.25">
      <c r="A649" t="s">
        <v>851</v>
      </c>
      <c r="B649" t="s">
        <v>42</v>
      </c>
      <c r="C649" t="s">
        <v>43</v>
      </c>
    </row>
    <row r="650" spans="1:3" x14ac:dyDescent="0.25">
      <c r="A650" t="s">
        <v>852</v>
      </c>
      <c r="B650" t="s">
        <v>25</v>
      </c>
      <c r="C650" t="s">
        <v>26</v>
      </c>
    </row>
    <row r="651" spans="1:3" x14ac:dyDescent="0.25">
      <c r="A651" t="s">
        <v>853</v>
      </c>
      <c r="B651" t="s">
        <v>18</v>
      </c>
      <c r="C651" t="s">
        <v>19</v>
      </c>
    </row>
    <row r="652" spans="1:3" x14ac:dyDescent="0.25">
      <c r="A652" t="s">
        <v>854</v>
      </c>
      <c r="B652" t="s">
        <v>42</v>
      </c>
      <c r="C652" t="s">
        <v>43</v>
      </c>
    </row>
    <row r="653" spans="1:3" x14ac:dyDescent="0.25">
      <c r="A653" t="s">
        <v>855</v>
      </c>
      <c r="B653" t="s">
        <v>42</v>
      </c>
      <c r="C653" t="s">
        <v>43</v>
      </c>
    </row>
    <row r="654" spans="1:3" x14ac:dyDescent="0.25">
      <c r="A654" t="s">
        <v>856</v>
      </c>
      <c r="B654" t="s">
        <v>42</v>
      </c>
      <c r="C654" t="s">
        <v>43</v>
      </c>
    </row>
    <row r="655" spans="1:3" x14ac:dyDescent="0.25">
      <c r="A655" t="s">
        <v>857</v>
      </c>
      <c r="B655" t="s">
        <v>18</v>
      </c>
      <c r="C655" t="s">
        <v>19</v>
      </c>
    </row>
    <row r="656" spans="1:3" x14ac:dyDescent="0.25">
      <c r="A656" t="s">
        <v>858</v>
      </c>
      <c r="B656" t="s">
        <v>25</v>
      </c>
      <c r="C656" t="s">
        <v>26</v>
      </c>
    </row>
    <row r="657" spans="1:3" x14ac:dyDescent="0.25">
      <c r="A657" t="s">
        <v>859</v>
      </c>
      <c r="B657" t="s">
        <v>18</v>
      </c>
      <c r="C657" t="s">
        <v>19</v>
      </c>
    </row>
    <row r="658" spans="1:3" x14ac:dyDescent="0.25">
      <c r="A658" t="s">
        <v>860</v>
      </c>
      <c r="B658" t="s">
        <v>42</v>
      </c>
      <c r="C658" t="s">
        <v>43</v>
      </c>
    </row>
    <row r="659" spans="1:3" x14ac:dyDescent="0.25">
      <c r="A659" t="s">
        <v>861</v>
      </c>
      <c r="B659" t="s">
        <v>18</v>
      </c>
      <c r="C659" t="s">
        <v>19</v>
      </c>
    </row>
    <row r="660" spans="1:3" x14ac:dyDescent="0.25">
      <c r="A660" t="s">
        <v>862</v>
      </c>
      <c r="B660" t="s">
        <v>42</v>
      </c>
      <c r="C660" t="s">
        <v>43</v>
      </c>
    </row>
    <row r="661" spans="1:3" x14ac:dyDescent="0.25">
      <c r="A661" t="s">
        <v>863</v>
      </c>
      <c r="B661" t="s">
        <v>18</v>
      </c>
      <c r="C661" t="s">
        <v>19</v>
      </c>
    </row>
    <row r="662" spans="1:3" x14ac:dyDescent="0.25">
      <c r="A662" t="s">
        <v>864</v>
      </c>
      <c r="B662" t="s">
        <v>25</v>
      </c>
      <c r="C662" t="s">
        <v>26</v>
      </c>
    </row>
    <row r="663" spans="1:3" x14ac:dyDescent="0.25">
      <c r="A663" t="s">
        <v>865</v>
      </c>
      <c r="B663" t="s">
        <v>18</v>
      </c>
      <c r="C663" t="s">
        <v>19</v>
      </c>
    </row>
    <row r="664" spans="1:3" x14ac:dyDescent="0.25">
      <c r="A664" t="s">
        <v>866</v>
      </c>
      <c r="B664" t="s">
        <v>18</v>
      </c>
      <c r="C664" t="s">
        <v>19</v>
      </c>
    </row>
    <row r="665" spans="1:3" x14ac:dyDescent="0.25">
      <c r="A665" t="s">
        <v>867</v>
      </c>
      <c r="B665" t="s">
        <v>42</v>
      </c>
      <c r="C665" t="s">
        <v>43</v>
      </c>
    </row>
    <row r="666" spans="1:3" x14ac:dyDescent="0.25">
      <c r="A666" t="s">
        <v>868</v>
      </c>
      <c r="B666" t="s">
        <v>42</v>
      </c>
      <c r="C666" t="s">
        <v>43</v>
      </c>
    </row>
    <row r="667" spans="1:3" x14ac:dyDescent="0.25">
      <c r="A667" t="s">
        <v>869</v>
      </c>
      <c r="B667" t="s">
        <v>18</v>
      </c>
      <c r="C667" t="s">
        <v>19</v>
      </c>
    </row>
    <row r="668" spans="1:3" x14ac:dyDescent="0.25">
      <c r="A668" t="s">
        <v>870</v>
      </c>
      <c r="B668" t="s">
        <v>42</v>
      </c>
      <c r="C668" t="s">
        <v>43</v>
      </c>
    </row>
    <row r="669" spans="1:3" x14ac:dyDescent="0.25">
      <c r="A669" t="s">
        <v>871</v>
      </c>
      <c r="B669" t="s">
        <v>18</v>
      </c>
      <c r="C669" t="s">
        <v>19</v>
      </c>
    </row>
    <row r="670" spans="1:3" x14ac:dyDescent="0.25">
      <c r="A670" t="s">
        <v>872</v>
      </c>
      <c r="B670" t="s">
        <v>18</v>
      </c>
      <c r="C670" t="s">
        <v>19</v>
      </c>
    </row>
    <row r="671" spans="1:3" x14ac:dyDescent="0.25">
      <c r="A671" t="s">
        <v>873</v>
      </c>
      <c r="B671" t="s">
        <v>42</v>
      </c>
      <c r="C671" t="s">
        <v>43</v>
      </c>
    </row>
    <row r="672" spans="1:3" x14ac:dyDescent="0.25">
      <c r="A672" t="s">
        <v>874</v>
      </c>
      <c r="B672" t="s">
        <v>25</v>
      </c>
      <c r="C672" t="s">
        <v>26</v>
      </c>
    </row>
    <row r="673" spans="1:3" x14ac:dyDescent="0.25">
      <c r="A673" t="s">
        <v>875</v>
      </c>
      <c r="B673" t="s">
        <v>25</v>
      </c>
      <c r="C673" t="s">
        <v>26</v>
      </c>
    </row>
    <row r="674" spans="1:3" x14ac:dyDescent="0.25">
      <c r="A674" t="s">
        <v>876</v>
      </c>
      <c r="B674" t="s">
        <v>18</v>
      </c>
      <c r="C674" t="s">
        <v>19</v>
      </c>
    </row>
    <row r="675" spans="1:3" x14ac:dyDescent="0.25">
      <c r="A675" t="s">
        <v>877</v>
      </c>
      <c r="B675" t="s">
        <v>42</v>
      </c>
      <c r="C675" t="s">
        <v>43</v>
      </c>
    </row>
    <row r="676" spans="1:3" x14ac:dyDescent="0.25">
      <c r="A676" t="s">
        <v>878</v>
      </c>
      <c r="B676" t="s">
        <v>18</v>
      </c>
      <c r="C676" t="s">
        <v>19</v>
      </c>
    </row>
    <row r="677" spans="1:3" x14ac:dyDescent="0.25">
      <c r="A677" t="s">
        <v>879</v>
      </c>
      <c r="B677" t="s">
        <v>25</v>
      </c>
      <c r="C677" t="s">
        <v>26</v>
      </c>
    </row>
    <row r="678" spans="1:3" x14ac:dyDescent="0.25">
      <c r="A678" t="s">
        <v>880</v>
      </c>
      <c r="B678" t="s">
        <v>18</v>
      </c>
      <c r="C678" t="s">
        <v>19</v>
      </c>
    </row>
    <row r="679" spans="1:3" x14ac:dyDescent="0.25">
      <c r="A679" t="s">
        <v>881</v>
      </c>
      <c r="B679" t="s">
        <v>18</v>
      </c>
      <c r="C679" t="s">
        <v>19</v>
      </c>
    </row>
    <row r="680" spans="1:3" x14ac:dyDescent="0.25">
      <c r="A680" t="s">
        <v>882</v>
      </c>
      <c r="B680" t="s">
        <v>18</v>
      </c>
      <c r="C680" t="s">
        <v>19</v>
      </c>
    </row>
    <row r="681" spans="1:3" x14ac:dyDescent="0.25">
      <c r="A681" t="s">
        <v>883</v>
      </c>
      <c r="B681" t="s">
        <v>25</v>
      </c>
      <c r="C681" t="s">
        <v>26</v>
      </c>
    </row>
    <row r="682" spans="1:3" x14ac:dyDescent="0.25">
      <c r="A682" t="s">
        <v>884</v>
      </c>
      <c r="B682" t="s">
        <v>25</v>
      </c>
      <c r="C682" t="s">
        <v>26</v>
      </c>
    </row>
    <row r="683" spans="1:3" x14ac:dyDescent="0.25">
      <c r="A683" t="s">
        <v>885</v>
      </c>
      <c r="B683" t="s">
        <v>18</v>
      </c>
      <c r="C683" t="s">
        <v>19</v>
      </c>
    </row>
    <row r="684" spans="1:3" x14ac:dyDescent="0.25">
      <c r="A684" t="s">
        <v>886</v>
      </c>
      <c r="B684" t="s">
        <v>18</v>
      </c>
      <c r="C684" t="s">
        <v>19</v>
      </c>
    </row>
    <row r="685" spans="1:3" x14ac:dyDescent="0.25">
      <c r="A685" t="s">
        <v>887</v>
      </c>
      <c r="B685" t="s">
        <v>18</v>
      </c>
      <c r="C685" t="s">
        <v>19</v>
      </c>
    </row>
    <row r="686" spans="1:3" x14ac:dyDescent="0.25">
      <c r="A686" t="s">
        <v>888</v>
      </c>
      <c r="B686" t="s">
        <v>25</v>
      </c>
      <c r="C686" t="s">
        <v>26</v>
      </c>
    </row>
    <row r="687" spans="1:3" x14ac:dyDescent="0.25">
      <c r="A687" t="s">
        <v>889</v>
      </c>
      <c r="B687" t="s">
        <v>42</v>
      </c>
      <c r="C687" t="s">
        <v>43</v>
      </c>
    </row>
    <row r="688" spans="1:3" x14ac:dyDescent="0.25">
      <c r="A688" t="s">
        <v>890</v>
      </c>
      <c r="B688" t="s">
        <v>18</v>
      </c>
      <c r="C688" t="s">
        <v>19</v>
      </c>
    </row>
    <row r="689" spans="1:3" x14ac:dyDescent="0.25">
      <c r="A689" t="s">
        <v>891</v>
      </c>
      <c r="B689" t="s">
        <v>42</v>
      </c>
      <c r="C689" t="s">
        <v>43</v>
      </c>
    </row>
    <row r="690" spans="1:3" x14ac:dyDescent="0.25">
      <c r="A690" t="s">
        <v>892</v>
      </c>
      <c r="B690" t="s">
        <v>42</v>
      </c>
      <c r="C690" t="s">
        <v>43</v>
      </c>
    </row>
    <row r="691" spans="1:3" x14ac:dyDescent="0.25">
      <c r="A691" t="s">
        <v>893</v>
      </c>
      <c r="B691" t="s">
        <v>18</v>
      </c>
      <c r="C691" t="s">
        <v>19</v>
      </c>
    </row>
    <row r="692" spans="1:3" x14ac:dyDescent="0.25">
      <c r="A692" t="s">
        <v>894</v>
      </c>
      <c r="B692" t="s">
        <v>42</v>
      </c>
      <c r="C692" t="s">
        <v>43</v>
      </c>
    </row>
    <row r="693" spans="1:3" x14ac:dyDescent="0.25">
      <c r="A693" t="s">
        <v>895</v>
      </c>
      <c r="B693" t="s">
        <v>18</v>
      </c>
      <c r="C693" t="s">
        <v>19</v>
      </c>
    </row>
    <row r="694" spans="1:3" x14ac:dyDescent="0.25">
      <c r="A694" t="s">
        <v>896</v>
      </c>
      <c r="B694" t="s">
        <v>25</v>
      </c>
      <c r="C694" t="s">
        <v>26</v>
      </c>
    </row>
    <row r="695" spans="1:3" x14ac:dyDescent="0.25">
      <c r="A695" t="s">
        <v>897</v>
      </c>
      <c r="B695" t="s">
        <v>18</v>
      </c>
      <c r="C695" t="s">
        <v>19</v>
      </c>
    </row>
    <row r="696" spans="1:3" x14ac:dyDescent="0.25">
      <c r="A696" t="s">
        <v>898</v>
      </c>
      <c r="B696" t="s">
        <v>42</v>
      </c>
      <c r="C696" t="s">
        <v>43</v>
      </c>
    </row>
    <row r="697" spans="1:3" x14ac:dyDescent="0.25">
      <c r="A697" t="s">
        <v>899</v>
      </c>
      <c r="B697" t="s">
        <v>42</v>
      </c>
      <c r="C697" t="s">
        <v>43</v>
      </c>
    </row>
    <row r="698" spans="1:3" x14ac:dyDescent="0.25">
      <c r="A698" t="s">
        <v>900</v>
      </c>
      <c r="B698" t="s">
        <v>18</v>
      </c>
      <c r="C698" t="s">
        <v>19</v>
      </c>
    </row>
    <row r="699" spans="1:3" x14ac:dyDescent="0.25">
      <c r="A699" t="s">
        <v>901</v>
      </c>
      <c r="B699" t="s">
        <v>25</v>
      </c>
      <c r="C699" t="s">
        <v>26</v>
      </c>
    </row>
    <row r="700" spans="1:3" x14ac:dyDescent="0.25">
      <c r="A700" t="s">
        <v>902</v>
      </c>
      <c r="B700" t="s">
        <v>42</v>
      </c>
      <c r="C700" t="s">
        <v>43</v>
      </c>
    </row>
    <row r="701" spans="1:3" x14ac:dyDescent="0.25">
      <c r="A701" t="s">
        <v>903</v>
      </c>
      <c r="B701" t="s">
        <v>25</v>
      </c>
      <c r="C701" t="s">
        <v>26</v>
      </c>
    </row>
    <row r="702" spans="1:3" x14ac:dyDescent="0.25">
      <c r="A702" t="s">
        <v>904</v>
      </c>
      <c r="B702" t="s">
        <v>25</v>
      </c>
      <c r="C702" t="s">
        <v>26</v>
      </c>
    </row>
    <row r="703" spans="1:3" x14ac:dyDescent="0.25">
      <c r="A703" t="s">
        <v>905</v>
      </c>
      <c r="B703" t="s">
        <v>18</v>
      </c>
      <c r="C703" t="s">
        <v>19</v>
      </c>
    </row>
    <row r="704" spans="1:3" x14ac:dyDescent="0.25">
      <c r="A704" t="s">
        <v>906</v>
      </c>
      <c r="B704" t="s">
        <v>18</v>
      </c>
      <c r="C704" t="s">
        <v>19</v>
      </c>
    </row>
    <row r="705" spans="1:3" x14ac:dyDescent="0.25">
      <c r="A705" t="s">
        <v>907</v>
      </c>
      <c r="B705" t="s">
        <v>25</v>
      </c>
      <c r="C705" t="s">
        <v>26</v>
      </c>
    </row>
    <row r="706" spans="1:3" x14ac:dyDescent="0.25">
      <c r="A706" t="s">
        <v>908</v>
      </c>
      <c r="B706" t="s">
        <v>42</v>
      </c>
      <c r="C706" t="s">
        <v>43</v>
      </c>
    </row>
    <row r="707" spans="1:3" x14ac:dyDescent="0.25">
      <c r="A707" t="s">
        <v>909</v>
      </c>
      <c r="B707" t="s">
        <v>18</v>
      </c>
      <c r="C707" t="s">
        <v>19</v>
      </c>
    </row>
    <row r="708" spans="1:3" x14ac:dyDescent="0.25">
      <c r="A708" t="s">
        <v>910</v>
      </c>
      <c r="B708" t="s">
        <v>18</v>
      </c>
      <c r="C708" t="s">
        <v>19</v>
      </c>
    </row>
    <row r="709" spans="1:3" x14ac:dyDescent="0.25">
      <c r="A709" t="s">
        <v>911</v>
      </c>
      <c r="B709" t="s">
        <v>25</v>
      </c>
      <c r="C709" t="s">
        <v>26</v>
      </c>
    </row>
    <row r="710" spans="1:3" x14ac:dyDescent="0.25">
      <c r="A710" t="s">
        <v>912</v>
      </c>
      <c r="B710" t="s">
        <v>25</v>
      </c>
      <c r="C710" t="s">
        <v>26</v>
      </c>
    </row>
    <row r="711" spans="1:3" x14ac:dyDescent="0.25">
      <c r="A711" t="s">
        <v>913</v>
      </c>
      <c r="B711" t="s">
        <v>42</v>
      </c>
      <c r="C711" t="s">
        <v>43</v>
      </c>
    </row>
    <row r="712" spans="1:3" x14ac:dyDescent="0.25">
      <c r="A712" t="s">
        <v>914</v>
      </c>
      <c r="B712" t="s">
        <v>18</v>
      </c>
      <c r="C712" t="s">
        <v>19</v>
      </c>
    </row>
    <row r="713" spans="1:3" x14ac:dyDescent="0.25">
      <c r="A713" t="s">
        <v>915</v>
      </c>
      <c r="B713" t="s">
        <v>42</v>
      </c>
      <c r="C713" t="s">
        <v>43</v>
      </c>
    </row>
    <row r="714" spans="1:3" x14ac:dyDescent="0.25">
      <c r="A714" t="s">
        <v>916</v>
      </c>
      <c r="B714" t="s">
        <v>42</v>
      </c>
      <c r="C714" t="s">
        <v>43</v>
      </c>
    </row>
    <row r="715" spans="1:3" x14ac:dyDescent="0.25">
      <c r="A715" t="s">
        <v>917</v>
      </c>
      <c r="B715" t="s">
        <v>25</v>
      </c>
      <c r="C715" t="s">
        <v>26</v>
      </c>
    </row>
    <row r="716" spans="1:3" x14ac:dyDescent="0.25">
      <c r="A716" t="s">
        <v>918</v>
      </c>
      <c r="B716" t="s">
        <v>42</v>
      </c>
      <c r="C716" t="s">
        <v>43</v>
      </c>
    </row>
    <row r="717" spans="1:3" x14ac:dyDescent="0.25">
      <c r="A717" t="s">
        <v>919</v>
      </c>
      <c r="B717" t="s">
        <v>18</v>
      </c>
      <c r="C717" t="s">
        <v>19</v>
      </c>
    </row>
    <row r="718" spans="1:3" x14ac:dyDescent="0.25">
      <c r="A718" t="s">
        <v>920</v>
      </c>
      <c r="B718" t="s">
        <v>18</v>
      </c>
      <c r="C718" t="s">
        <v>19</v>
      </c>
    </row>
    <row r="719" spans="1:3" x14ac:dyDescent="0.25">
      <c r="A719" t="s">
        <v>921</v>
      </c>
      <c r="B719" t="s">
        <v>18</v>
      </c>
      <c r="C719" t="s">
        <v>19</v>
      </c>
    </row>
    <row r="720" spans="1:3" x14ac:dyDescent="0.25">
      <c r="A720" t="s">
        <v>922</v>
      </c>
      <c r="B720" t="s">
        <v>18</v>
      </c>
      <c r="C720" t="s">
        <v>19</v>
      </c>
    </row>
    <row r="721" spans="1:3" x14ac:dyDescent="0.25">
      <c r="A721" t="s">
        <v>923</v>
      </c>
      <c r="B721" t="s">
        <v>18</v>
      </c>
      <c r="C721" t="s">
        <v>19</v>
      </c>
    </row>
    <row r="722" spans="1:3" x14ac:dyDescent="0.25">
      <c r="A722" t="s">
        <v>924</v>
      </c>
      <c r="B722" t="s">
        <v>25</v>
      </c>
      <c r="C722" t="s">
        <v>26</v>
      </c>
    </row>
    <row r="723" spans="1:3" x14ac:dyDescent="0.25">
      <c r="A723" t="s">
        <v>925</v>
      </c>
      <c r="B723" t="s">
        <v>18</v>
      </c>
      <c r="C723" t="s">
        <v>19</v>
      </c>
    </row>
    <row r="724" spans="1:3" x14ac:dyDescent="0.25">
      <c r="A724" t="s">
        <v>926</v>
      </c>
      <c r="B724" t="s">
        <v>25</v>
      </c>
      <c r="C724" t="s">
        <v>26</v>
      </c>
    </row>
    <row r="725" spans="1:3" x14ac:dyDescent="0.25">
      <c r="A725" t="s">
        <v>927</v>
      </c>
      <c r="B725" t="s">
        <v>42</v>
      </c>
      <c r="C725" t="s">
        <v>43</v>
      </c>
    </row>
    <row r="726" spans="1:3" x14ac:dyDescent="0.25">
      <c r="A726" t="s">
        <v>928</v>
      </c>
      <c r="B726" t="s">
        <v>25</v>
      </c>
      <c r="C726" t="s">
        <v>26</v>
      </c>
    </row>
    <row r="727" spans="1:3" x14ac:dyDescent="0.25">
      <c r="A727" t="s">
        <v>929</v>
      </c>
      <c r="B727" t="s">
        <v>42</v>
      </c>
      <c r="C727" t="s">
        <v>43</v>
      </c>
    </row>
    <row r="728" spans="1:3" x14ac:dyDescent="0.25">
      <c r="A728" t="s">
        <v>930</v>
      </c>
      <c r="B728" t="s">
        <v>42</v>
      </c>
      <c r="C728" t="s">
        <v>43</v>
      </c>
    </row>
    <row r="729" spans="1:3" x14ac:dyDescent="0.25">
      <c r="A729" t="s">
        <v>931</v>
      </c>
      <c r="B729" t="s">
        <v>42</v>
      </c>
      <c r="C729" t="s">
        <v>43</v>
      </c>
    </row>
    <row r="730" spans="1:3" x14ac:dyDescent="0.25">
      <c r="A730" t="s">
        <v>932</v>
      </c>
      <c r="B730" t="s">
        <v>25</v>
      </c>
      <c r="C730" t="s">
        <v>26</v>
      </c>
    </row>
    <row r="731" spans="1:3" x14ac:dyDescent="0.25">
      <c r="A731" t="s">
        <v>933</v>
      </c>
      <c r="B731" t="s">
        <v>25</v>
      </c>
      <c r="C731" t="s">
        <v>26</v>
      </c>
    </row>
    <row r="732" spans="1:3" x14ac:dyDescent="0.25">
      <c r="A732" t="s">
        <v>934</v>
      </c>
      <c r="B732" t="s">
        <v>25</v>
      </c>
      <c r="C732" t="s">
        <v>26</v>
      </c>
    </row>
    <row r="733" spans="1:3" x14ac:dyDescent="0.25">
      <c r="A733" t="s">
        <v>935</v>
      </c>
      <c r="B733" t="s">
        <v>18</v>
      </c>
      <c r="C733" t="s">
        <v>19</v>
      </c>
    </row>
    <row r="734" spans="1:3" x14ac:dyDescent="0.25">
      <c r="A734" t="s">
        <v>936</v>
      </c>
      <c r="B734" t="s">
        <v>25</v>
      </c>
      <c r="C734" t="s">
        <v>26</v>
      </c>
    </row>
    <row r="735" spans="1:3" x14ac:dyDescent="0.25">
      <c r="A735" t="s">
        <v>937</v>
      </c>
      <c r="B735" t="s">
        <v>42</v>
      </c>
      <c r="C735" t="s">
        <v>43</v>
      </c>
    </row>
    <row r="736" spans="1:3" x14ac:dyDescent="0.25">
      <c r="A736" t="s">
        <v>938</v>
      </c>
      <c r="B736" t="s">
        <v>18</v>
      </c>
      <c r="C736" t="s">
        <v>19</v>
      </c>
    </row>
    <row r="737" spans="1:3" x14ac:dyDescent="0.25">
      <c r="A737" t="s">
        <v>939</v>
      </c>
      <c r="B737" t="s">
        <v>18</v>
      </c>
      <c r="C737" t="s">
        <v>19</v>
      </c>
    </row>
    <row r="738" spans="1:3" x14ac:dyDescent="0.25">
      <c r="A738" t="s">
        <v>940</v>
      </c>
      <c r="B738" t="s">
        <v>25</v>
      </c>
      <c r="C738" t="s">
        <v>26</v>
      </c>
    </row>
    <row r="739" spans="1:3" x14ac:dyDescent="0.25">
      <c r="A739" t="s">
        <v>941</v>
      </c>
      <c r="B739" t="s">
        <v>25</v>
      </c>
      <c r="C739" t="s">
        <v>26</v>
      </c>
    </row>
    <row r="740" spans="1:3" x14ac:dyDescent="0.25">
      <c r="A740" t="s">
        <v>942</v>
      </c>
      <c r="B740" t="s">
        <v>25</v>
      </c>
      <c r="C740" t="s">
        <v>26</v>
      </c>
    </row>
    <row r="741" spans="1:3" x14ac:dyDescent="0.25">
      <c r="A741" t="s">
        <v>943</v>
      </c>
      <c r="B741" t="s">
        <v>42</v>
      </c>
      <c r="C741" t="s">
        <v>43</v>
      </c>
    </row>
    <row r="742" spans="1:3" x14ac:dyDescent="0.25">
      <c r="A742" t="s">
        <v>944</v>
      </c>
      <c r="B742" t="s">
        <v>18</v>
      </c>
      <c r="C742" t="s">
        <v>19</v>
      </c>
    </row>
    <row r="743" spans="1:3" x14ac:dyDescent="0.25">
      <c r="A743" t="s">
        <v>945</v>
      </c>
      <c r="B743" t="s">
        <v>42</v>
      </c>
      <c r="C743" t="s">
        <v>43</v>
      </c>
    </row>
    <row r="744" spans="1:3" x14ac:dyDescent="0.25">
      <c r="A744" t="s">
        <v>946</v>
      </c>
      <c r="B744" t="s">
        <v>42</v>
      </c>
      <c r="C744" t="s">
        <v>43</v>
      </c>
    </row>
    <row r="745" spans="1:3" x14ac:dyDescent="0.25">
      <c r="A745" t="s">
        <v>947</v>
      </c>
      <c r="B745" t="s">
        <v>25</v>
      </c>
      <c r="C745" t="s">
        <v>26</v>
      </c>
    </row>
    <row r="746" spans="1:3" x14ac:dyDescent="0.25">
      <c r="A746" t="s">
        <v>948</v>
      </c>
      <c r="B746" t="s">
        <v>18</v>
      </c>
      <c r="C746" t="s">
        <v>19</v>
      </c>
    </row>
    <row r="747" spans="1:3" x14ac:dyDescent="0.25">
      <c r="A747" t="s">
        <v>949</v>
      </c>
      <c r="B747" t="s">
        <v>18</v>
      </c>
      <c r="C747" t="s">
        <v>19</v>
      </c>
    </row>
    <row r="748" spans="1:3" x14ac:dyDescent="0.25">
      <c r="A748" t="s">
        <v>950</v>
      </c>
      <c r="B748" t="s">
        <v>18</v>
      </c>
      <c r="C748" t="s">
        <v>19</v>
      </c>
    </row>
    <row r="749" spans="1:3" x14ac:dyDescent="0.25">
      <c r="A749" t="s">
        <v>951</v>
      </c>
      <c r="B749" t="s">
        <v>25</v>
      </c>
      <c r="C749" t="s">
        <v>26</v>
      </c>
    </row>
    <row r="750" spans="1:3" x14ac:dyDescent="0.25">
      <c r="A750" t="s">
        <v>952</v>
      </c>
      <c r="B750" t="s">
        <v>25</v>
      </c>
      <c r="C750" t="s">
        <v>26</v>
      </c>
    </row>
    <row r="751" spans="1:3" x14ac:dyDescent="0.25">
      <c r="A751" t="s">
        <v>953</v>
      </c>
      <c r="B751" t="s">
        <v>18</v>
      </c>
      <c r="C751" t="s">
        <v>19</v>
      </c>
    </row>
    <row r="752" spans="1:3" x14ac:dyDescent="0.25">
      <c r="A752" t="s">
        <v>954</v>
      </c>
      <c r="B752" t="s">
        <v>42</v>
      </c>
      <c r="C752" t="s">
        <v>43</v>
      </c>
    </row>
    <row r="753" spans="1:3" x14ac:dyDescent="0.25">
      <c r="A753" t="s">
        <v>955</v>
      </c>
      <c r="B753" t="s">
        <v>42</v>
      </c>
      <c r="C753" t="s">
        <v>43</v>
      </c>
    </row>
    <row r="754" spans="1:3" x14ac:dyDescent="0.25">
      <c r="A754" t="s">
        <v>956</v>
      </c>
      <c r="B754" t="s">
        <v>25</v>
      </c>
      <c r="C754" t="s">
        <v>26</v>
      </c>
    </row>
    <row r="755" spans="1:3" x14ac:dyDescent="0.25">
      <c r="A755" t="s">
        <v>957</v>
      </c>
      <c r="B755" t="s">
        <v>42</v>
      </c>
      <c r="C755" t="s">
        <v>43</v>
      </c>
    </row>
    <row r="756" spans="1:3" x14ac:dyDescent="0.25">
      <c r="A756" t="s">
        <v>958</v>
      </c>
      <c r="B756" t="s">
        <v>25</v>
      </c>
      <c r="C756" t="s">
        <v>26</v>
      </c>
    </row>
    <row r="757" spans="1:3" x14ac:dyDescent="0.25">
      <c r="A757" t="s">
        <v>959</v>
      </c>
      <c r="B757" t="s">
        <v>25</v>
      </c>
      <c r="C757" t="s">
        <v>26</v>
      </c>
    </row>
    <row r="758" spans="1:3" x14ac:dyDescent="0.25">
      <c r="A758" t="s">
        <v>960</v>
      </c>
      <c r="B758" t="s">
        <v>25</v>
      </c>
      <c r="C758" t="s">
        <v>26</v>
      </c>
    </row>
    <row r="759" spans="1:3" x14ac:dyDescent="0.25">
      <c r="A759" t="s">
        <v>961</v>
      </c>
      <c r="B759" t="s">
        <v>42</v>
      </c>
      <c r="C759" t="s">
        <v>43</v>
      </c>
    </row>
    <row r="760" spans="1:3" x14ac:dyDescent="0.25">
      <c r="A760" t="s">
        <v>962</v>
      </c>
      <c r="B760" t="s">
        <v>42</v>
      </c>
      <c r="C760" t="s">
        <v>43</v>
      </c>
    </row>
    <row r="761" spans="1:3" x14ac:dyDescent="0.25">
      <c r="A761" t="s">
        <v>963</v>
      </c>
      <c r="B761" t="s">
        <v>18</v>
      </c>
      <c r="C761" t="s">
        <v>19</v>
      </c>
    </row>
    <row r="762" spans="1:3" x14ac:dyDescent="0.25">
      <c r="A762" t="s">
        <v>964</v>
      </c>
      <c r="B762" t="s">
        <v>42</v>
      </c>
      <c r="C762" t="s">
        <v>43</v>
      </c>
    </row>
    <row r="763" spans="1:3" x14ac:dyDescent="0.25">
      <c r="A763" t="s">
        <v>965</v>
      </c>
      <c r="B763" t="s">
        <v>42</v>
      </c>
      <c r="C763" t="s">
        <v>43</v>
      </c>
    </row>
    <row r="764" spans="1:3" x14ac:dyDescent="0.25">
      <c r="A764" t="s">
        <v>966</v>
      </c>
      <c r="B764" t="s">
        <v>42</v>
      </c>
      <c r="C764" t="s">
        <v>43</v>
      </c>
    </row>
    <row r="765" spans="1:3" x14ac:dyDescent="0.25">
      <c r="A765" t="s">
        <v>967</v>
      </c>
      <c r="B765" t="s">
        <v>25</v>
      </c>
      <c r="C765" t="s">
        <v>26</v>
      </c>
    </row>
    <row r="766" spans="1:3" x14ac:dyDescent="0.25">
      <c r="A766" t="s">
        <v>968</v>
      </c>
      <c r="B766" t="s">
        <v>18</v>
      </c>
      <c r="C766" t="s">
        <v>19</v>
      </c>
    </row>
    <row r="767" spans="1:3" x14ac:dyDescent="0.25">
      <c r="A767" t="s">
        <v>969</v>
      </c>
      <c r="B767" t="s">
        <v>25</v>
      </c>
      <c r="C767" t="s">
        <v>26</v>
      </c>
    </row>
    <row r="768" spans="1:3" x14ac:dyDescent="0.25">
      <c r="A768" t="s">
        <v>970</v>
      </c>
      <c r="B768" t="s">
        <v>42</v>
      </c>
      <c r="C768" t="s">
        <v>43</v>
      </c>
    </row>
    <row r="769" spans="1:3" x14ac:dyDescent="0.25">
      <c r="A769" t="s">
        <v>971</v>
      </c>
      <c r="B769" t="s">
        <v>25</v>
      </c>
      <c r="C769" t="s">
        <v>26</v>
      </c>
    </row>
    <row r="770" spans="1:3" x14ac:dyDescent="0.25">
      <c r="A770" t="s">
        <v>972</v>
      </c>
      <c r="B770" t="s">
        <v>25</v>
      </c>
      <c r="C770" t="s">
        <v>26</v>
      </c>
    </row>
    <row r="771" spans="1:3" x14ac:dyDescent="0.25">
      <c r="A771" t="s">
        <v>973</v>
      </c>
      <c r="B771" t="s">
        <v>18</v>
      </c>
      <c r="C771" t="s">
        <v>19</v>
      </c>
    </row>
    <row r="772" spans="1:3" x14ac:dyDescent="0.25">
      <c r="A772" t="s">
        <v>974</v>
      </c>
      <c r="B772" t="s">
        <v>18</v>
      </c>
      <c r="C772" t="s">
        <v>19</v>
      </c>
    </row>
    <row r="773" spans="1:3" x14ac:dyDescent="0.25">
      <c r="A773" t="s">
        <v>975</v>
      </c>
      <c r="B773" t="s">
        <v>25</v>
      </c>
      <c r="C773" t="s">
        <v>26</v>
      </c>
    </row>
    <row r="774" spans="1:3" x14ac:dyDescent="0.25">
      <c r="A774" t="s">
        <v>976</v>
      </c>
      <c r="B774" t="s">
        <v>18</v>
      </c>
      <c r="C774" t="s">
        <v>19</v>
      </c>
    </row>
    <row r="775" spans="1:3" x14ac:dyDescent="0.25">
      <c r="A775" t="s">
        <v>977</v>
      </c>
      <c r="B775" t="s">
        <v>25</v>
      </c>
      <c r="C775" t="s">
        <v>26</v>
      </c>
    </row>
    <row r="776" spans="1:3" x14ac:dyDescent="0.25">
      <c r="A776" t="s">
        <v>978</v>
      </c>
      <c r="B776" t="s">
        <v>18</v>
      </c>
      <c r="C776" t="s">
        <v>19</v>
      </c>
    </row>
    <row r="777" spans="1:3" x14ac:dyDescent="0.25">
      <c r="A777" t="s">
        <v>979</v>
      </c>
      <c r="B777" t="s">
        <v>18</v>
      </c>
      <c r="C777" t="s">
        <v>19</v>
      </c>
    </row>
    <row r="778" spans="1:3" x14ac:dyDescent="0.25">
      <c r="A778" t="s">
        <v>980</v>
      </c>
      <c r="B778" t="s">
        <v>18</v>
      </c>
      <c r="C778" t="s">
        <v>19</v>
      </c>
    </row>
    <row r="779" spans="1:3" x14ac:dyDescent="0.25">
      <c r="A779" t="s">
        <v>981</v>
      </c>
      <c r="B779" t="s">
        <v>18</v>
      </c>
      <c r="C779" t="s">
        <v>19</v>
      </c>
    </row>
    <row r="780" spans="1:3" x14ac:dyDescent="0.25">
      <c r="A780" t="s">
        <v>982</v>
      </c>
      <c r="B780" t="s">
        <v>25</v>
      </c>
      <c r="C780" t="s">
        <v>26</v>
      </c>
    </row>
    <row r="781" spans="1:3" x14ac:dyDescent="0.25">
      <c r="A781" t="s">
        <v>983</v>
      </c>
      <c r="B781" t="s">
        <v>42</v>
      </c>
      <c r="C781" t="s">
        <v>43</v>
      </c>
    </row>
    <row r="782" spans="1:3" x14ac:dyDescent="0.25">
      <c r="A782" t="s">
        <v>984</v>
      </c>
      <c r="B782" t="s">
        <v>25</v>
      </c>
      <c r="C782" t="s">
        <v>26</v>
      </c>
    </row>
    <row r="783" spans="1:3" x14ac:dyDescent="0.25">
      <c r="A783" t="s">
        <v>985</v>
      </c>
      <c r="B783" t="s">
        <v>42</v>
      </c>
      <c r="C783" t="s">
        <v>43</v>
      </c>
    </row>
    <row r="784" spans="1:3" x14ac:dyDescent="0.25">
      <c r="A784" t="s">
        <v>986</v>
      </c>
      <c r="B784" t="s">
        <v>42</v>
      </c>
      <c r="C784" t="s">
        <v>43</v>
      </c>
    </row>
    <row r="785" spans="1:3" x14ac:dyDescent="0.25">
      <c r="A785" t="s">
        <v>987</v>
      </c>
      <c r="B785" t="s">
        <v>42</v>
      </c>
      <c r="C785" t="s">
        <v>43</v>
      </c>
    </row>
    <row r="786" spans="1:3" x14ac:dyDescent="0.25">
      <c r="A786" t="s">
        <v>988</v>
      </c>
      <c r="B786" t="s">
        <v>42</v>
      </c>
      <c r="C786" t="s">
        <v>43</v>
      </c>
    </row>
    <row r="787" spans="1:3" x14ac:dyDescent="0.25">
      <c r="A787" t="s">
        <v>989</v>
      </c>
      <c r="B787" t="s">
        <v>25</v>
      </c>
      <c r="C787" t="s">
        <v>26</v>
      </c>
    </row>
    <row r="788" spans="1:3" x14ac:dyDescent="0.25">
      <c r="A788" t="s">
        <v>990</v>
      </c>
      <c r="B788" t="s">
        <v>42</v>
      </c>
      <c r="C788" t="s">
        <v>43</v>
      </c>
    </row>
    <row r="789" spans="1:3" x14ac:dyDescent="0.25">
      <c r="A789" t="s">
        <v>991</v>
      </c>
      <c r="B789" t="s">
        <v>18</v>
      </c>
      <c r="C789" t="s">
        <v>19</v>
      </c>
    </row>
    <row r="790" spans="1:3" x14ac:dyDescent="0.25">
      <c r="A790" t="s">
        <v>992</v>
      </c>
      <c r="B790" t="s">
        <v>25</v>
      </c>
      <c r="C790" t="s">
        <v>26</v>
      </c>
    </row>
    <row r="791" spans="1:3" x14ac:dyDescent="0.25">
      <c r="A791" t="s">
        <v>993</v>
      </c>
      <c r="B791" t="s">
        <v>42</v>
      </c>
      <c r="C791" t="s">
        <v>43</v>
      </c>
    </row>
    <row r="792" spans="1:3" x14ac:dyDescent="0.25">
      <c r="A792" t="s">
        <v>994</v>
      </c>
      <c r="B792" t="s">
        <v>25</v>
      </c>
      <c r="C792" t="s">
        <v>26</v>
      </c>
    </row>
    <row r="793" spans="1:3" x14ac:dyDescent="0.25">
      <c r="A793" t="s">
        <v>995</v>
      </c>
      <c r="B793" t="s">
        <v>18</v>
      </c>
      <c r="C793" t="s">
        <v>19</v>
      </c>
    </row>
    <row r="794" spans="1:3" x14ac:dyDescent="0.25">
      <c r="A794" t="s">
        <v>996</v>
      </c>
      <c r="B794" t="s">
        <v>25</v>
      </c>
      <c r="C794" t="s">
        <v>26</v>
      </c>
    </row>
    <row r="795" spans="1:3" x14ac:dyDescent="0.25">
      <c r="A795" t="s">
        <v>997</v>
      </c>
      <c r="B795" t="s">
        <v>18</v>
      </c>
      <c r="C795" t="s">
        <v>19</v>
      </c>
    </row>
    <row r="796" spans="1:3" x14ac:dyDescent="0.25">
      <c r="A796" t="s">
        <v>998</v>
      </c>
      <c r="B796" t="s">
        <v>18</v>
      </c>
      <c r="C796" t="s">
        <v>19</v>
      </c>
    </row>
    <row r="797" spans="1:3" x14ac:dyDescent="0.25">
      <c r="A797" t="s">
        <v>999</v>
      </c>
      <c r="B797" t="s">
        <v>25</v>
      </c>
      <c r="C797" t="s">
        <v>26</v>
      </c>
    </row>
    <row r="798" spans="1:3" x14ac:dyDescent="0.25">
      <c r="A798" t="s">
        <v>1000</v>
      </c>
      <c r="B798" t="s">
        <v>42</v>
      </c>
      <c r="C798" t="s">
        <v>43</v>
      </c>
    </row>
    <row r="799" spans="1:3" x14ac:dyDescent="0.25">
      <c r="A799" t="s">
        <v>1001</v>
      </c>
      <c r="B799" t="s">
        <v>42</v>
      </c>
      <c r="C799" t="s">
        <v>43</v>
      </c>
    </row>
    <row r="800" spans="1:3" x14ac:dyDescent="0.25">
      <c r="A800" t="s">
        <v>1002</v>
      </c>
      <c r="B800" t="s">
        <v>18</v>
      </c>
      <c r="C800" t="s">
        <v>19</v>
      </c>
    </row>
    <row r="801" spans="1:3" x14ac:dyDescent="0.25">
      <c r="A801" t="s">
        <v>1003</v>
      </c>
      <c r="B801" t="s">
        <v>18</v>
      </c>
      <c r="C801" t="s">
        <v>19</v>
      </c>
    </row>
    <row r="802" spans="1:3" x14ac:dyDescent="0.25">
      <c r="A802" t="s">
        <v>1004</v>
      </c>
      <c r="B802" t="s">
        <v>18</v>
      </c>
      <c r="C802" t="s">
        <v>19</v>
      </c>
    </row>
    <row r="803" spans="1:3" x14ac:dyDescent="0.25">
      <c r="A803" t="s">
        <v>1005</v>
      </c>
      <c r="B803" t="s">
        <v>42</v>
      </c>
      <c r="C803" t="s">
        <v>43</v>
      </c>
    </row>
    <row r="804" spans="1:3" x14ac:dyDescent="0.25">
      <c r="A804" t="s">
        <v>1006</v>
      </c>
      <c r="B804" t="s">
        <v>42</v>
      </c>
      <c r="C804" t="s">
        <v>43</v>
      </c>
    </row>
    <row r="805" spans="1:3" x14ac:dyDescent="0.25">
      <c r="A805" t="s">
        <v>1007</v>
      </c>
      <c r="B805" t="s">
        <v>42</v>
      </c>
      <c r="C805" t="s">
        <v>43</v>
      </c>
    </row>
    <row r="806" spans="1:3" x14ac:dyDescent="0.25">
      <c r="A806" t="s">
        <v>1008</v>
      </c>
      <c r="B806" t="s">
        <v>42</v>
      </c>
      <c r="C806" t="s">
        <v>43</v>
      </c>
    </row>
    <row r="807" spans="1:3" x14ac:dyDescent="0.25">
      <c r="A807" t="s">
        <v>1009</v>
      </c>
      <c r="B807" t="s">
        <v>18</v>
      </c>
      <c r="C807" t="s">
        <v>19</v>
      </c>
    </row>
    <row r="808" spans="1:3" x14ac:dyDescent="0.25">
      <c r="A808" t="s">
        <v>1010</v>
      </c>
      <c r="B808" t="s">
        <v>25</v>
      </c>
      <c r="C808" t="s">
        <v>26</v>
      </c>
    </row>
    <row r="809" spans="1:3" x14ac:dyDescent="0.25">
      <c r="A809" t="s">
        <v>1011</v>
      </c>
      <c r="B809" t="s">
        <v>42</v>
      </c>
      <c r="C809" t="s">
        <v>43</v>
      </c>
    </row>
    <row r="810" spans="1:3" x14ac:dyDescent="0.25">
      <c r="A810" t="s">
        <v>1012</v>
      </c>
      <c r="B810" t="s">
        <v>18</v>
      </c>
      <c r="C810" t="s">
        <v>19</v>
      </c>
    </row>
    <row r="811" spans="1:3" x14ac:dyDescent="0.25">
      <c r="A811" t="s">
        <v>1013</v>
      </c>
      <c r="B811" t="s">
        <v>42</v>
      </c>
      <c r="C811" t="s">
        <v>43</v>
      </c>
    </row>
    <row r="812" spans="1:3" x14ac:dyDescent="0.25">
      <c r="A812" t="s">
        <v>1014</v>
      </c>
      <c r="B812" t="s">
        <v>42</v>
      </c>
      <c r="C812" t="s">
        <v>43</v>
      </c>
    </row>
    <row r="813" spans="1:3" x14ac:dyDescent="0.25">
      <c r="A813" t="s">
        <v>1015</v>
      </c>
      <c r="B813" t="s">
        <v>42</v>
      </c>
      <c r="C813" t="s">
        <v>43</v>
      </c>
    </row>
    <row r="814" spans="1:3" x14ac:dyDescent="0.25">
      <c r="A814" t="s">
        <v>1016</v>
      </c>
      <c r="B814" t="s">
        <v>25</v>
      </c>
      <c r="C814" t="s">
        <v>26</v>
      </c>
    </row>
    <row r="815" spans="1:3" x14ac:dyDescent="0.25">
      <c r="A815" t="s">
        <v>1017</v>
      </c>
      <c r="B815" t="s">
        <v>18</v>
      </c>
      <c r="C815" t="s">
        <v>19</v>
      </c>
    </row>
    <row r="816" spans="1:3" x14ac:dyDescent="0.25">
      <c r="A816" t="s">
        <v>1018</v>
      </c>
      <c r="B816" t="s">
        <v>18</v>
      </c>
      <c r="C816" t="s">
        <v>19</v>
      </c>
    </row>
    <row r="817" spans="1:3" x14ac:dyDescent="0.25">
      <c r="A817" t="s">
        <v>1019</v>
      </c>
      <c r="B817" t="s">
        <v>25</v>
      </c>
      <c r="C817" t="s">
        <v>26</v>
      </c>
    </row>
    <row r="818" spans="1:3" x14ac:dyDescent="0.25">
      <c r="A818" t="s">
        <v>1020</v>
      </c>
      <c r="B818" t="s">
        <v>25</v>
      </c>
      <c r="C818" t="s">
        <v>26</v>
      </c>
    </row>
    <row r="819" spans="1:3" x14ac:dyDescent="0.25">
      <c r="A819" t="s">
        <v>1021</v>
      </c>
      <c r="B819" t="s">
        <v>42</v>
      </c>
      <c r="C819" t="s">
        <v>43</v>
      </c>
    </row>
    <row r="820" spans="1:3" x14ac:dyDescent="0.25">
      <c r="A820" t="s">
        <v>1022</v>
      </c>
      <c r="B820" t="s">
        <v>42</v>
      </c>
      <c r="C820" t="s">
        <v>43</v>
      </c>
    </row>
    <row r="821" spans="1:3" x14ac:dyDescent="0.25">
      <c r="A821" t="s">
        <v>1023</v>
      </c>
      <c r="B821" t="s">
        <v>42</v>
      </c>
      <c r="C821" t="s">
        <v>43</v>
      </c>
    </row>
    <row r="822" spans="1:3" x14ac:dyDescent="0.25">
      <c r="A822" t="s">
        <v>1024</v>
      </c>
      <c r="B822" t="s">
        <v>25</v>
      </c>
      <c r="C822" t="s">
        <v>26</v>
      </c>
    </row>
    <row r="823" spans="1:3" x14ac:dyDescent="0.25">
      <c r="A823" t="s">
        <v>1025</v>
      </c>
      <c r="B823" t="s">
        <v>42</v>
      </c>
      <c r="C823" t="s">
        <v>43</v>
      </c>
    </row>
    <row r="824" spans="1:3" x14ac:dyDescent="0.25">
      <c r="A824" t="s">
        <v>1026</v>
      </c>
      <c r="B824" t="s">
        <v>18</v>
      </c>
      <c r="C824" t="s">
        <v>19</v>
      </c>
    </row>
    <row r="825" spans="1:3" x14ac:dyDescent="0.25">
      <c r="A825" t="s">
        <v>1027</v>
      </c>
      <c r="B825" t="s">
        <v>42</v>
      </c>
      <c r="C825" t="s">
        <v>43</v>
      </c>
    </row>
    <row r="826" spans="1:3" x14ac:dyDescent="0.25">
      <c r="A826" t="s">
        <v>1028</v>
      </c>
      <c r="B826" t="s">
        <v>18</v>
      </c>
      <c r="C826" t="s">
        <v>19</v>
      </c>
    </row>
    <row r="827" spans="1:3" x14ac:dyDescent="0.25">
      <c r="A827" t="s">
        <v>1029</v>
      </c>
      <c r="B827" t="s">
        <v>42</v>
      </c>
      <c r="C827" t="s">
        <v>43</v>
      </c>
    </row>
    <row r="828" spans="1:3" x14ac:dyDescent="0.25">
      <c r="A828" t="s">
        <v>1030</v>
      </c>
      <c r="B828" t="s">
        <v>25</v>
      </c>
      <c r="C828" t="s">
        <v>26</v>
      </c>
    </row>
    <row r="829" spans="1:3" x14ac:dyDescent="0.25">
      <c r="A829" t="s">
        <v>1031</v>
      </c>
      <c r="B829" t="s">
        <v>25</v>
      </c>
      <c r="C829" t="s">
        <v>26</v>
      </c>
    </row>
    <row r="830" spans="1:3" x14ac:dyDescent="0.25">
      <c r="A830" t="s">
        <v>1032</v>
      </c>
      <c r="B830" t="s">
        <v>42</v>
      </c>
      <c r="C830" t="s">
        <v>43</v>
      </c>
    </row>
    <row r="831" spans="1:3" x14ac:dyDescent="0.25">
      <c r="A831" t="s">
        <v>1033</v>
      </c>
      <c r="B831" t="s">
        <v>18</v>
      </c>
      <c r="C831" t="s">
        <v>19</v>
      </c>
    </row>
    <row r="832" spans="1:3" x14ac:dyDescent="0.25">
      <c r="A832" t="s">
        <v>1034</v>
      </c>
      <c r="B832" t="s">
        <v>18</v>
      </c>
      <c r="C832" t="s">
        <v>19</v>
      </c>
    </row>
    <row r="833" spans="1:3" x14ac:dyDescent="0.25">
      <c r="A833" t="s">
        <v>1035</v>
      </c>
      <c r="B833" t="s">
        <v>18</v>
      </c>
      <c r="C833" t="s">
        <v>19</v>
      </c>
    </row>
    <row r="834" spans="1:3" x14ac:dyDescent="0.25">
      <c r="A834" t="s">
        <v>17</v>
      </c>
      <c r="B834" t="s">
        <v>18</v>
      </c>
      <c r="C834" t="s">
        <v>19</v>
      </c>
    </row>
    <row r="835" spans="1:3" x14ac:dyDescent="0.25">
      <c r="A835" t="s">
        <v>24</v>
      </c>
      <c r="B835" t="s">
        <v>25</v>
      </c>
      <c r="C835" t="s">
        <v>26</v>
      </c>
    </row>
    <row r="836" spans="1:3" x14ac:dyDescent="0.25">
      <c r="A836" t="s">
        <v>30</v>
      </c>
      <c r="B836" t="s">
        <v>18</v>
      </c>
      <c r="C836" t="s">
        <v>19</v>
      </c>
    </row>
    <row r="837" spans="1:3" x14ac:dyDescent="0.25">
      <c r="A837" t="s">
        <v>34</v>
      </c>
      <c r="B837" t="s">
        <v>18</v>
      </c>
      <c r="C837" t="s">
        <v>19</v>
      </c>
    </row>
    <row r="838" spans="1:3" x14ac:dyDescent="0.25">
      <c r="A838" t="s">
        <v>35</v>
      </c>
      <c r="B838" t="s">
        <v>18</v>
      </c>
      <c r="C838" t="s">
        <v>19</v>
      </c>
    </row>
    <row r="839" spans="1:3" x14ac:dyDescent="0.25">
      <c r="A839" t="s">
        <v>37</v>
      </c>
      <c r="B839" t="s">
        <v>25</v>
      </c>
      <c r="C839" t="s">
        <v>26</v>
      </c>
    </row>
    <row r="840" spans="1:3" x14ac:dyDescent="0.25">
      <c r="A840" t="s">
        <v>38</v>
      </c>
      <c r="B840" t="s">
        <v>18</v>
      </c>
      <c r="C840" t="s">
        <v>19</v>
      </c>
    </row>
    <row r="841" spans="1:3" x14ac:dyDescent="0.25">
      <c r="A841" t="s">
        <v>39</v>
      </c>
      <c r="B841" t="s">
        <v>25</v>
      </c>
      <c r="C841" t="s">
        <v>26</v>
      </c>
    </row>
    <row r="842" spans="1:3" x14ac:dyDescent="0.25">
      <c r="A842" t="s">
        <v>40</v>
      </c>
      <c r="B842" t="s">
        <v>18</v>
      </c>
      <c r="C842" t="s">
        <v>19</v>
      </c>
    </row>
    <row r="843" spans="1:3" x14ac:dyDescent="0.25">
      <c r="A843" t="s">
        <v>41</v>
      </c>
      <c r="B843" t="s">
        <v>42</v>
      </c>
      <c r="C843" t="s">
        <v>43</v>
      </c>
    </row>
    <row r="844" spans="1:3" x14ac:dyDescent="0.25">
      <c r="A844" t="s">
        <v>45</v>
      </c>
      <c r="B844" t="s">
        <v>42</v>
      </c>
      <c r="C844" t="s">
        <v>43</v>
      </c>
    </row>
    <row r="845" spans="1:3" x14ac:dyDescent="0.25">
      <c r="A845" t="s">
        <v>47</v>
      </c>
      <c r="B845" t="s">
        <v>42</v>
      </c>
      <c r="C845" t="s">
        <v>43</v>
      </c>
    </row>
    <row r="846" spans="1:3" x14ac:dyDescent="0.25">
      <c r="A846" t="s">
        <v>48</v>
      </c>
      <c r="B846" t="s">
        <v>18</v>
      </c>
      <c r="C846" t="s">
        <v>19</v>
      </c>
    </row>
    <row r="847" spans="1:3" x14ac:dyDescent="0.25">
      <c r="A847" t="s">
        <v>49</v>
      </c>
      <c r="B847" t="s">
        <v>18</v>
      </c>
      <c r="C847" t="s">
        <v>19</v>
      </c>
    </row>
    <row r="848" spans="1:3" x14ac:dyDescent="0.25">
      <c r="A848" t="s">
        <v>50</v>
      </c>
      <c r="B848" t="s">
        <v>18</v>
      </c>
      <c r="C848" t="s">
        <v>19</v>
      </c>
    </row>
    <row r="849" spans="1:3" x14ac:dyDescent="0.25">
      <c r="A849" t="s">
        <v>51</v>
      </c>
      <c r="B849" t="s">
        <v>42</v>
      </c>
      <c r="C849" t="s">
        <v>43</v>
      </c>
    </row>
    <row r="850" spans="1:3" x14ac:dyDescent="0.25">
      <c r="A850" t="s">
        <v>52</v>
      </c>
      <c r="B850" t="s">
        <v>18</v>
      </c>
      <c r="C850" t="s">
        <v>19</v>
      </c>
    </row>
    <row r="851" spans="1:3" x14ac:dyDescent="0.25">
      <c r="A851" t="s">
        <v>53</v>
      </c>
      <c r="B851" t="s">
        <v>18</v>
      </c>
      <c r="C851" t="s">
        <v>19</v>
      </c>
    </row>
    <row r="852" spans="1:3" x14ac:dyDescent="0.25">
      <c r="A852" t="s">
        <v>54</v>
      </c>
      <c r="B852" t="s">
        <v>18</v>
      </c>
      <c r="C852" t="s">
        <v>19</v>
      </c>
    </row>
    <row r="853" spans="1:3" x14ac:dyDescent="0.25">
      <c r="A853" t="s">
        <v>55</v>
      </c>
      <c r="B853" t="s">
        <v>42</v>
      </c>
      <c r="C853" t="s">
        <v>43</v>
      </c>
    </row>
    <row r="854" spans="1:3" x14ac:dyDescent="0.25">
      <c r="A854" t="s">
        <v>56</v>
      </c>
      <c r="B854" t="s">
        <v>25</v>
      </c>
      <c r="C854" t="s">
        <v>26</v>
      </c>
    </row>
    <row r="855" spans="1:3" x14ac:dyDescent="0.25">
      <c r="A855" t="s">
        <v>57</v>
      </c>
      <c r="B855" t="s">
        <v>42</v>
      </c>
      <c r="C855" t="s">
        <v>43</v>
      </c>
    </row>
    <row r="856" spans="1:3" x14ac:dyDescent="0.25">
      <c r="A856" t="s">
        <v>58</v>
      </c>
      <c r="B856" t="s">
        <v>42</v>
      </c>
      <c r="C856" t="s">
        <v>43</v>
      </c>
    </row>
    <row r="857" spans="1:3" x14ac:dyDescent="0.25">
      <c r="A857" t="s">
        <v>59</v>
      </c>
      <c r="B857" t="s">
        <v>18</v>
      </c>
      <c r="C857" t="s">
        <v>19</v>
      </c>
    </row>
    <row r="858" spans="1:3" x14ac:dyDescent="0.25">
      <c r="A858" t="s">
        <v>60</v>
      </c>
      <c r="B858" t="s">
        <v>18</v>
      </c>
      <c r="C858" t="s">
        <v>19</v>
      </c>
    </row>
    <row r="859" spans="1:3" x14ac:dyDescent="0.25">
      <c r="A859" t="s">
        <v>61</v>
      </c>
      <c r="B859" t="s">
        <v>18</v>
      </c>
      <c r="C859" t="s">
        <v>19</v>
      </c>
    </row>
    <row r="860" spans="1:3" x14ac:dyDescent="0.25">
      <c r="A860" t="s">
        <v>62</v>
      </c>
      <c r="B860" t="s">
        <v>42</v>
      </c>
      <c r="C860" t="s">
        <v>43</v>
      </c>
    </row>
    <row r="861" spans="1:3" x14ac:dyDescent="0.25">
      <c r="A861" t="s">
        <v>63</v>
      </c>
      <c r="B861" t="s">
        <v>18</v>
      </c>
      <c r="C861" t="s">
        <v>19</v>
      </c>
    </row>
    <row r="862" spans="1:3" x14ac:dyDescent="0.25">
      <c r="A862" t="s">
        <v>64</v>
      </c>
      <c r="B862" t="s">
        <v>42</v>
      </c>
      <c r="C862" t="s">
        <v>43</v>
      </c>
    </row>
    <row r="863" spans="1:3" x14ac:dyDescent="0.25">
      <c r="A863" t="s">
        <v>65</v>
      </c>
      <c r="B863" t="s">
        <v>18</v>
      </c>
      <c r="C863" t="s">
        <v>19</v>
      </c>
    </row>
    <row r="864" spans="1:3" x14ac:dyDescent="0.25">
      <c r="A864" t="s">
        <v>66</v>
      </c>
      <c r="B864" t="s">
        <v>42</v>
      </c>
      <c r="C864" t="s">
        <v>43</v>
      </c>
    </row>
    <row r="865" spans="1:3" x14ac:dyDescent="0.25">
      <c r="A865" t="s">
        <v>67</v>
      </c>
      <c r="B865" t="s">
        <v>42</v>
      </c>
      <c r="C865" t="s">
        <v>43</v>
      </c>
    </row>
    <row r="866" spans="1:3" x14ac:dyDescent="0.25">
      <c r="A866" t="s">
        <v>68</v>
      </c>
      <c r="B866" t="s">
        <v>42</v>
      </c>
      <c r="C866" t="s">
        <v>43</v>
      </c>
    </row>
    <row r="867" spans="1:3" x14ac:dyDescent="0.25">
      <c r="A867" t="s">
        <v>69</v>
      </c>
      <c r="B867" t="s">
        <v>18</v>
      </c>
      <c r="C867" t="s">
        <v>19</v>
      </c>
    </row>
    <row r="868" spans="1:3" x14ac:dyDescent="0.25">
      <c r="A868" t="s">
        <v>70</v>
      </c>
      <c r="B868" t="s">
        <v>25</v>
      </c>
      <c r="C868" t="s">
        <v>26</v>
      </c>
    </row>
    <row r="869" spans="1:3" x14ac:dyDescent="0.25">
      <c r="A869" t="s">
        <v>71</v>
      </c>
      <c r="B869" t="s">
        <v>25</v>
      </c>
      <c r="C869" t="s">
        <v>26</v>
      </c>
    </row>
    <row r="870" spans="1:3" x14ac:dyDescent="0.25">
      <c r="A870" t="s">
        <v>72</v>
      </c>
      <c r="B870" t="s">
        <v>18</v>
      </c>
      <c r="C870" t="s">
        <v>19</v>
      </c>
    </row>
    <row r="871" spans="1:3" x14ac:dyDescent="0.25">
      <c r="A871" t="s">
        <v>73</v>
      </c>
      <c r="B871" t="s">
        <v>18</v>
      </c>
      <c r="C871" t="s">
        <v>19</v>
      </c>
    </row>
    <row r="872" spans="1:3" x14ac:dyDescent="0.25">
      <c r="A872" t="s">
        <v>74</v>
      </c>
      <c r="B872" t="s">
        <v>25</v>
      </c>
      <c r="C872" t="s">
        <v>26</v>
      </c>
    </row>
    <row r="873" spans="1:3" x14ac:dyDescent="0.25">
      <c r="A873" t="s">
        <v>75</v>
      </c>
      <c r="B873" t="s">
        <v>42</v>
      </c>
      <c r="C873" t="s">
        <v>43</v>
      </c>
    </row>
    <row r="874" spans="1:3" x14ac:dyDescent="0.25">
      <c r="A874" t="s">
        <v>76</v>
      </c>
      <c r="B874" t="s">
        <v>42</v>
      </c>
      <c r="C874" t="s">
        <v>43</v>
      </c>
    </row>
    <row r="875" spans="1:3" x14ac:dyDescent="0.25">
      <c r="A875" t="s">
        <v>77</v>
      </c>
      <c r="B875" t="s">
        <v>25</v>
      </c>
      <c r="C875" t="s">
        <v>26</v>
      </c>
    </row>
    <row r="876" spans="1:3" x14ac:dyDescent="0.25">
      <c r="A876" t="s">
        <v>78</v>
      </c>
      <c r="B876" t="s">
        <v>42</v>
      </c>
      <c r="C876" t="s">
        <v>43</v>
      </c>
    </row>
    <row r="877" spans="1:3" x14ac:dyDescent="0.25">
      <c r="A877" t="s">
        <v>79</v>
      </c>
      <c r="B877" t="s">
        <v>25</v>
      </c>
      <c r="C877" t="s">
        <v>26</v>
      </c>
    </row>
    <row r="878" spans="1:3" x14ac:dyDescent="0.25">
      <c r="A878" t="s">
        <v>80</v>
      </c>
      <c r="B878" t="s">
        <v>25</v>
      </c>
      <c r="C878" t="s">
        <v>26</v>
      </c>
    </row>
    <row r="879" spans="1:3" x14ac:dyDescent="0.25">
      <c r="A879" t="s">
        <v>81</v>
      </c>
      <c r="B879" t="s">
        <v>42</v>
      </c>
      <c r="C879" t="s">
        <v>43</v>
      </c>
    </row>
    <row r="880" spans="1:3" x14ac:dyDescent="0.25">
      <c r="A880" t="s">
        <v>82</v>
      </c>
      <c r="B880" t="s">
        <v>42</v>
      </c>
      <c r="C880" t="s">
        <v>43</v>
      </c>
    </row>
    <row r="881" spans="1:3" x14ac:dyDescent="0.25">
      <c r="A881" t="s">
        <v>83</v>
      </c>
      <c r="B881" t="s">
        <v>42</v>
      </c>
      <c r="C881" t="s">
        <v>43</v>
      </c>
    </row>
    <row r="882" spans="1:3" x14ac:dyDescent="0.25">
      <c r="A882" t="s">
        <v>84</v>
      </c>
      <c r="B882" t="s">
        <v>42</v>
      </c>
      <c r="C882" t="s">
        <v>43</v>
      </c>
    </row>
    <row r="883" spans="1:3" x14ac:dyDescent="0.25">
      <c r="A883" t="s">
        <v>85</v>
      </c>
      <c r="B883" t="s">
        <v>25</v>
      </c>
      <c r="C883" t="s">
        <v>26</v>
      </c>
    </row>
    <row r="884" spans="1:3" x14ac:dyDescent="0.25">
      <c r="A884" t="s">
        <v>86</v>
      </c>
      <c r="B884" t="s">
        <v>25</v>
      </c>
      <c r="C884" t="s">
        <v>26</v>
      </c>
    </row>
    <row r="885" spans="1:3" x14ac:dyDescent="0.25">
      <c r="A885" t="s">
        <v>87</v>
      </c>
      <c r="B885" t="s">
        <v>18</v>
      </c>
      <c r="C885" t="s">
        <v>19</v>
      </c>
    </row>
    <row r="886" spans="1:3" x14ac:dyDescent="0.25">
      <c r="A886" t="s">
        <v>88</v>
      </c>
      <c r="B886" t="s">
        <v>42</v>
      </c>
      <c r="C886" t="s">
        <v>43</v>
      </c>
    </row>
    <row r="887" spans="1:3" x14ac:dyDescent="0.25">
      <c r="A887" t="s">
        <v>89</v>
      </c>
      <c r="B887" t="s">
        <v>25</v>
      </c>
      <c r="C887" t="s">
        <v>26</v>
      </c>
    </row>
    <row r="888" spans="1:3" x14ac:dyDescent="0.25">
      <c r="A888" t="s">
        <v>90</v>
      </c>
      <c r="B888" t="s">
        <v>42</v>
      </c>
      <c r="C888" t="s">
        <v>43</v>
      </c>
    </row>
    <row r="889" spans="1:3" x14ac:dyDescent="0.25">
      <c r="A889" t="s">
        <v>91</v>
      </c>
      <c r="B889" t="s">
        <v>25</v>
      </c>
      <c r="C889" t="s">
        <v>26</v>
      </c>
    </row>
    <row r="890" spans="1:3" x14ac:dyDescent="0.25">
      <c r="A890" t="s">
        <v>92</v>
      </c>
      <c r="B890" t="s">
        <v>18</v>
      </c>
      <c r="C890" t="s">
        <v>19</v>
      </c>
    </row>
    <row r="891" spans="1:3" x14ac:dyDescent="0.25">
      <c r="A891" t="s">
        <v>93</v>
      </c>
      <c r="B891" t="s">
        <v>18</v>
      </c>
      <c r="C891" t="s">
        <v>19</v>
      </c>
    </row>
    <row r="892" spans="1:3" x14ac:dyDescent="0.25">
      <c r="A892" t="s">
        <v>94</v>
      </c>
      <c r="B892" t="s">
        <v>18</v>
      </c>
      <c r="C892" t="s">
        <v>19</v>
      </c>
    </row>
    <row r="893" spans="1:3" x14ac:dyDescent="0.25">
      <c r="A893" t="s">
        <v>95</v>
      </c>
      <c r="B893" t="s">
        <v>25</v>
      </c>
      <c r="C893" t="s">
        <v>26</v>
      </c>
    </row>
    <row r="894" spans="1:3" x14ac:dyDescent="0.25">
      <c r="A894" t="s">
        <v>96</v>
      </c>
      <c r="B894" t="s">
        <v>25</v>
      </c>
      <c r="C894" t="s">
        <v>26</v>
      </c>
    </row>
    <row r="895" spans="1:3" x14ac:dyDescent="0.25">
      <c r="A895" t="s">
        <v>97</v>
      </c>
      <c r="B895" t="s">
        <v>25</v>
      </c>
      <c r="C895" t="s">
        <v>26</v>
      </c>
    </row>
    <row r="896" spans="1:3" x14ac:dyDescent="0.25">
      <c r="A896" t="s">
        <v>98</v>
      </c>
      <c r="B896" t="s">
        <v>42</v>
      </c>
      <c r="C896" t="s">
        <v>43</v>
      </c>
    </row>
    <row r="897" spans="1:3" x14ac:dyDescent="0.25">
      <c r="A897" t="s">
        <v>99</v>
      </c>
      <c r="B897" t="s">
        <v>18</v>
      </c>
      <c r="C897" t="s">
        <v>19</v>
      </c>
    </row>
    <row r="898" spans="1:3" x14ac:dyDescent="0.25">
      <c r="A898" t="s">
        <v>100</v>
      </c>
      <c r="B898" t="s">
        <v>42</v>
      </c>
      <c r="C898" t="s">
        <v>43</v>
      </c>
    </row>
    <row r="899" spans="1:3" x14ac:dyDescent="0.25">
      <c r="A899" t="s">
        <v>101</v>
      </c>
      <c r="B899" t="s">
        <v>18</v>
      </c>
      <c r="C899" t="s">
        <v>19</v>
      </c>
    </row>
    <row r="900" spans="1:3" x14ac:dyDescent="0.25">
      <c r="A900" t="s">
        <v>102</v>
      </c>
      <c r="B900" t="s">
        <v>25</v>
      </c>
      <c r="C900" t="s">
        <v>26</v>
      </c>
    </row>
    <row r="901" spans="1:3" x14ac:dyDescent="0.25">
      <c r="A901" t="s">
        <v>103</v>
      </c>
      <c r="B901" t="s">
        <v>42</v>
      </c>
      <c r="C901" t="s">
        <v>43</v>
      </c>
    </row>
    <row r="902" spans="1:3" x14ac:dyDescent="0.25">
      <c r="A902" t="s">
        <v>104</v>
      </c>
      <c r="B902" t="s">
        <v>18</v>
      </c>
      <c r="C902" t="s">
        <v>19</v>
      </c>
    </row>
    <row r="903" spans="1:3" x14ac:dyDescent="0.25">
      <c r="A903" t="s">
        <v>105</v>
      </c>
      <c r="B903" t="s">
        <v>18</v>
      </c>
      <c r="C903" t="s">
        <v>19</v>
      </c>
    </row>
    <row r="904" spans="1:3" x14ac:dyDescent="0.25">
      <c r="A904" t="s">
        <v>106</v>
      </c>
      <c r="B904" t="s">
        <v>25</v>
      </c>
      <c r="C904" t="s">
        <v>26</v>
      </c>
    </row>
    <row r="905" spans="1:3" x14ac:dyDescent="0.25">
      <c r="A905" t="s">
        <v>107</v>
      </c>
      <c r="B905" t="s">
        <v>25</v>
      </c>
      <c r="C905" t="s">
        <v>26</v>
      </c>
    </row>
    <row r="906" spans="1:3" x14ac:dyDescent="0.25">
      <c r="A906" t="s">
        <v>108</v>
      </c>
      <c r="B906" t="s">
        <v>42</v>
      </c>
      <c r="C906" t="s">
        <v>43</v>
      </c>
    </row>
    <row r="907" spans="1:3" x14ac:dyDescent="0.25">
      <c r="A907" t="s">
        <v>109</v>
      </c>
      <c r="B907" t="s">
        <v>25</v>
      </c>
      <c r="C907" t="s">
        <v>26</v>
      </c>
    </row>
    <row r="908" spans="1:3" x14ac:dyDescent="0.25">
      <c r="A908" t="s">
        <v>110</v>
      </c>
      <c r="B908" t="s">
        <v>18</v>
      </c>
      <c r="C908" t="s">
        <v>19</v>
      </c>
    </row>
    <row r="909" spans="1:3" x14ac:dyDescent="0.25">
      <c r="A909" t="s">
        <v>111</v>
      </c>
      <c r="B909" t="s">
        <v>25</v>
      </c>
      <c r="C909" t="s">
        <v>26</v>
      </c>
    </row>
    <row r="910" spans="1:3" x14ac:dyDescent="0.25">
      <c r="A910" t="s">
        <v>112</v>
      </c>
      <c r="B910" t="s">
        <v>25</v>
      </c>
      <c r="C910" t="s">
        <v>26</v>
      </c>
    </row>
    <row r="911" spans="1:3" x14ac:dyDescent="0.25">
      <c r="A911" t="s">
        <v>113</v>
      </c>
      <c r="B911" t="s">
        <v>18</v>
      </c>
      <c r="C911" t="s">
        <v>19</v>
      </c>
    </row>
    <row r="912" spans="1:3" x14ac:dyDescent="0.25">
      <c r="A912" t="s">
        <v>114</v>
      </c>
      <c r="B912" t="s">
        <v>25</v>
      </c>
      <c r="C912" t="s">
        <v>26</v>
      </c>
    </row>
    <row r="913" spans="1:3" x14ac:dyDescent="0.25">
      <c r="A913" t="s">
        <v>115</v>
      </c>
      <c r="B913" t="s">
        <v>25</v>
      </c>
      <c r="C913" t="s">
        <v>26</v>
      </c>
    </row>
    <row r="914" spans="1:3" x14ac:dyDescent="0.25">
      <c r="A914" t="s">
        <v>116</v>
      </c>
      <c r="B914" t="s">
        <v>25</v>
      </c>
      <c r="C914" t="s">
        <v>26</v>
      </c>
    </row>
    <row r="915" spans="1:3" x14ac:dyDescent="0.25">
      <c r="A915" t="s">
        <v>117</v>
      </c>
      <c r="B915" t="s">
        <v>42</v>
      </c>
      <c r="C915" t="s">
        <v>43</v>
      </c>
    </row>
    <row r="916" spans="1:3" x14ac:dyDescent="0.25">
      <c r="A916" t="s">
        <v>118</v>
      </c>
      <c r="B916" t="s">
        <v>25</v>
      </c>
      <c r="C916" t="s">
        <v>26</v>
      </c>
    </row>
    <row r="917" spans="1:3" x14ac:dyDescent="0.25">
      <c r="A917" t="s">
        <v>119</v>
      </c>
      <c r="B917" t="s">
        <v>25</v>
      </c>
      <c r="C917" t="s">
        <v>26</v>
      </c>
    </row>
    <row r="918" spans="1:3" x14ac:dyDescent="0.25">
      <c r="A918" t="s">
        <v>120</v>
      </c>
      <c r="B918" t="s">
        <v>25</v>
      </c>
      <c r="C918" t="s">
        <v>26</v>
      </c>
    </row>
    <row r="919" spans="1:3" x14ac:dyDescent="0.25">
      <c r="A919" t="s">
        <v>121</v>
      </c>
      <c r="B919" t="s">
        <v>25</v>
      </c>
      <c r="C919" t="s">
        <v>26</v>
      </c>
    </row>
    <row r="920" spans="1:3" x14ac:dyDescent="0.25">
      <c r="A920" t="s">
        <v>122</v>
      </c>
      <c r="B920" t="s">
        <v>25</v>
      </c>
      <c r="C920" t="s">
        <v>26</v>
      </c>
    </row>
    <row r="921" spans="1:3" x14ac:dyDescent="0.25">
      <c r="A921" t="s">
        <v>123</v>
      </c>
      <c r="B921" t="s">
        <v>18</v>
      </c>
      <c r="C921" t="s">
        <v>19</v>
      </c>
    </row>
    <row r="922" spans="1:3" x14ac:dyDescent="0.25">
      <c r="A922" t="s">
        <v>124</v>
      </c>
      <c r="B922" t="s">
        <v>18</v>
      </c>
      <c r="C922" t="s">
        <v>19</v>
      </c>
    </row>
    <row r="923" spans="1:3" x14ac:dyDescent="0.25">
      <c r="A923" t="s">
        <v>125</v>
      </c>
      <c r="B923" t="s">
        <v>42</v>
      </c>
      <c r="C923" t="s">
        <v>43</v>
      </c>
    </row>
    <row r="924" spans="1:3" x14ac:dyDescent="0.25">
      <c r="A924" t="s">
        <v>126</v>
      </c>
      <c r="B924" t="s">
        <v>25</v>
      </c>
      <c r="C924" t="s">
        <v>26</v>
      </c>
    </row>
    <row r="925" spans="1:3" x14ac:dyDescent="0.25">
      <c r="A925" t="s">
        <v>127</v>
      </c>
      <c r="B925" t="s">
        <v>25</v>
      </c>
      <c r="C925" t="s">
        <v>26</v>
      </c>
    </row>
    <row r="926" spans="1:3" x14ac:dyDescent="0.25">
      <c r="A926" t="s">
        <v>128</v>
      </c>
      <c r="B926" t="s">
        <v>18</v>
      </c>
      <c r="C926" t="s">
        <v>19</v>
      </c>
    </row>
    <row r="927" spans="1:3" x14ac:dyDescent="0.25">
      <c r="A927" t="s">
        <v>129</v>
      </c>
      <c r="B927" t="s">
        <v>42</v>
      </c>
      <c r="C927" t="s">
        <v>43</v>
      </c>
    </row>
    <row r="928" spans="1:3" x14ac:dyDescent="0.25">
      <c r="A928" t="s">
        <v>130</v>
      </c>
      <c r="B928" t="s">
        <v>25</v>
      </c>
      <c r="C928" t="s">
        <v>26</v>
      </c>
    </row>
    <row r="929" spans="1:3" x14ac:dyDescent="0.25">
      <c r="A929" t="s">
        <v>131</v>
      </c>
      <c r="B929" t="s">
        <v>18</v>
      </c>
      <c r="C929" t="s">
        <v>19</v>
      </c>
    </row>
    <row r="930" spans="1:3" x14ac:dyDescent="0.25">
      <c r="A930" t="s">
        <v>132</v>
      </c>
      <c r="B930" t="s">
        <v>42</v>
      </c>
      <c r="C930" t="s">
        <v>43</v>
      </c>
    </row>
    <row r="931" spans="1:3" x14ac:dyDescent="0.25">
      <c r="A931" t="s">
        <v>133</v>
      </c>
      <c r="B931" t="s">
        <v>25</v>
      </c>
      <c r="C931" t="s">
        <v>26</v>
      </c>
    </row>
    <row r="932" spans="1:3" x14ac:dyDescent="0.25">
      <c r="A932" t="s">
        <v>134</v>
      </c>
      <c r="B932" t="s">
        <v>18</v>
      </c>
      <c r="C932" t="s">
        <v>19</v>
      </c>
    </row>
    <row r="933" spans="1:3" x14ac:dyDescent="0.25">
      <c r="A933" t="s">
        <v>135</v>
      </c>
      <c r="B933" t="s">
        <v>42</v>
      </c>
      <c r="C933" t="s">
        <v>43</v>
      </c>
    </row>
    <row r="934" spans="1:3" x14ac:dyDescent="0.25">
      <c r="A934" t="s">
        <v>136</v>
      </c>
      <c r="B934" t="s">
        <v>25</v>
      </c>
      <c r="C934" t="s">
        <v>26</v>
      </c>
    </row>
    <row r="935" spans="1:3" x14ac:dyDescent="0.25">
      <c r="A935" t="s">
        <v>137</v>
      </c>
      <c r="B935" t="s">
        <v>25</v>
      </c>
      <c r="C935" t="s">
        <v>26</v>
      </c>
    </row>
    <row r="936" spans="1:3" x14ac:dyDescent="0.25">
      <c r="A936" t="s">
        <v>138</v>
      </c>
      <c r="B936" t="s">
        <v>25</v>
      </c>
      <c r="C936" t="s">
        <v>26</v>
      </c>
    </row>
    <row r="937" spans="1:3" x14ac:dyDescent="0.25">
      <c r="A937" t="s">
        <v>139</v>
      </c>
      <c r="B937" t="s">
        <v>18</v>
      </c>
      <c r="C937" t="s">
        <v>19</v>
      </c>
    </row>
    <row r="938" spans="1:3" x14ac:dyDescent="0.25">
      <c r="A938" t="s">
        <v>140</v>
      </c>
      <c r="B938" t="s">
        <v>42</v>
      </c>
      <c r="C938" t="s">
        <v>43</v>
      </c>
    </row>
    <row r="939" spans="1:3" x14ac:dyDescent="0.25">
      <c r="A939" t="s">
        <v>141</v>
      </c>
      <c r="B939" t="s">
        <v>18</v>
      </c>
      <c r="C939" t="s">
        <v>19</v>
      </c>
    </row>
    <row r="940" spans="1:3" x14ac:dyDescent="0.25">
      <c r="A940" t="s">
        <v>142</v>
      </c>
      <c r="B940" t="s">
        <v>25</v>
      </c>
      <c r="C940" t="s">
        <v>26</v>
      </c>
    </row>
    <row r="941" spans="1:3" x14ac:dyDescent="0.25">
      <c r="A941" t="s">
        <v>143</v>
      </c>
      <c r="B941" t="s">
        <v>18</v>
      </c>
      <c r="C941" t="s">
        <v>19</v>
      </c>
    </row>
    <row r="942" spans="1:3" x14ac:dyDescent="0.25">
      <c r="A942" t="s">
        <v>144</v>
      </c>
      <c r="B942" t="s">
        <v>25</v>
      </c>
      <c r="C942" t="s">
        <v>26</v>
      </c>
    </row>
    <row r="943" spans="1:3" x14ac:dyDescent="0.25">
      <c r="A943" t="s">
        <v>145</v>
      </c>
      <c r="B943" t="s">
        <v>25</v>
      </c>
      <c r="C943" t="s">
        <v>26</v>
      </c>
    </row>
    <row r="944" spans="1:3" x14ac:dyDescent="0.25">
      <c r="A944" t="s">
        <v>146</v>
      </c>
      <c r="B944" t="s">
        <v>42</v>
      </c>
      <c r="C944" t="s">
        <v>43</v>
      </c>
    </row>
    <row r="945" spans="1:3" x14ac:dyDescent="0.25">
      <c r="A945" t="s">
        <v>147</v>
      </c>
      <c r="B945" t="s">
        <v>25</v>
      </c>
      <c r="C945" t="s">
        <v>26</v>
      </c>
    </row>
    <row r="946" spans="1:3" x14ac:dyDescent="0.25">
      <c r="A946" t="s">
        <v>148</v>
      </c>
      <c r="B946" t="s">
        <v>42</v>
      </c>
      <c r="C946" t="s">
        <v>43</v>
      </c>
    </row>
    <row r="947" spans="1:3" x14ac:dyDescent="0.25">
      <c r="A947" t="s">
        <v>149</v>
      </c>
      <c r="B947" t="s">
        <v>18</v>
      </c>
      <c r="C947" t="s">
        <v>19</v>
      </c>
    </row>
    <row r="948" spans="1:3" x14ac:dyDescent="0.25">
      <c r="A948" t="s">
        <v>150</v>
      </c>
      <c r="B948" t="s">
        <v>25</v>
      </c>
      <c r="C948" t="s">
        <v>26</v>
      </c>
    </row>
    <row r="949" spans="1:3" x14ac:dyDescent="0.25">
      <c r="A949" t="s">
        <v>151</v>
      </c>
      <c r="B949" t="s">
        <v>25</v>
      </c>
      <c r="C949" t="s">
        <v>26</v>
      </c>
    </row>
    <row r="950" spans="1:3" x14ac:dyDescent="0.25">
      <c r="A950" t="s">
        <v>152</v>
      </c>
      <c r="B950" t="s">
        <v>42</v>
      </c>
      <c r="C950" t="s">
        <v>43</v>
      </c>
    </row>
    <row r="951" spans="1:3" x14ac:dyDescent="0.25">
      <c r="A951" t="s">
        <v>153</v>
      </c>
      <c r="B951" t="s">
        <v>42</v>
      </c>
      <c r="C951" t="s">
        <v>43</v>
      </c>
    </row>
    <row r="952" spans="1:3" x14ac:dyDescent="0.25">
      <c r="A952" t="s">
        <v>154</v>
      </c>
      <c r="B952" t="s">
        <v>18</v>
      </c>
      <c r="C952" t="s">
        <v>19</v>
      </c>
    </row>
    <row r="953" spans="1:3" x14ac:dyDescent="0.25">
      <c r="A953" t="s">
        <v>155</v>
      </c>
      <c r="B953" t="s">
        <v>42</v>
      </c>
      <c r="C953" t="s">
        <v>43</v>
      </c>
    </row>
    <row r="954" spans="1:3" x14ac:dyDescent="0.25">
      <c r="A954" t="s">
        <v>156</v>
      </c>
      <c r="B954" t="s">
        <v>18</v>
      </c>
      <c r="C954" t="s">
        <v>19</v>
      </c>
    </row>
    <row r="955" spans="1:3" x14ac:dyDescent="0.25">
      <c r="A955" t="s">
        <v>157</v>
      </c>
      <c r="B955" t="s">
        <v>25</v>
      </c>
      <c r="C955" t="s">
        <v>26</v>
      </c>
    </row>
    <row r="956" spans="1:3" x14ac:dyDescent="0.25">
      <c r="A956" t="s">
        <v>158</v>
      </c>
      <c r="B956" t="s">
        <v>42</v>
      </c>
      <c r="C956" t="s">
        <v>43</v>
      </c>
    </row>
    <row r="957" spans="1:3" x14ac:dyDescent="0.25">
      <c r="A957" t="s">
        <v>159</v>
      </c>
      <c r="B957" t="s">
        <v>25</v>
      </c>
      <c r="C957" t="s">
        <v>26</v>
      </c>
    </row>
    <row r="958" spans="1:3" x14ac:dyDescent="0.25">
      <c r="A958" t="s">
        <v>160</v>
      </c>
      <c r="B958" t="s">
        <v>42</v>
      </c>
      <c r="C958" t="s">
        <v>43</v>
      </c>
    </row>
    <row r="959" spans="1:3" x14ac:dyDescent="0.25">
      <c r="A959" t="s">
        <v>161</v>
      </c>
      <c r="B959" t="s">
        <v>18</v>
      </c>
      <c r="C959" t="s">
        <v>19</v>
      </c>
    </row>
    <row r="960" spans="1:3" x14ac:dyDescent="0.25">
      <c r="A960" t="s">
        <v>162</v>
      </c>
      <c r="B960" t="s">
        <v>18</v>
      </c>
      <c r="C960" t="s">
        <v>19</v>
      </c>
    </row>
    <row r="961" spans="1:3" x14ac:dyDescent="0.25">
      <c r="A961" t="s">
        <v>163</v>
      </c>
      <c r="B961" t="s">
        <v>25</v>
      </c>
      <c r="C961" t="s">
        <v>26</v>
      </c>
    </row>
    <row r="962" spans="1:3" x14ac:dyDescent="0.25">
      <c r="A962" t="s">
        <v>164</v>
      </c>
      <c r="B962" t="s">
        <v>25</v>
      </c>
      <c r="C962" t="s">
        <v>26</v>
      </c>
    </row>
    <row r="963" spans="1:3" x14ac:dyDescent="0.25">
      <c r="A963" t="s">
        <v>165</v>
      </c>
      <c r="B963" t="s">
        <v>42</v>
      </c>
      <c r="C963" t="s">
        <v>43</v>
      </c>
    </row>
    <row r="964" spans="1:3" x14ac:dyDescent="0.25">
      <c r="A964" t="s">
        <v>166</v>
      </c>
      <c r="B964" t="s">
        <v>42</v>
      </c>
      <c r="C964" t="s">
        <v>43</v>
      </c>
    </row>
    <row r="965" spans="1:3" x14ac:dyDescent="0.25">
      <c r="A965" t="s">
        <v>167</v>
      </c>
      <c r="B965" t="s">
        <v>18</v>
      </c>
      <c r="C965" t="s">
        <v>19</v>
      </c>
    </row>
    <row r="966" spans="1:3" x14ac:dyDescent="0.25">
      <c r="A966" t="s">
        <v>168</v>
      </c>
      <c r="B966" t="s">
        <v>42</v>
      </c>
      <c r="C966" t="s">
        <v>43</v>
      </c>
    </row>
    <row r="967" spans="1:3" x14ac:dyDescent="0.25">
      <c r="A967" t="s">
        <v>169</v>
      </c>
      <c r="B967" t="s">
        <v>42</v>
      </c>
      <c r="C967" t="s">
        <v>43</v>
      </c>
    </row>
    <row r="968" spans="1:3" x14ac:dyDescent="0.25">
      <c r="A968" t="s">
        <v>170</v>
      </c>
      <c r="B968" t="s">
        <v>25</v>
      </c>
      <c r="C968" t="s">
        <v>26</v>
      </c>
    </row>
    <row r="969" spans="1:3" x14ac:dyDescent="0.25">
      <c r="A969" t="s">
        <v>171</v>
      </c>
      <c r="B969" t="s">
        <v>25</v>
      </c>
      <c r="C969" t="s">
        <v>26</v>
      </c>
    </row>
    <row r="970" spans="1:3" x14ac:dyDescent="0.25">
      <c r="A970" t="s">
        <v>172</v>
      </c>
      <c r="B970" t="s">
        <v>18</v>
      </c>
      <c r="C970" t="s">
        <v>19</v>
      </c>
    </row>
    <row r="971" spans="1:3" x14ac:dyDescent="0.25">
      <c r="A971" t="s">
        <v>173</v>
      </c>
      <c r="B971" t="s">
        <v>18</v>
      </c>
      <c r="C971" t="s">
        <v>19</v>
      </c>
    </row>
    <row r="972" spans="1:3" x14ac:dyDescent="0.25">
      <c r="A972" t="s">
        <v>174</v>
      </c>
      <c r="B972" t="s">
        <v>42</v>
      </c>
      <c r="C972" t="s">
        <v>43</v>
      </c>
    </row>
    <row r="973" spans="1:3" x14ac:dyDescent="0.25">
      <c r="A973" t="s">
        <v>175</v>
      </c>
      <c r="B973" t="s">
        <v>18</v>
      </c>
      <c r="C973" t="s">
        <v>19</v>
      </c>
    </row>
    <row r="974" spans="1:3" x14ac:dyDescent="0.25">
      <c r="A974" t="s">
        <v>176</v>
      </c>
      <c r="B974" t="s">
        <v>25</v>
      </c>
      <c r="C974" t="s">
        <v>26</v>
      </c>
    </row>
    <row r="975" spans="1:3" x14ac:dyDescent="0.25">
      <c r="A975" t="s">
        <v>177</v>
      </c>
      <c r="B975" t="s">
        <v>25</v>
      </c>
      <c r="C975" t="s">
        <v>26</v>
      </c>
    </row>
    <row r="976" spans="1:3" x14ac:dyDescent="0.25">
      <c r="A976" t="s">
        <v>178</v>
      </c>
      <c r="B976" t="s">
        <v>25</v>
      </c>
      <c r="C976" t="s">
        <v>26</v>
      </c>
    </row>
    <row r="977" spans="1:3" x14ac:dyDescent="0.25">
      <c r="A977" t="s">
        <v>179</v>
      </c>
      <c r="B977" t="s">
        <v>25</v>
      </c>
      <c r="C977" t="s">
        <v>26</v>
      </c>
    </row>
    <row r="978" spans="1:3" x14ac:dyDescent="0.25">
      <c r="A978" t="s">
        <v>180</v>
      </c>
      <c r="B978" t="s">
        <v>18</v>
      </c>
      <c r="C978" t="s">
        <v>19</v>
      </c>
    </row>
    <row r="979" spans="1:3" x14ac:dyDescent="0.25">
      <c r="A979" t="s">
        <v>181</v>
      </c>
      <c r="B979" t="s">
        <v>25</v>
      </c>
      <c r="C979" t="s">
        <v>26</v>
      </c>
    </row>
    <row r="980" spans="1:3" x14ac:dyDescent="0.25">
      <c r="A980" t="s">
        <v>182</v>
      </c>
      <c r="B980" t="s">
        <v>18</v>
      </c>
      <c r="C980" t="s">
        <v>19</v>
      </c>
    </row>
    <row r="981" spans="1:3" x14ac:dyDescent="0.25">
      <c r="A981" t="s">
        <v>183</v>
      </c>
      <c r="B981" t="s">
        <v>25</v>
      </c>
      <c r="C981" t="s">
        <v>26</v>
      </c>
    </row>
    <row r="982" spans="1:3" x14ac:dyDescent="0.25">
      <c r="A982" t="s">
        <v>184</v>
      </c>
      <c r="B982" t="s">
        <v>42</v>
      </c>
      <c r="C982" t="s">
        <v>43</v>
      </c>
    </row>
    <row r="983" spans="1:3" x14ac:dyDescent="0.25">
      <c r="A983" t="s">
        <v>185</v>
      </c>
      <c r="B983" t="s">
        <v>18</v>
      </c>
      <c r="C983" t="s">
        <v>19</v>
      </c>
    </row>
    <row r="984" spans="1:3" x14ac:dyDescent="0.25">
      <c r="A984" t="s">
        <v>186</v>
      </c>
      <c r="B984" t="s">
        <v>42</v>
      </c>
      <c r="C984" t="s">
        <v>43</v>
      </c>
    </row>
    <row r="985" spans="1:3" x14ac:dyDescent="0.25">
      <c r="A985" t="s">
        <v>187</v>
      </c>
      <c r="B985" t="s">
        <v>25</v>
      </c>
      <c r="C985" t="s">
        <v>26</v>
      </c>
    </row>
    <row r="986" spans="1:3" x14ac:dyDescent="0.25">
      <c r="A986" t="s">
        <v>188</v>
      </c>
      <c r="B986" t="s">
        <v>18</v>
      </c>
      <c r="C986" t="s">
        <v>19</v>
      </c>
    </row>
    <row r="987" spans="1:3" x14ac:dyDescent="0.25">
      <c r="A987" t="s">
        <v>189</v>
      </c>
      <c r="B987" t="s">
        <v>25</v>
      </c>
      <c r="C987" t="s">
        <v>26</v>
      </c>
    </row>
    <row r="988" spans="1:3" x14ac:dyDescent="0.25">
      <c r="A988" t="s">
        <v>190</v>
      </c>
      <c r="B988" t="s">
        <v>25</v>
      </c>
      <c r="C988" t="s">
        <v>26</v>
      </c>
    </row>
    <row r="989" spans="1:3" x14ac:dyDescent="0.25">
      <c r="A989" t="s">
        <v>191</v>
      </c>
      <c r="B989" t="s">
        <v>18</v>
      </c>
      <c r="C989" t="s">
        <v>19</v>
      </c>
    </row>
    <row r="990" spans="1:3" x14ac:dyDescent="0.25">
      <c r="A990" t="s">
        <v>192</v>
      </c>
      <c r="B990" t="s">
        <v>42</v>
      </c>
      <c r="C990" t="s">
        <v>43</v>
      </c>
    </row>
    <row r="991" spans="1:3" x14ac:dyDescent="0.25">
      <c r="A991" t="s">
        <v>193</v>
      </c>
      <c r="B991" t="s">
        <v>42</v>
      </c>
      <c r="C991" t="s">
        <v>43</v>
      </c>
    </row>
    <row r="992" spans="1:3" x14ac:dyDescent="0.25">
      <c r="A992" t="s">
        <v>194</v>
      </c>
      <c r="B992" t="s">
        <v>42</v>
      </c>
      <c r="C992" t="s">
        <v>43</v>
      </c>
    </row>
    <row r="993" spans="1:3" x14ac:dyDescent="0.25">
      <c r="A993" t="s">
        <v>195</v>
      </c>
      <c r="B993" t="s">
        <v>42</v>
      </c>
      <c r="C993" t="s">
        <v>43</v>
      </c>
    </row>
    <row r="994" spans="1:3" x14ac:dyDescent="0.25">
      <c r="A994" t="s">
        <v>196</v>
      </c>
      <c r="B994" t="s">
        <v>25</v>
      </c>
      <c r="C994" t="s">
        <v>26</v>
      </c>
    </row>
    <row r="995" spans="1:3" x14ac:dyDescent="0.25">
      <c r="A995" t="s">
        <v>197</v>
      </c>
      <c r="B995" t="s">
        <v>18</v>
      </c>
      <c r="C995" t="s">
        <v>19</v>
      </c>
    </row>
    <row r="996" spans="1:3" x14ac:dyDescent="0.25">
      <c r="A996" t="s">
        <v>198</v>
      </c>
      <c r="B996" t="s">
        <v>18</v>
      </c>
      <c r="C996" t="s">
        <v>19</v>
      </c>
    </row>
    <row r="997" spans="1:3" x14ac:dyDescent="0.25">
      <c r="A997" t="s">
        <v>199</v>
      </c>
      <c r="B997" t="s">
        <v>25</v>
      </c>
      <c r="C997" t="s">
        <v>26</v>
      </c>
    </row>
    <row r="998" spans="1:3" x14ac:dyDescent="0.25">
      <c r="A998" t="s">
        <v>200</v>
      </c>
      <c r="B998" t="s">
        <v>42</v>
      </c>
      <c r="C998" t="s">
        <v>43</v>
      </c>
    </row>
    <row r="999" spans="1:3" x14ac:dyDescent="0.25">
      <c r="A999" t="s">
        <v>201</v>
      </c>
      <c r="B999" t="s">
        <v>42</v>
      </c>
      <c r="C999" t="s">
        <v>43</v>
      </c>
    </row>
    <row r="1000" spans="1:3" x14ac:dyDescent="0.25">
      <c r="A1000" t="s">
        <v>202</v>
      </c>
      <c r="B1000" t="s">
        <v>25</v>
      </c>
      <c r="C1000" t="s">
        <v>26</v>
      </c>
    </row>
    <row r="1001" spans="1:3" x14ac:dyDescent="0.25">
      <c r="A1001" t="s">
        <v>203</v>
      </c>
      <c r="B1001" t="s">
        <v>18</v>
      </c>
      <c r="C1001" t="s">
        <v>19</v>
      </c>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44D5E56-4DCF-4032-B2FD-5B66F94C059A}">
  <dimension ref="A2:AO52"/>
  <sheetViews>
    <sheetView topLeftCell="G1" zoomScaleNormal="100" workbookViewId="0">
      <selection activeCell="M17" sqref="M17"/>
    </sheetView>
  </sheetViews>
  <sheetFormatPr defaultRowHeight="15" x14ac:dyDescent="0.25"/>
  <cols>
    <col min="1" max="1" width="15.5703125" bestFit="1" customWidth="1"/>
    <col min="2" max="2" width="15.42578125" bestFit="1" customWidth="1"/>
    <col min="3" max="3" width="16.7109375" bestFit="1" customWidth="1"/>
    <col min="4" max="5" width="11.42578125" bestFit="1" customWidth="1"/>
    <col min="6" max="6" width="5.42578125" style="45" customWidth="1"/>
    <col min="7" max="7" width="9.140625" customWidth="1"/>
    <col min="8" max="8" width="6.5703125" bestFit="1" customWidth="1"/>
    <col min="9" max="9" width="15.42578125" bestFit="1" customWidth="1"/>
    <col min="10" max="10" width="8" bestFit="1" customWidth="1"/>
    <col min="11" max="11" width="5.42578125" style="45" customWidth="1"/>
    <col min="12" max="12" width="5.85546875" bestFit="1" customWidth="1"/>
    <col min="13" max="13" width="15.42578125" bestFit="1" customWidth="1"/>
    <col min="14" max="14" width="13.7109375" bestFit="1" customWidth="1"/>
    <col min="15" max="15" width="8" bestFit="1" customWidth="1"/>
    <col min="16" max="16" width="8.5703125" bestFit="1" customWidth="1"/>
    <col min="17" max="17" width="5.85546875" bestFit="1" customWidth="1"/>
    <col min="18" max="18" width="10" bestFit="1" customWidth="1"/>
    <col min="19" max="19" width="10.140625" bestFit="1" customWidth="1"/>
    <col min="20" max="20" width="8" style="51" bestFit="1" customWidth="1"/>
    <col min="21" max="21" width="8.5703125" bestFit="1" customWidth="1"/>
    <col min="22" max="22" width="13.7109375" bestFit="1" customWidth="1"/>
    <col min="23" max="23" width="15.5703125" bestFit="1" customWidth="1"/>
    <col min="24" max="24" width="12.140625" customWidth="1"/>
    <col min="25" max="25" width="8" bestFit="1" customWidth="1"/>
    <col min="26" max="26" width="8.5703125" style="51" bestFit="1" customWidth="1"/>
    <col min="27" max="27" width="5.85546875" bestFit="1" customWidth="1"/>
    <col min="28" max="28" width="9.28515625" bestFit="1" customWidth="1"/>
    <col min="29" max="29" width="15.5703125" bestFit="1" customWidth="1"/>
    <col min="30" max="30" width="13.5703125" customWidth="1"/>
    <col min="31" max="31" width="8.5703125" bestFit="1" customWidth="1"/>
    <col min="32" max="32" width="5.85546875" style="51" bestFit="1" customWidth="1"/>
    <col min="33" max="33" width="9.140625" bestFit="1" customWidth="1"/>
    <col min="34" max="34" width="10" bestFit="1" customWidth="1"/>
    <col min="35" max="35" width="15.5703125" bestFit="1" customWidth="1"/>
    <col min="36" max="36" width="10.140625" customWidth="1"/>
    <col min="37" max="37" width="8.140625" style="51" customWidth="1"/>
    <col min="38" max="38" width="9.28515625" customWidth="1"/>
    <col min="39" max="39" width="20.42578125" bestFit="1" customWidth="1"/>
    <col min="40" max="40" width="15.5703125" bestFit="1" customWidth="1"/>
    <col min="41" max="42" width="8.5703125" bestFit="1" customWidth="1"/>
    <col min="43" max="43" width="11.28515625" bestFit="1" customWidth="1"/>
    <col min="44" max="51" width="13.7109375" bestFit="1" customWidth="1"/>
    <col min="52" max="52" width="11.28515625" bestFit="1" customWidth="1"/>
    <col min="53" max="53" width="8.140625" bestFit="1" customWidth="1"/>
    <col min="56" max="56" width="9" bestFit="1" customWidth="1"/>
    <col min="57" max="65" width="8" bestFit="1" customWidth="1"/>
    <col min="66" max="67" width="9" bestFit="1" customWidth="1"/>
    <col min="69" max="77" width="8.140625" bestFit="1" customWidth="1"/>
    <col min="80" max="80" width="9" bestFit="1" customWidth="1"/>
    <col min="81" max="89" width="8" bestFit="1" customWidth="1"/>
    <col min="90" max="91" width="9" bestFit="1" customWidth="1"/>
    <col min="93" max="101" width="8.140625" bestFit="1" customWidth="1"/>
    <col min="104" max="104" width="9" bestFit="1" customWidth="1"/>
    <col min="105" max="113" width="8" bestFit="1" customWidth="1"/>
    <col min="114" max="115" width="9" bestFit="1" customWidth="1"/>
    <col min="117" max="125" width="8.140625" bestFit="1" customWidth="1"/>
    <col min="128" max="128" width="9" bestFit="1" customWidth="1"/>
    <col min="129" max="137" width="8" bestFit="1" customWidth="1"/>
    <col min="138" max="139" width="9" bestFit="1" customWidth="1"/>
    <col min="141" max="149" width="8.140625" bestFit="1" customWidth="1"/>
    <col min="152" max="152" width="9" bestFit="1" customWidth="1"/>
    <col min="153" max="161" width="8" bestFit="1" customWidth="1"/>
    <col min="162" max="163" width="9" bestFit="1" customWidth="1"/>
    <col min="165" max="173" width="8.140625" bestFit="1" customWidth="1"/>
    <col min="176" max="176" width="9" bestFit="1" customWidth="1"/>
    <col min="177" max="185" width="8" bestFit="1" customWidth="1"/>
    <col min="186" max="187" width="9" bestFit="1" customWidth="1"/>
    <col min="189" max="197" width="8.140625" bestFit="1" customWidth="1"/>
    <col min="200" max="200" width="9" bestFit="1" customWidth="1"/>
    <col min="201" max="209" width="8" bestFit="1" customWidth="1"/>
    <col min="210" max="211" width="9" bestFit="1" customWidth="1"/>
    <col min="213" max="221" width="8.140625" bestFit="1" customWidth="1"/>
    <col min="224" max="224" width="9" bestFit="1" customWidth="1"/>
    <col min="225" max="233" width="8" bestFit="1" customWidth="1"/>
    <col min="234" max="235" width="9" bestFit="1" customWidth="1"/>
    <col min="237" max="245" width="8.140625" bestFit="1" customWidth="1"/>
    <col min="248" max="248" width="9" bestFit="1" customWidth="1"/>
    <col min="249" max="257" width="8" bestFit="1" customWidth="1"/>
    <col min="258" max="259" width="9" bestFit="1" customWidth="1"/>
    <col min="261" max="269" width="8.140625" bestFit="1" customWidth="1"/>
    <col min="272" max="272" width="9" bestFit="1" customWidth="1"/>
    <col min="273" max="281" width="8" bestFit="1" customWidth="1"/>
    <col min="282" max="283" width="9" bestFit="1" customWidth="1"/>
    <col min="285" max="293" width="8.140625" bestFit="1" customWidth="1"/>
    <col min="296" max="296" width="9" bestFit="1" customWidth="1"/>
    <col min="297" max="305" width="8" bestFit="1" customWidth="1"/>
    <col min="306" max="307" width="9" bestFit="1" customWidth="1"/>
    <col min="309" max="317" width="8.140625" bestFit="1" customWidth="1"/>
    <col min="320" max="320" width="9" bestFit="1" customWidth="1"/>
    <col min="321" max="329" width="8" bestFit="1" customWidth="1"/>
    <col min="330" max="331" width="9" bestFit="1" customWidth="1"/>
    <col min="333" max="341" width="8.140625" bestFit="1" customWidth="1"/>
    <col min="344" max="344" width="9" bestFit="1" customWidth="1"/>
    <col min="345" max="353" width="8" bestFit="1" customWidth="1"/>
    <col min="354" max="355" width="9" bestFit="1" customWidth="1"/>
    <col min="357" max="365" width="8.140625" bestFit="1" customWidth="1"/>
    <col min="368" max="368" width="9" bestFit="1" customWidth="1"/>
    <col min="369" max="377" width="8" bestFit="1" customWidth="1"/>
    <col min="378" max="379" width="9" bestFit="1" customWidth="1"/>
    <col min="381" max="389" width="8.140625" bestFit="1" customWidth="1"/>
    <col min="392" max="392" width="9" bestFit="1" customWidth="1"/>
    <col min="393" max="401" width="8" bestFit="1" customWidth="1"/>
    <col min="402" max="403" width="9" bestFit="1" customWidth="1"/>
    <col min="405" max="413" width="8.140625" bestFit="1" customWidth="1"/>
    <col min="416" max="416" width="9" bestFit="1" customWidth="1"/>
    <col min="417" max="425" width="8" bestFit="1" customWidth="1"/>
    <col min="426" max="427" width="9" bestFit="1" customWidth="1"/>
    <col min="429" max="437" width="8.140625" bestFit="1" customWidth="1"/>
    <col min="440" max="440" width="9" bestFit="1" customWidth="1"/>
    <col min="441" max="449" width="8" bestFit="1" customWidth="1"/>
    <col min="450" max="451" width="9" bestFit="1" customWidth="1"/>
    <col min="453" max="461" width="8.140625" bestFit="1" customWidth="1"/>
    <col min="464" max="464" width="9" bestFit="1" customWidth="1"/>
    <col min="465" max="473" width="8" bestFit="1" customWidth="1"/>
    <col min="474" max="475" width="9" bestFit="1" customWidth="1"/>
    <col min="477" max="485" width="8.140625" bestFit="1" customWidth="1"/>
    <col min="488" max="488" width="9" bestFit="1" customWidth="1"/>
    <col min="489" max="497" width="8" bestFit="1" customWidth="1"/>
    <col min="498" max="499" width="9" bestFit="1" customWidth="1"/>
    <col min="501" max="509" width="8.140625" bestFit="1" customWidth="1"/>
    <col min="512" max="512" width="9" bestFit="1" customWidth="1"/>
    <col min="513" max="521" width="8" bestFit="1" customWidth="1"/>
    <col min="522" max="523" width="9" bestFit="1" customWidth="1"/>
    <col min="525" max="533" width="8.140625" bestFit="1" customWidth="1"/>
    <col min="536" max="536" width="9" bestFit="1" customWidth="1"/>
    <col min="537" max="545" width="8" bestFit="1" customWidth="1"/>
    <col min="546" max="547" width="9" bestFit="1" customWidth="1"/>
    <col min="549" max="557" width="8.140625" bestFit="1" customWidth="1"/>
    <col min="560" max="560" width="9" bestFit="1" customWidth="1"/>
    <col min="561" max="569" width="8" bestFit="1" customWidth="1"/>
    <col min="570" max="571" width="9" bestFit="1" customWidth="1"/>
    <col min="573" max="581" width="8.140625" bestFit="1" customWidth="1"/>
    <col min="584" max="584" width="9" bestFit="1" customWidth="1"/>
    <col min="585" max="593" width="8" bestFit="1" customWidth="1"/>
    <col min="594" max="595" width="9" bestFit="1" customWidth="1"/>
    <col min="597" max="605" width="8.140625" bestFit="1" customWidth="1"/>
    <col min="608" max="608" width="9" bestFit="1" customWidth="1"/>
    <col min="609" max="617" width="8" bestFit="1" customWidth="1"/>
    <col min="618" max="619" width="9" bestFit="1" customWidth="1"/>
    <col min="621" max="629" width="8.140625" bestFit="1" customWidth="1"/>
    <col min="632" max="632" width="9" bestFit="1" customWidth="1"/>
    <col min="633" max="641" width="8" bestFit="1" customWidth="1"/>
    <col min="642" max="643" width="9" bestFit="1" customWidth="1"/>
    <col min="645" max="653" width="8.140625" bestFit="1" customWidth="1"/>
    <col min="656" max="656" width="9" bestFit="1" customWidth="1"/>
    <col min="657" max="665" width="8" bestFit="1" customWidth="1"/>
    <col min="666" max="667" width="9" bestFit="1" customWidth="1"/>
    <col min="669" max="677" width="8.140625" bestFit="1" customWidth="1"/>
    <col min="680" max="680" width="9" bestFit="1" customWidth="1"/>
    <col min="681" max="689" width="8" bestFit="1" customWidth="1"/>
    <col min="690" max="691" width="9" bestFit="1" customWidth="1"/>
    <col min="693" max="701" width="8.140625" bestFit="1" customWidth="1"/>
    <col min="704" max="704" width="9" bestFit="1" customWidth="1"/>
    <col min="705" max="713" width="8" bestFit="1" customWidth="1"/>
    <col min="714" max="715" width="9" bestFit="1" customWidth="1"/>
    <col min="717" max="725" width="8.140625" bestFit="1" customWidth="1"/>
    <col min="728" max="728" width="9" bestFit="1" customWidth="1"/>
    <col min="729" max="737" width="8" bestFit="1" customWidth="1"/>
    <col min="738" max="739" width="9" bestFit="1" customWidth="1"/>
    <col min="741" max="749" width="8.140625" bestFit="1" customWidth="1"/>
    <col min="752" max="752" width="9" bestFit="1" customWidth="1"/>
    <col min="753" max="761" width="8" bestFit="1" customWidth="1"/>
    <col min="762" max="763" width="9" bestFit="1" customWidth="1"/>
    <col min="765" max="773" width="8.140625" bestFit="1" customWidth="1"/>
    <col min="776" max="776" width="9" bestFit="1" customWidth="1"/>
    <col min="777" max="785" width="8" bestFit="1" customWidth="1"/>
    <col min="786" max="787" width="9" bestFit="1" customWidth="1"/>
    <col min="789" max="797" width="8.140625" bestFit="1" customWidth="1"/>
    <col min="800" max="800" width="9" bestFit="1" customWidth="1"/>
    <col min="801" max="809" width="8" bestFit="1" customWidth="1"/>
    <col min="810" max="811" width="9" bestFit="1" customWidth="1"/>
    <col min="813" max="821" width="8.140625" bestFit="1" customWidth="1"/>
    <col min="824" max="824" width="9" bestFit="1" customWidth="1"/>
    <col min="825" max="833" width="8" bestFit="1" customWidth="1"/>
    <col min="834" max="835" width="9" bestFit="1" customWidth="1"/>
    <col min="837" max="845" width="8.140625" bestFit="1" customWidth="1"/>
    <col min="848" max="848" width="9" bestFit="1" customWidth="1"/>
    <col min="849" max="857" width="8" bestFit="1" customWidth="1"/>
    <col min="858" max="859" width="9" bestFit="1" customWidth="1"/>
    <col min="861" max="869" width="8.140625" bestFit="1" customWidth="1"/>
    <col min="872" max="872" width="9" bestFit="1" customWidth="1"/>
    <col min="873" max="881" width="8" bestFit="1" customWidth="1"/>
    <col min="882" max="883" width="9" bestFit="1" customWidth="1"/>
    <col min="885" max="893" width="8.140625" bestFit="1" customWidth="1"/>
    <col min="896" max="896" width="9" bestFit="1" customWidth="1"/>
    <col min="897" max="905" width="8" bestFit="1" customWidth="1"/>
    <col min="906" max="907" width="9" bestFit="1" customWidth="1"/>
    <col min="909" max="917" width="8.140625" bestFit="1" customWidth="1"/>
    <col min="920" max="920" width="9" bestFit="1" customWidth="1"/>
    <col min="921" max="929" width="8" bestFit="1" customWidth="1"/>
    <col min="930" max="931" width="9" bestFit="1" customWidth="1"/>
    <col min="933" max="941" width="8.140625" bestFit="1" customWidth="1"/>
    <col min="944" max="944" width="9" bestFit="1" customWidth="1"/>
    <col min="945" max="953" width="8" bestFit="1" customWidth="1"/>
    <col min="954" max="955" width="9" bestFit="1" customWidth="1"/>
    <col min="957" max="965" width="8.140625" bestFit="1" customWidth="1"/>
    <col min="968" max="968" width="9" bestFit="1" customWidth="1"/>
    <col min="969" max="977" width="8" bestFit="1" customWidth="1"/>
    <col min="978" max="979" width="9" bestFit="1" customWidth="1"/>
    <col min="981" max="989" width="8.140625" bestFit="1" customWidth="1"/>
    <col min="992" max="992" width="9" bestFit="1" customWidth="1"/>
    <col min="993" max="1001" width="8" bestFit="1" customWidth="1"/>
    <col min="1002" max="1003" width="9" bestFit="1" customWidth="1"/>
    <col min="1005" max="1008" width="8.140625" bestFit="1" customWidth="1"/>
    <col min="1009" max="1009" width="11.28515625" bestFit="1" customWidth="1"/>
  </cols>
  <sheetData>
    <row r="2" spans="1:41" x14ac:dyDescent="0.25">
      <c r="A2" t="s">
        <v>1041</v>
      </c>
      <c r="B2" t="s">
        <v>1059</v>
      </c>
      <c r="C2" t="s">
        <v>1044</v>
      </c>
      <c r="D2" t="s">
        <v>1064</v>
      </c>
      <c r="E2" t="s">
        <v>1065</v>
      </c>
    </row>
    <row r="3" spans="1:41" x14ac:dyDescent="0.25">
      <c r="A3" s="41">
        <v>322966.74900000007</v>
      </c>
      <c r="B3" s="54">
        <v>5510</v>
      </c>
      <c r="C3" s="7">
        <v>6.9727000000000032</v>
      </c>
      <c r="D3" s="41">
        <v>307587.38000000035</v>
      </c>
      <c r="E3" s="41">
        <v>15379.369000000002</v>
      </c>
      <c r="H3" s="46" t="s">
        <v>1039</v>
      </c>
      <c r="I3" t="s">
        <v>1059</v>
      </c>
      <c r="M3" s="46" t="s">
        <v>1043</v>
      </c>
      <c r="N3" t="s">
        <v>1059</v>
      </c>
      <c r="V3" s="46" t="s">
        <v>1043</v>
      </c>
      <c r="W3" t="s">
        <v>1041</v>
      </c>
      <c r="AB3" s="46" t="s">
        <v>1038</v>
      </c>
      <c r="AC3" t="s">
        <v>1041</v>
      </c>
      <c r="AH3" s="46" t="s">
        <v>1036</v>
      </c>
      <c r="AI3" t="s">
        <v>1041</v>
      </c>
      <c r="AM3" s="46" t="s">
        <v>1037</v>
      </c>
      <c r="AN3" t="s">
        <v>1041</v>
      </c>
    </row>
    <row r="4" spans="1:41" x14ac:dyDescent="0.25">
      <c r="H4" t="s">
        <v>1045</v>
      </c>
      <c r="I4" s="43">
        <v>778</v>
      </c>
      <c r="M4" t="s">
        <v>1055</v>
      </c>
      <c r="N4" s="43">
        <v>959</v>
      </c>
      <c r="V4" t="s">
        <v>1057</v>
      </c>
      <c r="W4" s="52">
        <v>171678.3180000002</v>
      </c>
      <c r="AB4" t="s">
        <v>1052</v>
      </c>
      <c r="AC4" s="41">
        <v>116291.86800000005</v>
      </c>
      <c r="AH4" t="s">
        <v>20</v>
      </c>
      <c r="AI4" s="52">
        <v>164223.44400000002</v>
      </c>
      <c r="AM4" t="s">
        <v>44</v>
      </c>
      <c r="AN4" s="52">
        <v>56144.844000000005</v>
      </c>
    </row>
    <row r="5" spans="1:41" x14ac:dyDescent="0.25">
      <c r="H5" t="s">
        <v>1046</v>
      </c>
      <c r="I5" s="43">
        <v>638</v>
      </c>
      <c r="M5" t="s">
        <v>1056</v>
      </c>
      <c r="N5" s="43">
        <v>1153</v>
      </c>
      <c r="V5" t="s">
        <v>1056</v>
      </c>
      <c r="W5" s="52">
        <v>61828.273500000003</v>
      </c>
      <c r="AB5" t="s">
        <v>1053</v>
      </c>
      <c r="AC5" s="41">
        <v>97219.373999999967</v>
      </c>
      <c r="AH5" t="s">
        <v>27</v>
      </c>
      <c r="AI5" s="52">
        <v>158743.30500000005</v>
      </c>
      <c r="AM5" t="s">
        <v>36</v>
      </c>
      <c r="AN5" s="52">
        <v>55122.826499999996</v>
      </c>
    </row>
    <row r="6" spans="1:41" x14ac:dyDescent="0.25">
      <c r="H6" t="s">
        <v>1047</v>
      </c>
      <c r="I6" s="43">
        <v>862</v>
      </c>
      <c r="M6" t="s">
        <v>1057</v>
      </c>
      <c r="N6" s="43">
        <v>2944</v>
      </c>
      <c r="V6" t="s">
        <v>1055</v>
      </c>
      <c r="W6" s="52">
        <v>60706.957500000019</v>
      </c>
      <c r="AB6" t="s">
        <v>1054</v>
      </c>
      <c r="AC6" s="41">
        <v>109455.50700000004</v>
      </c>
      <c r="AM6" t="s">
        <v>28</v>
      </c>
      <c r="AN6" s="52">
        <v>54337.531500000005</v>
      </c>
    </row>
    <row r="7" spans="1:41" x14ac:dyDescent="0.25">
      <c r="H7" t="s">
        <v>1048</v>
      </c>
      <c r="I7" s="43">
        <v>800</v>
      </c>
      <c r="M7" t="s">
        <v>1058</v>
      </c>
      <c r="N7" s="43">
        <v>454</v>
      </c>
      <c r="V7" t="s">
        <v>1058</v>
      </c>
      <c r="W7" s="52">
        <v>28753.200000000004</v>
      </c>
      <c r="AM7" t="s">
        <v>46</v>
      </c>
      <c r="AN7" s="52">
        <v>54305.894999999997</v>
      </c>
    </row>
    <row r="8" spans="1:41" x14ac:dyDescent="0.25">
      <c r="H8" t="s">
        <v>1049</v>
      </c>
      <c r="I8" s="43">
        <v>755</v>
      </c>
      <c r="W8" s="52"/>
      <c r="AH8" t="str">
        <f>AH3</f>
        <v>CustomerType</v>
      </c>
      <c r="AI8" t="str">
        <f>AI3</f>
        <v>Sum of Revenue</v>
      </c>
      <c r="AM8" t="s">
        <v>32</v>
      </c>
      <c r="AN8" s="52">
        <v>53861.913000000008</v>
      </c>
    </row>
    <row r="9" spans="1:41" x14ac:dyDescent="0.25">
      <c r="H9" t="s">
        <v>1050</v>
      </c>
      <c r="I9" s="43">
        <v>758</v>
      </c>
      <c r="AB9" t="str">
        <f>AB3</f>
        <v>Month</v>
      </c>
      <c r="AC9" t="str">
        <f>AC3</f>
        <v>Sum of Revenue</v>
      </c>
      <c r="AD9" t="s">
        <v>1060</v>
      </c>
      <c r="AH9" t="str">
        <f t="shared" ref="AH9:AI9" si="0">AH4</f>
        <v>Member</v>
      </c>
      <c r="AI9" s="41">
        <f t="shared" si="0"/>
        <v>164223.44400000002</v>
      </c>
      <c r="AJ9" s="53"/>
      <c r="AM9" t="s">
        <v>22</v>
      </c>
      <c r="AN9" s="52">
        <v>49193.739000000016</v>
      </c>
    </row>
    <row r="10" spans="1:41" x14ac:dyDescent="0.25">
      <c r="H10" t="s">
        <v>1051</v>
      </c>
      <c r="I10" s="43">
        <v>919</v>
      </c>
      <c r="M10" t="str">
        <f>M3</f>
        <v>Time of Day</v>
      </c>
      <c r="N10" t="str">
        <f>N3</f>
        <v>Sum of Quantity</v>
      </c>
      <c r="O10" t="s">
        <v>1061</v>
      </c>
      <c r="P10" t="s">
        <v>1063</v>
      </c>
      <c r="V10" t="str">
        <f>V3</f>
        <v>Time of Day</v>
      </c>
      <c r="W10" t="str">
        <f>W3</f>
        <v>Sum of Revenue</v>
      </c>
      <c r="X10" t="s">
        <v>1060</v>
      </c>
      <c r="AB10" t="str">
        <f t="shared" ref="AB10:AC10" si="1">AB4</f>
        <v>Jan</v>
      </c>
      <c r="AC10" s="41">
        <f t="shared" si="1"/>
        <v>116291.86800000005</v>
      </c>
      <c r="AD10" s="41">
        <f>IF(AC10=MAX($AC$10:$AC$12),AC10,"")</f>
        <v>116291.86800000005</v>
      </c>
      <c r="AH10" t="str">
        <f t="shared" ref="AH10:AI10" si="2">AH5</f>
        <v>Normal</v>
      </c>
      <c r="AI10" s="41">
        <f t="shared" si="2"/>
        <v>158743.30500000005</v>
      </c>
      <c r="AJ10" s="53"/>
    </row>
    <row r="11" spans="1:41" x14ac:dyDescent="0.25">
      <c r="M11" t="str">
        <f t="shared" ref="M11:N11" si="3">M4</f>
        <v>Afternoon</v>
      </c>
      <c r="N11">
        <f t="shared" si="3"/>
        <v>959</v>
      </c>
      <c r="O11" t="str">
        <f>IF(N11=MAX($N$11:$N$14),N11,"")</f>
        <v/>
      </c>
      <c r="P11" s="53">
        <f>N11/SUM($N$11:$N$14)</f>
        <v>0.17404718693284937</v>
      </c>
      <c r="V11" t="str">
        <f t="shared" ref="V11:W11" si="4">V4</f>
        <v>Morning</v>
      </c>
      <c r="W11" s="52">
        <f t="shared" si="4"/>
        <v>171678.3180000002</v>
      </c>
      <c r="X11" s="52">
        <f>IF(W11=MAX($W$11:$W$14),W11,"")</f>
        <v>171678.3180000002</v>
      </c>
      <c r="AB11" t="str">
        <f t="shared" ref="AB11:AC11" si="5">AB5</f>
        <v>Feb</v>
      </c>
      <c r="AC11" s="41">
        <f t="shared" si="5"/>
        <v>97219.373999999967</v>
      </c>
      <c r="AD11" s="41" t="str">
        <f t="shared" ref="AD11:AD12" si="6">IF(AC11=MAX($AC$10:$AC$12),AC11,"")</f>
        <v/>
      </c>
    </row>
    <row r="12" spans="1:41" x14ac:dyDescent="0.25">
      <c r="H12" t="str">
        <f>H3</f>
        <v>Day</v>
      </c>
      <c r="I12" t="str">
        <f>I3</f>
        <v>Sum of Quantity</v>
      </c>
      <c r="J12" t="s">
        <v>1060</v>
      </c>
      <c r="M12" t="str">
        <f t="shared" ref="M12:N12" si="7">M5</f>
        <v>Evening</v>
      </c>
      <c r="N12">
        <f t="shared" si="7"/>
        <v>1153</v>
      </c>
      <c r="O12" t="str">
        <f t="shared" ref="O12:O14" si="8">IF(N12=MAX($N$11:$N$14),N12,"")</f>
        <v/>
      </c>
      <c r="P12" s="53">
        <f t="shared" ref="P12:P14" si="9">N12/SUM($N$11:$N$14)</f>
        <v>0.20925589836660616</v>
      </c>
      <c r="V12" t="str">
        <f t="shared" ref="V12:W12" si="10">V5</f>
        <v>Evening</v>
      </c>
      <c r="W12" s="52">
        <f t="shared" si="10"/>
        <v>61828.273500000003</v>
      </c>
      <c r="X12" s="52" t="str">
        <f t="shared" ref="X12:X14" si="11">IF(W12=MAX($W$11:$W$14),W12,"")</f>
        <v/>
      </c>
      <c r="AB12" t="str">
        <f t="shared" ref="AB12:AC12" si="12">AB6</f>
        <v>Mar</v>
      </c>
      <c r="AC12" s="41">
        <f t="shared" si="12"/>
        <v>109455.50700000004</v>
      </c>
      <c r="AD12" s="41" t="str">
        <f t="shared" si="6"/>
        <v/>
      </c>
      <c r="AM12" t="str">
        <f>AM3</f>
        <v>Product Line</v>
      </c>
      <c r="AN12" t="str">
        <f>AN3</f>
        <v>Sum of Revenue</v>
      </c>
      <c r="AO12" t="s">
        <v>1060</v>
      </c>
    </row>
    <row r="13" spans="1:41" x14ac:dyDescent="0.25">
      <c r="H13" t="str">
        <f t="shared" ref="H13:I13" si="13">H4</f>
        <v>Sun</v>
      </c>
      <c r="I13">
        <f t="shared" si="13"/>
        <v>778</v>
      </c>
      <c r="J13" t="str">
        <f>IF(I13=MAX($I$13:$I$19),I13,"")</f>
        <v/>
      </c>
      <c r="M13" t="str">
        <f t="shared" ref="M13:N13" si="14">M6</f>
        <v>Morning</v>
      </c>
      <c r="N13">
        <f t="shared" si="14"/>
        <v>2944</v>
      </c>
      <c r="O13">
        <f t="shared" si="8"/>
        <v>2944</v>
      </c>
      <c r="P13" s="53">
        <f t="shared" si="9"/>
        <v>0.53430127041742281</v>
      </c>
      <c r="V13" t="str">
        <f t="shared" ref="V13:W13" si="15">V6</f>
        <v>Afternoon</v>
      </c>
      <c r="W13" s="52">
        <f t="shared" si="15"/>
        <v>60706.957500000019</v>
      </c>
      <c r="X13" s="52" t="str">
        <f t="shared" si="11"/>
        <v/>
      </c>
      <c r="AM13" t="str">
        <f t="shared" ref="AM13:AN13" si="16">AM4</f>
        <v>Food and beverages</v>
      </c>
      <c r="AN13" s="41">
        <f t="shared" si="16"/>
        <v>56144.844000000005</v>
      </c>
      <c r="AO13" s="41">
        <f>IF(AN13=MAX($AN$13:$AN$18),AN13,"")</f>
        <v>56144.844000000005</v>
      </c>
    </row>
    <row r="14" spans="1:41" x14ac:dyDescent="0.25">
      <c r="H14" t="str">
        <f t="shared" ref="H14:I14" si="17">H5</f>
        <v>Mon</v>
      </c>
      <c r="I14">
        <f t="shared" si="17"/>
        <v>638</v>
      </c>
      <c r="J14" t="str">
        <f t="shared" ref="J14:J19" si="18">IF(I14=MAX($I$13:$I$19),I14,"")</f>
        <v/>
      </c>
      <c r="M14" t="str">
        <f t="shared" ref="M14:N14" si="19">M7</f>
        <v>Night</v>
      </c>
      <c r="N14">
        <f t="shared" si="19"/>
        <v>454</v>
      </c>
      <c r="O14" t="str">
        <f t="shared" si="8"/>
        <v/>
      </c>
      <c r="P14" s="53">
        <f t="shared" si="9"/>
        <v>8.23956442831216E-2</v>
      </c>
      <c r="V14" t="str">
        <f t="shared" ref="V14:W14" si="20">V7</f>
        <v>Night</v>
      </c>
      <c r="W14" s="52">
        <f t="shared" si="20"/>
        <v>28753.200000000004</v>
      </c>
      <c r="X14" s="52" t="str">
        <f t="shared" si="11"/>
        <v/>
      </c>
      <c r="AM14" t="str">
        <f t="shared" ref="AM14:AN14" si="21">AM5</f>
        <v>Sports and travel</v>
      </c>
      <c r="AN14" s="41">
        <f t="shared" si="21"/>
        <v>55122.826499999996</v>
      </c>
      <c r="AO14" s="41" t="str">
        <f t="shared" ref="AO14:AO18" si="22">IF(AN14=MAX($AN$13:$AN$18),AN14,"")</f>
        <v/>
      </c>
    </row>
    <row r="15" spans="1:41" x14ac:dyDescent="0.25">
      <c r="H15" t="str">
        <f t="shared" ref="H15:I15" si="23">H6</f>
        <v>Tue</v>
      </c>
      <c r="I15">
        <f t="shared" si="23"/>
        <v>862</v>
      </c>
      <c r="J15" t="str">
        <f t="shared" si="18"/>
        <v/>
      </c>
      <c r="AB15" t="str">
        <f>"📌 The peak Month of sales is "&amp;INDEX($AB$10:$AB$12,MATCH(MAX($AC$10:$AC$12),$AC$10:$AC$12,0))&amp;" raking in "&amp;TEXT(MAX($AC$10:$AC$12),"$#,##")&amp;" in revenue."</f>
        <v>📌 The peak Month of sales is Jan raking in $116,292 in revenue.</v>
      </c>
      <c r="AM15" t="str">
        <f t="shared" ref="AM15:AN15" si="24">AM6</f>
        <v>Electronic accessories</v>
      </c>
      <c r="AN15" s="41">
        <f t="shared" si="24"/>
        <v>54337.531500000005</v>
      </c>
      <c r="AO15" s="41" t="str">
        <f t="shared" si="22"/>
        <v/>
      </c>
    </row>
    <row r="16" spans="1:41" x14ac:dyDescent="0.25">
      <c r="H16" t="str">
        <f t="shared" ref="H16:I16" si="25">H7</f>
        <v>Wed</v>
      </c>
      <c r="I16">
        <f t="shared" si="25"/>
        <v>800</v>
      </c>
      <c r="J16" t="str">
        <f t="shared" si="18"/>
        <v/>
      </c>
      <c r="M16" t="str">
        <f>"📌 "&amp;INDEX($M$11:$M$14,MATCH(MAX($N$11:$N$14),$N$11:$N$14,0))&amp;" is the overall peak hour of sales with quantity of "&amp;MAX($N$11:$N$14)&amp;" oredered equating "&amp;TEXT(_xlfn.XLOOKUP(MAX($N$11:$N$14),$N$11:$N$14,$P$11:$P$14,,0),"0%")&amp;" total order per day.Generating "&amp;TEXT(MAX($W$11:$W$14),"$#,##")&amp;" In revenue."</f>
        <v>📌 Morning is the overall peak hour of sales with quantity of 2944 oredered equating 53% total order per day.Generating $171,678 In revenue.</v>
      </c>
      <c r="AM16" t="str">
        <f t="shared" ref="AM16:AN16" si="26">AM7</f>
        <v>Fashion accessories</v>
      </c>
      <c r="AN16" s="41">
        <f t="shared" si="26"/>
        <v>54305.894999999997</v>
      </c>
      <c r="AO16" s="41" t="str">
        <f t="shared" si="22"/>
        <v/>
      </c>
    </row>
    <row r="17" spans="7:41" x14ac:dyDescent="0.25">
      <c r="H17" t="str">
        <f t="shared" ref="H17:I17" si="27">H8</f>
        <v>Thu</v>
      </c>
      <c r="I17">
        <f t="shared" si="27"/>
        <v>755</v>
      </c>
      <c r="J17" t="str">
        <f t="shared" si="18"/>
        <v/>
      </c>
      <c r="V17" t="str">
        <f>"Generating "&amp;TEXT(MAX($W$11:$W$14),"$#,##")&amp;" In revenue."</f>
        <v>Generating $171,678 In revenue.</v>
      </c>
      <c r="AH17" s="46" t="s">
        <v>4</v>
      </c>
      <c r="AI17" t="s">
        <v>1041</v>
      </c>
      <c r="AM17" t="str">
        <f t="shared" ref="AM17:AN17" si="28">AM8</f>
        <v>Home and lifestyle</v>
      </c>
      <c r="AN17" s="41">
        <f t="shared" si="28"/>
        <v>53861.913000000008</v>
      </c>
      <c r="AO17" s="41" t="str">
        <f t="shared" si="22"/>
        <v/>
      </c>
    </row>
    <row r="18" spans="7:41" x14ac:dyDescent="0.25">
      <c r="H18" t="str">
        <f t="shared" ref="H18:I18" si="29">H9</f>
        <v>Fri</v>
      </c>
      <c r="I18">
        <f t="shared" si="29"/>
        <v>758</v>
      </c>
      <c r="J18" t="str">
        <f t="shared" si="18"/>
        <v/>
      </c>
      <c r="AH18" t="s">
        <v>21</v>
      </c>
      <c r="AI18" s="41">
        <v>167882.92500000002</v>
      </c>
      <c r="AM18" t="str">
        <f t="shared" ref="AM18:AN18" si="30">AM9</f>
        <v>Health and beauty</v>
      </c>
      <c r="AN18" s="41">
        <f t="shared" si="30"/>
        <v>49193.739000000016</v>
      </c>
      <c r="AO18" s="41" t="str">
        <f t="shared" si="22"/>
        <v/>
      </c>
    </row>
    <row r="19" spans="7:41" x14ac:dyDescent="0.25">
      <c r="H19" t="str">
        <f t="shared" ref="H19:I19" si="31">H10</f>
        <v>Sat</v>
      </c>
      <c r="I19">
        <f t="shared" si="31"/>
        <v>919</v>
      </c>
      <c r="J19">
        <f t="shared" si="18"/>
        <v>919</v>
      </c>
      <c r="AH19" t="s">
        <v>31</v>
      </c>
      <c r="AI19" s="41">
        <v>155083.82400000014</v>
      </c>
    </row>
    <row r="21" spans="7:41" x14ac:dyDescent="0.25">
      <c r="AH21" t="str">
        <f>AH17</f>
        <v>Gender</v>
      </c>
      <c r="AI21" t="str">
        <f>AI17</f>
        <v>Sum of Revenue</v>
      </c>
      <c r="AM21" t="str">
        <f>"📌 Among Products Line "&amp;INDEX($AM$13:$AM$18,MATCH(MAX($AN$13:$AN$18),$AN$13:$AN$18,0))&amp;" leads with "&amp;TEXT(MAX($AN$13:$AN$18),"$#,##")&amp;" in revenue."</f>
        <v>📌 Among Products Line Food and beverages leads with $56,145 in revenue.</v>
      </c>
    </row>
    <row r="22" spans="7:41" x14ac:dyDescent="0.25">
      <c r="M22" s="46" t="s">
        <v>1059</v>
      </c>
      <c r="N22" s="46" t="s">
        <v>1043</v>
      </c>
      <c r="AH22" t="str">
        <f t="shared" ref="AH22:AI22" si="32">AH18</f>
        <v>Female</v>
      </c>
      <c r="AI22" s="41">
        <f t="shared" si="32"/>
        <v>167882.92500000002</v>
      </c>
    </row>
    <row r="23" spans="7:41" x14ac:dyDescent="0.25">
      <c r="M23" s="46" t="s">
        <v>1039</v>
      </c>
      <c r="N23" t="s">
        <v>1055</v>
      </c>
      <c r="O23" t="s">
        <v>1056</v>
      </c>
      <c r="P23" t="s">
        <v>1057</v>
      </c>
      <c r="Q23" t="s">
        <v>1058</v>
      </c>
      <c r="R23" t="s">
        <v>1062</v>
      </c>
      <c r="AH23" t="str">
        <f t="shared" ref="AH23:AI23" si="33">AH19</f>
        <v>Male</v>
      </c>
      <c r="AI23" s="41">
        <f t="shared" si="33"/>
        <v>155083.82400000014</v>
      </c>
    </row>
    <row r="24" spans="7:41" x14ac:dyDescent="0.25">
      <c r="G24" s="55" t="str">
        <f>"📌 "&amp;INDEX($H$13:$H$19,MATCH(MAX(J13:J19),$J$13:$J$19,0))&amp;" recorded the highest ordered quantity of "&amp;CHAR(10)&amp;MAX($J$13:$J$19)&amp;" orders."</f>
        <v>📌 Sat recorded the highest ordered quantity of 
919 orders.</v>
      </c>
      <c r="M24" t="s">
        <v>1045</v>
      </c>
      <c r="N24" s="43">
        <v>172</v>
      </c>
      <c r="O24" s="43">
        <v>183</v>
      </c>
      <c r="P24" s="43">
        <v>403</v>
      </c>
      <c r="Q24" s="43">
        <v>20</v>
      </c>
      <c r="R24">
        <f>MAX(N24:Q24)</f>
        <v>403</v>
      </c>
    </row>
    <row r="25" spans="7:41" x14ac:dyDescent="0.25">
      <c r="G25" s="55"/>
      <c r="M25" t="s">
        <v>1046</v>
      </c>
      <c r="N25" s="43">
        <v>58</v>
      </c>
      <c r="O25" s="43">
        <v>139</v>
      </c>
      <c r="P25" s="43">
        <v>376</v>
      </c>
      <c r="Q25" s="43">
        <v>65</v>
      </c>
      <c r="R25">
        <f t="shared" ref="R25:R30" si="34">MAX(N25:Q25)</f>
        <v>376</v>
      </c>
    </row>
    <row r="26" spans="7:41" x14ac:dyDescent="0.25">
      <c r="M26" t="s">
        <v>1047</v>
      </c>
      <c r="N26" s="43">
        <v>195</v>
      </c>
      <c r="O26" s="43">
        <v>195</v>
      </c>
      <c r="P26" s="43">
        <v>425</v>
      </c>
      <c r="Q26" s="43">
        <v>47</v>
      </c>
      <c r="R26">
        <f t="shared" si="34"/>
        <v>425</v>
      </c>
    </row>
    <row r="27" spans="7:41" x14ac:dyDescent="0.25">
      <c r="M27" t="s">
        <v>1048</v>
      </c>
      <c r="N27" s="43">
        <v>94</v>
      </c>
      <c r="O27" s="43">
        <v>156</v>
      </c>
      <c r="P27" s="43">
        <v>478</v>
      </c>
      <c r="Q27" s="43">
        <v>72</v>
      </c>
      <c r="R27">
        <f t="shared" si="34"/>
        <v>478</v>
      </c>
    </row>
    <row r="28" spans="7:41" x14ac:dyDescent="0.25">
      <c r="M28" t="s">
        <v>1049</v>
      </c>
      <c r="N28" s="43">
        <v>161</v>
      </c>
      <c r="O28" s="43">
        <v>162</v>
      </c>
      <c r="P28" s="43">
        <v>391</v>
      </c>
      <c r="Q28" s="43">
        <v>41</v>
      </c>
      <c r="R28">
        <f t="shared" si="34"/>
        <v>391</v>
      </c>
      <c r="AN28" s="52"/>
    </row>
    <row r="29" spans="7:41" x14ac:dyDescent="0.25">
      <c r="M29" t="s">
        <v>1050</v>
      </c>
      <c r="N29" s="43">
        <v>129</v>
      </c>
      <c r="O29" s="43">
        <v>171</v>
      </c>
      <c r="P29" s="43">
        <v>366</v>
      </c>
      <c r="Q29" s="43">
        <v>92</v>
      </c>
      <c r="R29">
        <f t="shared" si="34"/>
        <v>366</v>
      </c>
      <c r="AN29" s="52"/>
    </row>
    <row r="30" spans="7:41" x14ac:dyDescent="0.25">
      <c r="M30" t="s">
        <v>1051</v>
      </c>
      <c r="N30" s="43">
        <v>150</v>
      </c>
      <c r="O30" s="43">
        <v>147</v>
      </c>
      <c r="P30" s="43">
        <v>505</v>
      </c>
      <c r="Q30" s="43">
        <v>117</v>
      </c>
      <c r="R30">
        <f t="shared" si="34"/>
        <v>505</v>
      </c>
      <c r="AN30" s="52"/>
    </row>
    <row r="31" spans="7:41" x14ac:dyDescent="0.25">
      <c r="AN31" s="41"/>
      <c r="AO31" s="53"/>
    </row>
    <row r="32" spans="7:41" x14ac:dyDescent="0.25">
      <c r="AN32" s="41"/>
      <c r="AO32" s="53"/>
    </row>
    <row r="33" spans="13:41" x14ac:dyDescent="0.25">
      <c r="AN33" s="41"/>
      <c r="AO33" s="53"/>
    </row>
    <row r="36" spans="13:41" x14ac:dyDescent="0.25">
      <c r="M36" t="str">
        <f>M23</f>
        <v>Day</v>
      </c>
      <c r="N36" t="str">
        <f t="shared" ref="N36:Q36" si="35">N23</f>
        <v>Afternoon</v>
      </c>
      <c r="O36" t="str">
        <f t="shared" si="35"/>
        <v>Evening</v>
      </c>
      <c r="P36" t="str">
        <f t="shared" si="35"/>
        <v>Morning</v>
      </c>
      <c r="Q36" t="str">
        <f t="shared" si="35"/>
        <v>Night</v>
      </c>
      <c r="R36" t="s">
        <v>1060</v>
      </c>
    </row>
    <row r="37" spans="13:41" x14ac:dyDescent="0.25">
      <c r="M37" t="str">
        <f t="shared" ref="M37:Q37" si="36">M24</f>
        <v>Sun</v>
      </c>
      <c r="N37">
        <f t="shared" si="36"/>
        <v>172</v>
      </c>
      <c r="O37">
        <f t="shared" si="36"/>
        <v>183</v>
      </c>
      <c r="P37">
        <f t="shared" si="36"/>
        <v>403</v>
      </c>
      <c r="Q37">
        <f t="shared" si="36"/>
        <v>20</v>
      </c>
      <c r="R37">
        <f>MAX(N37:Q37)</f>
        <v>403</v>
      </c>
      <c r="S37" t="str">
        <f>_xlfn.XLOOKUP(R37,N37:Q37,$N$36:$Q$36,,0)</f>
        <v>Morning</v>
      </c>
    </row>
    <row r="38" spans="13:41" x14ac:dyDescent="0.25">
      <c r="M38" t="str">
        <f t="shared" ref="M38:Q38" si="37">M25</f>
        <v>Mon</v>
      </c>
      <c r="N38">
        <f t="shared" si="37"/>
        <v>58</v>
      </c>
      <c r="O38">
        <f t="shared" si="37"/>
        <v>139</v>
      </c>
      <c r="P38">
        <f t="shared" si="37"/>
        <v>376</v>
      </c>
      <c r="Q38">
        <f t="shared" si="37"/>
        <v>65</v>
      </c>
      <c r="R38">
        <f t="shared" ref="R38:R43" si="38">MAX(N38:Q38)</f>
        <v>376</v>
      </c>
      <c r="S38" t="str">
        <f t="shared" ref="S38:S43" si="39">_xlfn.XLOOKUP(R38,N38:Q38,$N$36:$Q$36,,0)</f>
        <v>Morning</v>
      </c>
    </row>
    <row r="39" spans="13:41" x14ac:dyDescent="0.25">
      <c r="M39" t="str">
        <f t="shared" ref="M39:Q39" si="40">M26</f>
        <v>Tue</v>
      </c>
      <c r="N39">
        <f t="shared" si="40"/>
        <v>195</v>
      </c>
      <c r="O39">
        <f t="shared" si="40"/>
        <v>195</v>
      </c>
      <c r="P39">
        <f t="shared" si="40"/>
        <v>425</v>
      </c>
      <c r="Q39">
        <f t="shared" si="40"/>
        <v>47</v>
      </c>
      <c r="R39">
        <f t="shared" si="38"/>
        <v>425</v>
      </c>
      <c r="S39" t="str">
        <f t="shared" si="39"/>
        <v>Morning</v>
      </c>
    </row>
    <row r="40" spans="13:41" x14ac:dyDescent="0.25">
      <c r="M40" t="str">
        <f t="shared" ref="M40:Q40" si="41">M27</f>
        <v>Wed</v>
      </c>
      <c r="N40">
        <f t="shared" si="41"/>
        <v>94</v>
      </c>
      <c r="O40">
        <f t="shared" si="41"/>
        <v>156</v>
      </c>
      <c r="P40">
        <f t="shared" si="41"/>
        <v>478</v>
      </c>
      <c r="Q40">
        <f t="shared" si="41"/>
        <v>72</v>
      </c>
      <c r="R40">
        <f t="shared" si="38"/>
        <v>478</v>
      </c>
      <c r="S40" t="str">
        <f t="shared" si="39"/>
        <v>Morning</v>
      </c>
    </row>
    <row r="41" spans="13:41" x14ac:dyDescent="0.25">
      <c r="M41" t="str">
        <f t="shared" ref="M41:Q41" si="42">M28</f>
        <v>Thu</v>
      </c>
      <c r="N41">
        <f t="shared" si="42"/>
        <v>161</v>
      </c>
      <c r="O41">
        <f t="shared" si="42"/>
        <v>162</v>
      </c>
      <c r="P41">
        <f t="shared" si="42"/>
        <v>391</v>
      </c>
      <c r="Q41">
        <f t="shared" si="42"/>
        <v>41</v>
      </c>
      <c r="R41">
        <f t="shared" si="38"/>
        <v>391</v>
      </c>
      <c r="S41" t="str">
        <f t="shared" si="39"/>
        <v>Morning</v>
      </c>
    </row>
    <row r="42" spans="13:41" x14ac:dyDescent="0.25">
      <c r="M42" t="str">
        <f t="shared" ref="M42:Q42" si="43">M29</f>
        <v>Fri</v>
      </c>
      <c r="N42">
        <f t="shared" si="43"/>
        <v>129</v>
      </c>
      <c r="O42">
        <f t="shared" si="43"/>
        <v>171</v>
      </c>
      <c r="P42">
        <f t="shared" si="43"/>
        <v>366</v>
      </c>
      <c r="Q42">
        <f t="shared" si="43"/>
        <v>92</v>
      </c>
      <c r="R42">
        <f t="shared" si="38"/>
        <v>366</v>
      </c>
      <c r="S42" t="str">
        <f t="shared" si="39"/>
        <v>Morning</v>
      </c>
    </row>
    <row r="43" spans="13:41" x14ac:dyDescent="0.25">
      <c r="M43" t="str">
        <f t="shared" ref="M43:Q43" si="44">M30</f>
        <v>Sat</v>
      </c>
      <c r="N43">
        <f t="shared" si="44"/>
        <v>150</v>
      </c>
      <c r="O43">
        <f t="shared" si="44"/>
        <v>147</v>
      </c>
      <c r="P43">
        <f t="shared" si="44"/>
        <v>505</v>
      </c>
      <c r="Q43">
        <f t="shared" si="44"/>
        <v>117</v>
      </c>
      <c r="R43">
        <f t="shared" si="38"/>
        <v>505</v>
      </c>
      <c r="S43" t="str">
        <f t="shared" si="39"/>
        <v>Morning</v>
      </c>
    </row>
    <row r="45" spans="13:41" x14ac:dyDescent="0.25">
      <c r="N45">
        <f>MAX(N37:Q43)</f>
        <v>505</v>
      </c>
    </row>
    <row r="46" spans="13:41" x14ac:dyDescent="0.25">
      <c r="M46" t="str">
        <f>_xlfn.XLOOKUP(N45,$R$37:$R$43,$M$37:$M$43,,0)</f>
        <v>Sat</v>
      </c>
    </row>
    <row r="48" spans="13:41" x14ac:dyDescent="0.25">
      <c r="M48" t="str">
        <f>"📌 In the variation between weekdays and time of day "&amp;M46&amp;" lead the chart in the "&amp;INDEX($M$11:$M$14,MATCH(MAX($N$11:$N$14),$N$11:$N$14,0))&amp;" with "&amp;N45&amp;" ordered quantity."</f>
        <v>📌 In the variation between weekdays and time of day Sat lead the chart in the Morning with 505 ordered quantity.</v>
      </c>
    </row>
    <row r="52" spans="13:14" x14ac:dyDescent="0.25">
      <c r="M52" t="str">
        <f>_xlfn.XLOOKUP(MAX(R37:R43),R37:R43,S37:S43,,0)</f>
        <v>Morning</v>
      </c>
      <c r="N52" t="str">
        <f>_xlfn.XLOOKUP(MAX(R37:R43),R37:R43,M37:M43,,0)</f>
        <v>Sat</v>
      </c>
    </row>
  </sheetData>
  <pageMargins left="0.7" right="0.7" top="0.75" bottom="0.75" header="0.3" footer="0.3"/>
  <pageSetup orientation="portrait" r:id="rId10"/>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396EB36-E3A2-4AD1-A8FD-A08347CFA1CE}">
  <dimension ref="B2:F10"/>
  <sheetViews>
    <sheetView showGridLines="0" workbookViewId="0">
      <selection activeCell="H9" sqref="H9"/>
    </sheetView>
  </sheetViews>
  <sheetFormatPr defaultRowHeight="15" x14ac:dyDescent="0.25"/>
  <cols>
    <col min="2" max="6" width="11.5703125" customWidth="1"/>
  </cols>
  <sheetData>
    <row r="2" spans="2:6" ht="9" customHeight="1" x14ac:dyDescent="0.25"/>
    <row r="3" spans="2:6" ht="24.75" customHeight="1" x14ac:dyDescent="0.25">
      <c r="B3" s="50" t="str">
        <f>Analysis!M36</f>
        <v>Day</v>
      </c>
      <c r="C3" s="50" t="str">
        <f>Analysis!N36</f>
        <v>Afternoon</v>
      </c>
      <c r="D3" s="50" t="str">
        <f>Analysis!O36</f>
        <v>Evening</v>
      </c>
      <c r="E3" s="50" t="str">
        <f>Analysis!P36</f>
        <v>Morning</v>
      </c>
      <c r="F3" s="50" t="str">
        <f>Analysis!Q36</f>
        <v>Night</v>
      </c>
    </row>
    <row r="4" spans="2:6" ht="24" customHeight="1" x14ac:dyDescent="0.25">
      <c r="B4" s="47" t="str">
        <f>Analysis!M37</f>
        <v>Sun</v>
      </c>
      <c r="C4" s="47">
        <f>Analysis!N37</f>
        <v>172</v>
      </c>
      <c r="D4" s="47">
        <f>Analysis!O37</f>
        <v>183</v>
      </c>
      <c r="E4" s="47">
        <f>Analysis!P37</f>
        <v>403</v>
      </c>
      <c r="F4" s="47">
        <f>Analysis!Q37</f>
        <v>20</v>
      </c>
    </row>
    <row r="5" spans="2:6" ht="24" customHeight="1" x14ac:dyDescent="0.25">
      <c r="B5" s="47" t="str">
        <f>Analysis!M38</f>
        <v>Mon</v>
      </c>
      <c r="C5" s="47">
        <f>Analysis!N38</f>
        <v>58</v>
      </c>
      <c r="D5" s="47">
        <f>Analysis!O38</f>
        <v>139</v>
      </c>
      <c r="E5" s="47">
        <f>Analysis!P38</f>
        <v>376</v>
      </c>
      <c r="F5" s="47">
        <f>Analysis!Q38</f>
        <v>65</v>
      </c>
    </row>
    <row r="6" spans="2:6" ht="24" customHeight="1" x14ac:dyDescent="0.25">
      <c r="B6" s="47" t="str">
        <f>Analysis!M39</f>
        <v>Tue</v>
      </c>
      <c r="C6" s="47">
        <f>Analysis!N39</f>
        <v>195</v>
      </c>
      <c r="D6" s="47">
        <f>Analysis!O39</f>
        <v>195</v>
      </c>
      <c r="E6" s="47">
        <f>Analysis!P39</f>
        <v>425</v>
      </c>
      <c r="F6" s="47">
        <f>Analysis!Q39</f>
        <v>47</v>
      </c>
    </row>
    <row r="7" spans="2:6" ht="24" customHeight="1" x14ac:dyDescent="0.25">
      <c r="B7" s="47" t="str">
        <f>Analysis!M40</f>
        <v>Wed</v>
      </c>
      <c r="C7" s="47">
        <f>Analysis!N40</f>
        <v>94</v>
      </c>
      <c r="D7" s="47">
        <f>Analysis!O40</f>
        <v>156</v>
      </c>
      <c r="E7" s="47">
        <f>Analysis!P40</f>
        <v>478</v>
      </c>
      <c r="F7" s="47">
        <f>Analysis!Q40</f>
        <v>72</v>
      </c>
    </row>
    <row r="8" spans="2:6" ht="24" customHeight="1" x14ac:dyDescent="0.25">
      <c r="B8" s="47" t="str">
        <f>Analysis!M41</f>
        <v>Thu</v>
      </c>
      <c r="C8" s="47">
        <f>Analysis!N41</f>
        <v>161</v>
      </c>
      <c r="D8" s="47">
        <f>Analysis!O41</f>
        <v>162</v>
      </c>
      <c r="E8" s="47">
        <f>Analysis!P41</f>
        <v>391</v>
      </c>
      <c r="F8" s="47">
        <f>Analysis!Q41</f>
        <v>41</v>
      </c>
    </row>
    <row r="9" spans="2:6" ht="24" customHeight="1" x14ac:dyDescent="0.25">
      <c r="B9" s="47" t="str">
        <f>Analysis!M42</f>
        <v>Fri</v>
      </c>
      <c r="C9" s="47">
        <f>Analysis!N42</f>
        <v>129</v>
      </c>
      <c r="D9" s="47">
        <f>Analysis!O42</f>
        <v>171</v>
      </c>
      <c r="E9" s="47">
        <f>Analysis!P42</f>
        <v>366</v>
      </c>
      <c r="F9" s="47">
        <f>Analysis!Q42</f>
        <v>92</v>
      </c>
    </row>
    <row r="10" spans="2:6" ht="24" customHeight="1" x14ac:dyDescent="0.25">
      <c r="B10" s="47" t="str">
        <f>Analysis!M43</f>
        <v>Sat</v>
      </c>
      <c r="C10" s="47">
        <f>Analysis!N43</f>
        <v>150</v>
      </c>
      <c r="D10" s="47">
        <f>Analysis!O43</f>
        <v>147</v>
      </c>
      <c r="E10" s="47">
        <f>Analysis!P43</f>
        <v>505</v>
      </c>
      <c r="F10" s="47">
        <f>Analysis!Q43</f>
        <v>117</v>
      </c>
    </row>
  </sheetData>
  <conditionalFormatting sqref="C4:F10">
    <cfRule type="top10" dxfId="21" priority="1" rank="1"/>
    <cfRule type="expression" dxfId="20" priority="2">
      <formula>"MAX"</formula>
    </cfRule>
    <cfRule type="dataBar" priority="3">
      <dataBar>
        <cfvo type="min"/>
        <cfvo type="max"/>
        <color rgb="FFADACB5"/>
      </dataBar>
      <extLst>
        <ext xmlns:x14="http://schemas.microsoft.com/office/spreadsheetml/2009/9/main" uri="{B025F937-C7B1-47D3-B67F-A62EFF666E3E}">
          <x14:id>{BE8E352A-0B74-4BC9-BB5F-8F773F995726}</x14:id>
        </ext>
      </extLst>
    </cfRule>
  </conditionalFormatting>
  <pageMargins left="0.7" right="0.7" top="0.75" bottom="0.75" header="0.3" footer="0.3"/>
  <extLst>
    <ext xmlns:x14="http://schemas.microsoft.com/office/spreadsheetml/2009/9/main" uri="{78C0D931-6437-407d-A8EE-F0AAD7539E65}">
      <x14:conditionalFormattings>
        <x14:conditionalFormatting xmlns:xm="http://schemas.microsoft.com/office/excel/2006/main">
          <x14:cfRule type="dataBar" id="{BE8E352A-0B74-4BC9-BB5F-8F773F995726}">
            <x14:dataBar minLength="0" maxLength="100" gradient="0">
              <x14:cfvo type="autoMin"/>
              <x14:cfvo type="autoMax"/>
              <x14:negativeFillColor rgb="FFFF0000"/>
              <x14:axisColor rgb="FF000000"/>
            </x14:dataBar>
          </x14:cfRule>
          <xm:sqref>C4:F10</xm:sqref>
        </x14:conditionalFormatting>
      </x14:conditionalFormattings>
    </ext>
  </extLs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229C282-B28E-41B1-A14A-F2BE8F25B5FE}">
  <dimension ref="A1:T1001"/>
  <sheetViews>
    <sheetView topLeftCell="A966" workbookViewId="0">
      <selection activeCell="D966" sqref="D1:D1048576"/>
    </sheetView>
  </sheetViews>
  <sheetFormatPr defaultRowHeight="15" x14ac:dyDescent="0.25"/>
  <cols>
    <col min="1" max="1" width="13" customWidth="1"/>
    <col min="2" max="2" width="13" style="8" customWidth="1"/>
    <col min="3" max="3" width="13" style="7" customWidth="1"/>
    <col min="4" max="5" width="13" style="8" customWidth="1"/>
    <col min="6" max="6" width="13" style="1" customWidth="1"/>
    <col min="7" max="7" width="13" style="4" customWidth="1"/>
    <col min="8" max="8" width="13" customWidth="1"/>
    <col min="9" max="9" width="13" style="8" customWidth="1"/>
    <col min="10" max="10" width="23.28515625" style="5" customWidth="1"/>
    <col min="11" max="11" width="13" style="6" customWidth="1"/>
    <col min="12" max="12" width="15" customWidth="1"/>
    <col min="13" max="13" width="9" customWidth="1"/>
    <col min="14" max="14" width="18.5703125" customWidth="1"/>
    <col min="15" max="15" width="10.85546875" customWidth="1"/>
    <col min="20" max="20" width="12.7109375" customWidth="1"/>
  </cols>
  <sheetData>
    <row r="1" spans="1:20" x14ac:dyDescent="0.25">
      <c r="A1" s="15" t="s">
        <v>0</v>
      </c>
      <c r="B1" s="11" t="s">
        <v>6</v>
      </c>
      <c r="C1" s="12" t="s">
        <v>7</v>
      </c>
      <c r="D1" s="11" t="s">
        <v>8</v>
      </c>
      <c r="E1" s="11" t="s">
        <v>1040</v>
      </c>
      <c r="F1" s="13" t="s">
        <v>10</v>
      </c>
      <c r="G1" s="14" t="s">
        <v>11</v>
      </c>
      <c r="H1" s="15" t="s">
        <v>12</v>
      </c>
      <c r="I1" s="11" t="s">
        <v>13</v>
      </c>
      <c r="J1" s="16" t="s">
        <v>14</v>
      </c>
      <c r="K1" s="17" t="s">
        <v>16</v>
      </c>
      <c r="L1" s="15" t="s">
        <v>1036</v>
      </c>
      <c r="M1" s="15" t="s">
        <v>4</v>
      </c>
      <c r="N1" s="15" t="s">
        <v>1037</v>
      </c>
      <c r="O1" s="15" t="s">
        <v>2</v>
      </c>
      <c r="P1" s="15" t="s">
        <v>1</v>
      </c>
      <c r="Q1" s="15" t="s">
        <v>1038</v>
      </c>
      <c r="R1" s="18" t="s">
        <v>1039</v>
      </c>
      <c r="S1" s="42" t="s">
        <v>1042</v>
      </c>
      <c r="T1" s="42" t="s">
        <v>1043</v>
      </c>
    </row>
    <row r="2" spans="1:20" x14ac:dyDescent="0.25">
      <c r="A2" s="23" t="s">
        <v>17</v>
      </c>
      <c r="B2" s="19">
        <v>74.69</v>
      </c>
      <c r="C2" s="20">
        <v>7</v>
      </c>
      <c r="D2" s="19">
        <v>26.141500000000001</v>
      </c>
      <c r="E2" s="19">
        <v>548.97149999999999</v>
      </c>
      <c r="F2" s="21">
        <v>43470</v>
      </c>
      <c r="G2" s="22">
        <v>0.54722222222222217</v>
      </c>
      <c r="H2" s="23" t="s">
        <v>23</v>
      </c>
      <c r="I2" s="19">
        <v>522.83000000000004</v>
      </c>
      <c r="J2" s="24">
        <v>4.7619047620000003</v>
      </c>
      <c r="K2" s="25">
        <v>9.1</v>
      </c>
      <c r="L2" s="23" t="str">
        <f>VLOOKUP(A2,'Customer-details'!$A$1:$C$1001,2,FALSE)</f>
        <v>Member</v>
      </c>
      <c r="M2" s="23" t="str">
        <f>VLOOKUP(A2,'Customer-details'!$A$1:$C$1001,3,FALSE)</f>
        <v>Female</v>
      </c>
      <c r="N2" s="23" t="str">
        <f>VLOOKUP(A2,'Product-details'!$A$1:$B$1001,2,FALSE)</f>
        <v>Health and beauty</v>
      </c>
      <c r="O2" s="23" t="str">
        <f>VLOOKUP(A2,'City-details'!$A$1:$C$1001,3,FALSE)</f>
        <v>Yangon</v>
      </c>
      <c r="P2" s="23" t="str">
        <f>VLOOKUP(A2,'City-details'!$A$1:$C$1001,2,FALSE)</f>
        <v>A</v>
      </c>
      <c r="Q2" s="23" t="str">
        <f>TEXT(F2,"mmm")</f>
        <v>Jan</v>
      </c>
      <c r="R2" s="26" t="str">
        <f>TEXT(F2,"ddd")</f>
        <v>Sat</v>
      </c>
      <c r="S2">
        <f>HOUR(G2)</f>
        <v>13</v>
      </c>
      <c r="T2" t="str" cm="1">
        <f t="array" ref="T2">_xlfn.IFS(S2&lt;=12,"Morning",S2&lt;=16,"Afternoon",S2&lt;=21,"Evening",S2&lt;=24,"Night")</f>
        <v>Afternoon</v>
      </c>
    </row>
    <row r="3" spans="1:20" x14ac:dyDescent="0.25">
      <c r="A3" s="31" t="s">
        <v>24</v>
      </c>
      <c r="B3" s="27">
        <v>15.28</v>
      </c>
      <c r="C3" s="28">
        <v>5</v>
      </c>
      <c r="D3" s="27">
        <v>3.82</v>
      </c>
      <c r="E3" s="27">
        <v>80.22</v>
      </c>
      <c r="F3" s="29">
        <v>43532</v>
      </c>
      <c r="G3" s="30">
        <v>0.58888888888888902</v>
      </c>
      <c r="H3" s="31" t="s">
        <v>29</v>
      </c>
      <c r="I3" s="27">
        <v>76.400000000000006</v>
      </c>
      <c r="J3" s="32">
        <v>4.7619047620000003</v>
      </c>
      <c r="K3" s="33">
        <v>9.6</v>
      </c>
      <c r="L3" s="31" t="str">
        <f>VLOOKUP(A3,'Customer-details'!$A$1:$C$1001,2,FALSE)</f>
        <v>Normal</v>
      </c>
      <c r="M3" s="31" t="str">
        <f>VLOOKUP(A3,'Customer-details'!$A$1:$C$1001,3,FALSE)</f>
        <v>Female</v>
      </c>
      <c r="N3" s="31" t="str">
        <f>VLOOKUP(A3,'Product-details'!$A$1:$B$1001,2,FALSE)</f>
        <v>Electronic accessories</v>
      </c>
      <c r="O3" s="31" t="str">
        <f>VLOOKUP(A3,'City-details'!$A$1:$C$1001,3,FALSE)</f>
        <v>Naypyitaw</v>
      </c>
      <c r="P3" s="31" t="str">
        <f>VLOOKUP(A3,'City-details'!$A$1:$C$1001,2,FALSE)</f>
        <v>C</v>
      </c>
      <c r="Q3" s="31" t="str">
        <f t="shared" ref="Q3:Q66" si="0">TEXT(F3,"mmm")</f>
        <v>Mar</v>
      </c>
      <c r="R3" s="34" t="str">
        <f t="shared" ref="R3:R66" si="1">TEXT(F3,"ddd")</f>
        <v>Fri</v>
      </c>
      <c r="S3">
        <f t="shared" ref="S3:S66" si="2">HOUR(G3)</f>
        <v>14</v>
      </c>
      <c r="T3" t="str" cm="1">
        <f t="array" ref="T3">_xlfn.IFS(S3&lt;=12,"Morning",S3&lt;=16,"Afternoon",S3&lt;=21,"Evening",S3&lt;=24,"Night")</f>
        <v>Afternoon</v>
      </c>
    </row>
    <row r="4" spans="1:20" x14ac:dyDescent="0.25">
      <c r="A4" s="23" t="s">
        <v>30</v>
      </c>
      <c r="B4" s="19">
        <v>46.33</v>
      </c>
      <c r="C4" s="20">
        <v>7</v>
      </c>
      <c r="D4" s="19">
        <v>16.215499999999999</v>
      </c>
      <c r="E4" s="19">
        <v>340.52550000000002</v>
      </c>
      <c r="F4" s="21">
        <v>43527</v>
      </c>
      <c r="G4" s="22">
        <v>0.63055555555555598</v>
      </c>
      <c r="H4" s="23" t="s">
        <v>33</v>
      </c>
      <c r="I4" s="19">
        <v>324.31</v>
      </c>
      <c r="J4" s="24">
        <v>4.7619047620000003</v>
      </c>
      <c r="K4" s="25">
        <v>7.4</v>
      </c>
      <c r="L4" s="23" t="str">
        <f>VLOOKUP(A4,'Customer-details'!$A$1:$C$1001,2,FALSE)</f>
        <v>Normal</v>
      </c>
      <c r="M4" s="23" t="str">
        <f>VLOOKUP(A4,'Customer-details'!$A$1:$C$1001,3,FALSE)</f>
        <v>Male</v>
      </c>
      <c r="N4" s="23" t="str">
        <f>VLOOKUP(A4,'Product-details'!$A$1:$B$1001,2,FALSE)</f>
        <v>Home and lifestyle</v>
      </c>
      <c r="O4" s="23" t="str">
        <f>VLOOKUP(A4,'City-details'!$A$1:$C$1001,3,FALSE)</f>
        <v>Yangon</v>
      </c>
      <c r="P4" s="23" t="str">
        <f>VLOOKUP(A4,'City-details'!$A$1:$C$1001,2,FALSE)</f>
        <v>A</v>
      </c>
      <c r="Q4" s="23" t="str">
        <f t="shared" si="0"/>
        <v>Mar</v>
      </c>
      <c r="R4" s="26" t="str">
        <f t="shared" si="1"/>
        <v>Sun</v>
      </c>
      <c r="S4">
        <f t="shared" si="2"/>
        <v>15</v>
      </c>
      <c r="T4" t="str" cm="1">
        <f t="array" ref="T4">_xlfn.IFS(S4&lt;=12,"Morning",S4&lt;=16,"Afternoon",S4&lt;=21,"Evening",S4&lt;=24,"Night")</f>
        <v>Afternoon</v>
      </c>
    </row>
    <row r="5" spans="1:20" x14ac:dyDescent="0.25">
      <c r="A5" s="31" t="s">
        <v>34</v>
      </c>
      <c r="B5" s="27">
        <v>58.22</v>
      </c>
      <c r="C5" s="28">
        <v>8</v>
      </c>
      <c r="D5" s="27">
        <v>23.288</v>
      </c>
      <c r="E5" s="27">
        <v>489.048</v>
      </c>
      <c r="F5" s="29">
        <v>43492</v>
      </c>
      <c r="G5" s="30">
        <v>0.67222222222222205</v>
      </c>
      <c r="H5" s="31" t="s">
        <v>23</v>
      </c>
      <c r="I5" s="27">
        <v>465.76</v>
      </c>
      <c r="J5" s="32">
        <v>4.7619047620000003</v>
      </c>
      <c r="K5" s="33">
        <v>8.4</v>
      </c>
      <c r="L5" s="31" t="str">
        <f>VLOOKUP(A5,'Customer-details'!$A$1:$C$1001,2,FALSE)</f>
        <v>Member</v>
      </c>
      <c r="M5" s="31" t="str">
        <f>VLOOKUP(A5,'Customer-details'!$A$1:$C$1001,3,FALSE)</f>
        <v>Male</v>
      </c>
      <c r="N5" s="31" t="str">
        <f>VLOOKUP(A5,'Product-details'!$A$1:$B$1001,2,FALSE)</f>
        <v>Health and beauty</v>
      </c>
      <c r="O5" s="31" t="str">
        <f>VLOOKUP(A5,'City-details'!$A$1:$C$1001,3,FALSE)</f>
        <v>Yangon</v>
      </c>
      <c r="P5" s="31" t="str">
        <f>VLOOKUP(A5,'City-details'!$A$1:$C$1001,2,FALSE)</f>
        <v>A</v>
      </c>
      <c r="Q5" s="31" t="str">
        <f t="shared" si="0"/>
        <v>Jan</v>
      </c>
      <c r="R5" s="34" t="str">
        <f t="shared" si="1"/>
        <v>Sun</v>
      </c>
      <c r="S5">
        <f t="shared" si="2"/>
        <v>16</v>
      </c>
      <c r="T5" t="str" cm="1">
        <f t="array" ref="T5">_xlfn.IFS(S5&lt;=12,"Morning",S5&lt;=16,"Afternoon",S5&lt;=21,"Evening",S5&lt;=24,"Night")</f>
        <v>Afternoon</v>
      </c>
    </row>
    <row r="6" spans="1:20" x14ac:dyDescent="0.25">
      <c r="A6" s="23" t="s">
        <v>35</v>
      </c>
      <c r="B6" s="19">
        <v>86.31</v>
      </c>
      <c r="C6" s="20">
        <v>7</v>
      </c>
      <c r="D6" s="19">
        <v>30.208500000000001</v>
      </c>
      <c r="E6" s="19">
        <v>634.37850000000003</v>
      </c>
      <c r="F6" s="21">
        <v>43504</v>
      </c>
      <c r="G6" s="22">
        <v>0.71388888888888902</v>
      </c>
      <c r="H6" s="23" t="s">
        <v>23</v>
      </c>
      <c r="I6" s="19">
        <v>604.16999999999996</v>
      </c>
      <c r="J6" s="24">
        <v>4.7619047620000003</v>
      </c>
      <c r="K6" s="25">
        <v>5.3</v>
      </c>
      <c r="L6" s="23" t="str">
        <f>VLOOKUP(A6,'Customer-details'!$A$1:$C$1001,2,FALSE)</f>
        <v>Normal</v>
      </c>
      <c r="M6" s="23" t="str">
        <f>VLOOKUP(A6,'Customer-details'!$A$1:$C$1001,3,FALSE)</f>
        <v>Male</v>
      </c>
      <c r="N6" s="23" t="str">
        <f>VLOOKUP(A6,'Product-details'!$A$1:$B$1001,2,FALSE)</f>
        <v>Sports and travel</v>
      </c>
      <c r="O6" s="23" t="str">
        <f>VLOOKUP(A6,'City-details'!$A$1:$C$1001,3,FALSE)</f>
        <v>Yangon</v>
      </c>
      <c r="P6" s="23" t="str">
        <f>VLOOKUP(A6,'City-details'!$A$1:$C$1001,2,FALSE)</f>
        <v>A</v>
      </c>
      <c r="Q6" s="23" t="str">
        <f t="shared" si="0"/>
        <v>Feb</v>
      </c>
      <c r="R6" s="26" t="str">
        <f t="shared" si="1"/>
        <v>Fri</v>
      </c>
      <c r="S6">
        <f t="shared" si="2"/>
        <v>17</v>
      </c>
      <c r="T6" t="str" cm="1">
        <f t="array" ref="T6">_xlfn.IFS(S6&lt;=12,"Morning",S6&lt;=16,"Afternoon",S6&lt;=21,"Evening",S6&lt;=24,"Night")</f>
        <v>Evening</v>
      </c>
    </row>
    <row r="7" spans="1:20" x14ac:dyDescent="0.25">
      <c r="A7" s="31" t="s">
        <v>37</v>
      </c>
      <c r="B7" s="27">
        <v>85.39</v>
      </c>
      <c r="C7" s="28">
        <v>7</v>
      </c>
      <c r="D7" s="27">
        <v>29.886500000000002</v>
      </c>
      <c r="E7" s="27">
        <v>627.61649999999997</v>
      </c>
      <c r="F7" s="29">
        <v>43549</v>
      </c>
      <c r="G7" s="30">
        <v>0.75555555555555598</v>
      </c>
      <c r="H7" s="31" t="s">
        <v>23</v>
      </c>
      <c r="I7" s="27">
        <v>597.73</v>
      </c>
      <c r="J7" s="32">
        <v>4.7619047620000003</v>
      </c>
      <c r="K7" s="33">
        <v>4.0999999999999996</v>
      </c>
      <c r="L7" s="31" t="str">
        <f>VLOOKUP(A7,'Customer-details'!$A$1:$C$1001,2,FALSE)</f>
        <v>Normal</v>
      </c>
      <c r="M7" s="31" t="str">
        <f>VLOOKUP(A7,'Customer-details'!$A$1:$C$1001,3,FALSE)</f>
        <v>Male</v>
      </c>
      <c r="N7" s="31" t="str">
        <f>VLOOKUP(A7,'Product-details'!$A$1:$B$1001,2,FALSE)</f>
        <v>Electronic accessories</v>
      </c>
      <c r="O7" s="31" t="str">
        <f>VLOOKUP(A7,'City-details'!$A$1:$C$1001,3,FALSE)</f>
        <v>Naypyitaw</v>
      </c>
      <c r="P7" s="31" t="str">
        <f>VLOOKUP(A7,'City-details'!$A$1:$C$1001,2,FALSE)</f>
        <v>C</v>
      </c>
      <c r="Q7" s="31" t="str">
        <f t="shared" si="0"/>
        <v>Mar</v>
      </c>
      <c r="R7" s="34" t="str">
        <f t="shared" si="1"/>
        <v>Mon</v>
      </c>
      <c r="S7">
        <f t="shared" si="2"/>
        <v>18</v>
      </c>
      <c r="T7" t="str" cm="1">
        <f t="array" ref="T7">_xlfn.IFS(S7&lt;=12,"Morning",S7&lt;=16,"Afternoon",S7&lt;=21,"Evening",S7&lt;=24,"Night")</f>
        <v>Evening</v>
      </c>
    </row>
    <row r="8" spans="1:20" x14ac:dyDescent="0.25">
      <c r="A8" s="23" t="s">
        <v>38</v>
      </c>
      <c r="B8" s="19">
        <v>68.84</v>
      </c>
      <c r="C8" s="20">
        <v>6</v>
      </c>
      <c r="D8" s="19">
        <v>20.652000000000001</v>
      </c>
      <c r="E8" s="19">
        <v>433.69200000000001</v>
      </c>
      <c r="F8" s="21">
        <v>43521</v>
      </c>
      <c r="G8" s="22">
        <v>0.79722222222222205</v>
      </c>
      <c r="H8" s="23" t="s">
        <v>23</v>
      </c>
      <c r="I8" s="19">
        <v>413.04</v>
      </c>
      <c r="J8" s="24">
        <v>4.7619047620000003</v>
      </c>
      <c r="K8" s="25">
        <v>5.8</v>
      </c>
      <c r="L8" s="23" t="str">
        <f>VLOOKUP(A8,'Customer-details'!$A$1:$C$1001,2,FALSE)</f>
        <v>Member</v>
      </c>
      <c r="M8" s="23" t="str">
        <f>VLOOKUP(A8,'Customer-details'!$A$1:$C$1001,3,FALSE)</f>
        <v>Female</v>
      </c>
      <c r="N8" s="23" t="str">
        <f>VLOOKUP(A8,'Product-details'!$A$1:$B$1001,2,FALSE)</f>
        <v>Electronic accessories</v>
      </c>
      <c r="O8" s="23" t="str">
        <f>VLOOKUP(A8,'City-details'!$A$1:$C$1001,3,FALSE)</f>
        <v>Yangon</v>
      </c>
      <c r="P8" s="23" t="str">
        <f>VLOOKUP(A8,'City-details'!$A$1:$C$1001,2,FALSE)</f>
        <v>A</v>
      </c>
      <c r="Q8" s="23" t="str">
        <f t="shared" si="0"/>
        <v>Feb</v>
      </c>
      <c r="R8" s="26" t="str">
        <f t="shared" si="1"/>
        <v>Mon</v>
      </c>
      <c r="S8">
        <f t="shared" si="2"/>
        <v>19</v>
      </c>
      <c r="T8" t="str" cm="1">
        <f t="array" ref="T8">_xlfn.IFS(S8&lt;=12,"Morning",S8&lt;=16,"Afternoon",S8&lt;=21,"Evening",S8&lt;=24,"Night")</f>
        <v>Evening</v>
      </c>
    </row>
    <row r="9" spans="1:20" x14ac:dyDescent="0.25">
      <c r="A9" s="31" t="s">
        <v>39</v>
      </c>
      <c r="B9" s="27">
        <v>73.56</v>
      </c>
      <c r="C9" s="28">
        <v>10</v>
      </c>
      <c r="D9" s="27">
        <v>36.78</v>
      </c>
      <c r="E9" s="27">
        <v>772.38</v>
      </c>
      <c r="F9" s="29">
        <v>43520</v>
      </c>
      <c r="G9" s="30">
        <v>0.83888888888888902</v>
      </c>
      <c r="H9" s="31" t="s">
        <v>23</v>
      </c>
      <c r="I9" s="27">
        <v>735.6</v>
      </c>
      <c r="J9" s="32">
        <v>4.7619047620000003</v>
      </c>
      <c r="K9" s="33">
        <v>8</v>
      </c>
      <c r="L9" s="31" t="str">
        <f>VLOOKUP(A9,'Customer-details'!$A$1:$C$1001,2,FALSE)</f>
        <v>Normal</v>
      </c>
      <c r="M9" s="31" t="str">
        <f>VLOOKUP(A9,'Customer-details'!$A$1:$C$1001,3,FALSE)</f>
        <v>Female</v>
      </c>
      <c r="N9" s="31" t="str">
        <f>VLOOKUP(A9,'Product-details'!$A$1:$B$1001,2,FALSE)</f>
        <v>Home and lifestyle</v>
      </c>
      <c r="O9" s="31" t="str">
        <f>VLOOKUP(A9,'City-details'!$A$1:$C$1001,3,FALSE)</f>
        <v>Naypyitaw</v>
      </c>
      <c r="P9" s="31" t="str">
        <f>VLOOKUP(A9,'City-details'!$A$1:$C$1001,2,FALSE)</f>
        <v>C</v>
      </c>
      <c r="Q9" s="31" t="str">
        <f t="shared" si="0"/>
        <v>Feb</v>
      </c>
      <c r="R9" s="34" t="str">
        <f t="shared" si="1"/>
        <v>Sun</v>
      </c>
      <c r="S9">
        <f t="shared" si="2"/>
        <v>20</v>
      </c>
      <c r="T9" t="str" cm="1">
        <f t="array" ref="T9">_xlfn.IFS(S9&lt;=12,"Morning",S9&lt;=16,"Afternoon",S9&lt;=21,"Evening",S9&lt;=24,"Night")</f>
        <v>Evening</v>
      </c>
    </row>
    <row r="10" spans="1:20" x14ac:dyDescent="0.25">
      <c r="A10" s="23" t="s">
        <v>40</v>
      </c>
      <c r="B10" s="19">
        <v>36.26</v>
      </c>
      <c r="C10" s="20">
        <v>2</v>
      </c>
      <c r="D10" s="19">
        <v>3.6259999999999999</v>
      </c>
      <c r="E10" s="19">
        <v>76.146000000000001</v>
      </c>
      <c r="F10" s="21">
        <v>43475</v>
      </c>
      <c r="G10" s="22">
        <v>0.88055555555555598</v>
      </c>
      <c r="H10" s="23" t="s">
        <v>33</v>
      </c>
      <c r="I10" s="19">
        <v>72.52</v>
      </c>
      <c r="J10" s="24">
        <v>4.7619047620000003</v>
      </c>
      <c r="K10" s="25">
        <v>7.2</v>
      </c>
      <c r="L10" s="23" t="str">
        <f>VLOOKUP(A10,'Customer-details'!$A$1:$C$1001,2,FALSE)</f>
        <v>Member</v>
      </c>
      <c r="M10" s="23" t="str">
        <f>VLOOKUP(A10,'Customer-details'!$A$1:$C$1001,3,FALSE)</f>
        <v>Female</v>
      </c>
      <c r="N10" s="23" t="str">
        <f>VLOOKUP(A10,'Product-details'!$A$1:$B$1001,2,FALSE)</f>
        <v>Health and beauty</v>
      </c>
      <c r="O10" s="23" t="str">
        <f>VLOOKUP(A10,'City-details'!$A$1:$C$1001,3,FALSE)</f>
        <v>Yangon</v>
      </c>
      <c r="P10" s="23" t="str">
        <f>VLOOKUP(A10,'City-details'!$A$1:$C$1001,2,FALSE)</f>
        <v>A</v>
      </c>
      <c r="Q10" s="23" t="str">
        <f t="shared" si="0"/>
        <v>Jan</v>
      </c>
      <c r="R10" s="26" t="str">
        <f t="shared" si="1"/>
        <v>Thu</v>
      </c>
      <c r="S10">
        <f t="shared" si="2"/>
        <v>21</v>
      </c>
      <c r="T10" t="str" cm="1">
        <f t="array" ref="T10">_xlfn.IFS(S10&lt;=12,"Morning",S10&lt;=16,"Afternoon",S10&lt;=21,"Evening",S10&lt;=24,"Night")</f>
        <v>Evening</v>
      </c>
    </row>
    <row r="11" spans="1:20" x14ac:dyDescent="0.25">
      <c r="A11" s="31" t="s">
        <v>41</v>
      </c>
      <c r="B11" s="27">
        <v>54.84</v>
      </c>
      <c r="C11" s="28">
        <v>3</v>
      </c>
      <c r="D11" s="27">
        <v>8.2260000000000009</v>
      </c>
      <c r="E11" s="27">
        <v>172.74600000000001</v>
      </c>
      <c r="F11" s="29">
        <v>43516</v>
      </c>
      <c r="G11" s="30">
        <v>0.92222222222222205</v>
      </c>
      <c r="H11" s="31" t="s">
        <v>33</v>
      </c>
      <c r="I11" s="27">
        <v>164.52</v>
      </c>
      <c r="J11" s="32">
        <v>4.7619047620000003</v>
      </c>
      <c r="K11" s="33">
        <v>5.9</v>
      </c>
      <c r="L11" s="31" t="str">
        <f>VLOOKUP(A11,'Customer-details'!$A$1:$C$1001,2,FALSE)</f>
        <v>Member</v>
      </c>
      <c r="M11" s="31" t="str">
        <f>VLOOKUP(A11,'Customer-details'!$A$1:$C$1001,3,FALSE)</f>
        <v>Female</v>
      </c>
      <c r="N11" s="31" t="str">
        <f>VLOOKUP(A11,'Product-details'!$A$1:$B$1001,2,FALSE)</f>
        <v>Food and beverages</v>
      </c>
      <c r="O11" s="31" t="str">
        <f>VLOOKUP(A11,'City-details'!$A$1:$C$1001,3,FALSE)</f>
        <v>Mandalay</v>
      </c>
      <c r="P11" s="31" t="str">
        <f>VLOOKUP(A11,'City-details'!$A$1:$C$1001,2,FALSE)</f>
        <v>B</v>
      </c>
      <c r="Q11" s="31" t="str">
        <f t="shared" si="0"/>
        <v>Feb</v>
      </c>
      <c r="R11" s="34" t="str">
        <f t="shared" si="1"/>
        <v>Wed</v>
      </c>
      <c r="S11">
        <f t="shared" si="2"/>
        <v>22</v>
      </c>
      <c r="T11" t="str" cm="1">
        <f t="array" ref="T11">_xlfn.IFS(S11&lt;=12,"Morning",S11&lt;=16,"Afternoon",S11&lt;=21,"Evening",S11&lt;=24,"Night")</f>
        <v>Night</v>
      </c>
    </row>
    <row r="12" spans="1:20" x14ac:dyDescent="0.25">
      <c r="A12" s="23" t="s">
        <v>45</v>
      </c>
      <c r="B12" s="19">
        <v>14.48</v>
      </c>
      <c r="C12" s="20">
        <v>4</v>
      </c>
      <c r="D12" s="19">
        <v>2.8959999999999999</v>
      </c>
      <c r="E12" s="19">
        <v>60.816000000000003</v>
      </c>
      <c r="F12" s="21">
        <v>43502</v>
      </c>
      <c r="G12" s="22">
        <v>0.96388888888888902</v>
      </c>
      <c r="H12" s="23" t="s">
        <v>23</v>
      </c>
      <c r="I12" s="19">
        <v>57.92</v>
      </c>
      <c r="J12" s="24">
        <v>4.7619047620000003</v>
      </c>
      <c r="K12" s="25">
        <v>4.5</v>
      </c>
      <c r="L12" s="23" t="str">
        <f>VLOOKUP(A12,'Customer-details'!$A$1:$C$1001,2,FALSE)</f>
        <v>Member</v>
      </c>
      <c r="M12" s="23" t="str">
        <f>VLOOKUP(A12,'Customer-details'!$A$1:$C$1001,3,FALSE)</f>
        <v>Female</v>
      </c>
      <c r="N12" s="23" t="str">
        <f>VLOOKUP(A12,'Product-details'!$A$1:$B$1001,2,FALSE)</f>
        <v>Fashion accessories</v>
      </c>
      <c r="O12" s="23" t="str">
        <f>VLOOKUP(A12,'City-details'!$A$1:$C$1001,3,FALSE)</f>
        <v>Mandalay</v>
      </c>
      <c r="P12" s="23" t="str">
        <f>VLOOKUP(A12,'City-details'!$A$1:$C$1001,2,FALSE)</f>
        <v>B</v>
      </c>
      <c r="Q12" s="23" t="str">
        <f t="shared" si="0"/>
        <v>Feb</v>
      </c>
      <c r="R12" s="26" t="str">
        <f t="shared" si="1"/>
        <v>Wed</v>
      </c>
      <c r="S12">
        <f t="shared" si="2"/>
        <v>23</v>
      </c>
      <c r="T12" t="str" cm="1">
        <f t="array" ref="T12">_xlfn.IFS(S12&lt;=12,"Morning",S12&lt;=16,"Afternoon",S12&lt;=21,"Evening",S12&lt;=24,"Night")</f>
        <v>Night</v>
      </c>
    </row>
    <row r="13" spans="1:20" x14ac:dyDescent="0.25">
      <c r="A13" s="31" t="s">
        <v>47</v>
      </c>
      <c r="B13" s="27">
        <v>25.51</v>
      </c>
      <c r="C13" s="28">
        <v>4</v>
      </c>
      <c r="D13" s="27">
        <v>5.1020000000000003</v>
      </c>
      <c r="E13" s="27">
        <v>107.142</v>
      </c>
      <c r="F13" s="29">
        <v>43533</v>
      </c>
      <c r="G13" s="30">
        <v>1.00555555555556</v>
      </c>
      <c r="H13" s="31" t="s">
        <v>29</v>
      </c>
      <c r="I13" s="27">
        <v>102.04</v>
      </c>
      <c r="J13" s="32">
        <v>4.7619047620000003</v>
      </c>
      <c r="K13" s="33">
        <v>6.8</v>
      </c>
      <c r="L13" s="31" t="str">
        <f>VLOOKUP(A13,'Customer-details'!$A$1:$C$1001,2,FALSE)</f>
        <v>Member</v>
      </c>
      <c r="M13" s="31" t="str">
        <f>VLOOKUP(A13,'Customer-details'!$A$1:$C$1001,3,FALSE)</f>
        <v>Male</v>
      </c>
      <c r="N13" s="31" t="str">
        <f>VLOOKUP(A13,'Product-details'!$A$1:$B$1001,2,FALSE)</f>
        <v>Electronic accessories</v>
      </c>
      <c r="O13" s="31" t="str">
        <f>VLOOKUP(A13,'City-details'!$A$1:$C$1001,3,FALSE)</f>
        <v>Mandalay</v>
      </c>
      <c r="P13" s="31" t="str">
        <f>VLOOKUP(A13,'City-details'!$A$1:$C$1001,2,FALSE)</f>
        <v>B</v>
      </c>
      <c r="Q13" s="31" t="str">
        <f t="shared" si="0"/>
        <v>Mar</v>
      </c>
      <c r="R13" s="34" t="str">
        <f t="shared" si="1"/>
        <v>Sat</v>
      </c>
      <c r="S13">
        <f t="shared" si="2"/>
        <v>0</v>
      </c>
      <c r="T13" t="str" cm="1">
        <f t="array" ref="T13">_xlfn.IFS(S13&lt;=12,"Morning",S13&lt;=16,"Afternoon",S13&lt;=21,"Evening",S13&lt;=24,"Night")</f>
        <v>Morning</v>
      </c>
    </row>
    <row r="14" spans="1:20" x14ac:dyDescent="0.25">
      <c r="A14" s="23" t="s">
        <v>48</v>
      </c>
      <c r="B14" s="19">
        <v>46.95</v>
      </c>
      <c r="C14" s="20">
        <v>5</v>
      </c>
      <c r="D14" s="19">
        <v>11.737500000000001</v>
      </c>
      <c r="E14" s="19">
        <v>246.48750000000001</v>
      </c>
      <c r="F14" s="21">
        <v>43508</v>
      </c>
      <c r="G14" s="22">
        <v>1.0472222222222201</v>
      </c>
      <c r="H14" s="23" t="s">
        <v>23</v>
      </c>
      <c r="I14" s="19">
        <v>234.75</v>
      </c>
      <c r="J14" s="24">
        <v>4.7619047620000003</v>
      </c>
      <c r="K14" s="25">
        <v>7.1</v>
      </c>
      <c r="L14" s="23" t="str">
        <f>VLOOKUP(A14,'Customer-details'!$A$1:$C$1001,2,FALSE)</f>
        <v>Normal</v>
      </c>
      <c r="M14" s="23" t="str">
        <f>VLOOKUP(A14,'Customer-details'!$A$1:$C$1001,3,FALSE)</f>
        <v>Female</v>
      </c>
      <c r="N14" s="23" t="str">
        <f>VLOOKUP(A14,'Product-details'!$A$1:$B$1001,2,FALSE)</f>
        <v>Electronic accessories</v>
      </c>
      <c r="O14" s="23" t="str">
        <f>VLOOKUP(A14,'City-details'!$A$1:$C$1001,3,FALSE)</f>
        <v>Yangon</v>
      </c>
      <c r="P14" s="23" t="str">
        <f>VLOOKUP(A14,'City-details'!$A$1:$C$1001,2,FALSE)</f>
        <v>A</v>
      </c>
      <c r="Q14" s="23" t="str">
        <f t="shared" si="0"/>
        <v>Feb</v>
      </c>
      <c r="R14" s="26" t="str">
        <f t="shared" si="1"/>
        <v>Tue</v>
      </c>
      <c r="S14">
        <f t="shared" si="2"/>
        <v>1</v>
      </c>
      <c r="T14" t="str" cm="1">
        <f t="array" ref="T14">_xlfn.IFS(S14&lt;=12,"Morning",S14&lt;=16,"Afternoon",S14&lt;=21,"Evening",S14&lt;=24,"Night")</f>
        <v>Morning</v>
      </c>
    </row>
    <row r="15" spans="1:20" x14ac:dyDescent="0.25">
      <c r="A15" s="31" t="s">
        <v>49</v>
      </c>
      <c r="B15" s="27">
        <v>43.19</v>
      </c>
      <c r="C15" s="28">
        <v>10</v>
      </c>
      <c r="D15" s="27">
        <v>21.594999999999999</v>
      </c>
      <c r="E15" s="27">
        <v>453.495</v>
      </c>
      <c r="F15" s="29">
        <v>43503</v>
      </c>
      <c r="G15" s="30">
        <v>1.0888888888888899</v>
      </c>
      <c r="H15" s="31" t="s">
        <v>23</v>
      </c>
      <c r="I15" s="27">
        <v>431.9</v>
      </c>
      <c r="J15" s="32">
        <v>4.7619047620000003</v>
      </c>
      <c r="K15" s="33">
        <v>8.1999999999999993</v>
      </c>
      <c r="L15" s="31" t="str">
        <f>VLOOKUP(A15,'Customer-details'!$A$1:$C$1001,2,FALSE)</f>
        <v>Normal</v>
      </c>
      <c r="M15" s="31" t="str">
        <f>VLOOKUP(A15,'Customer-details'!$A$1:$C$1001,3,FALSE)</f>
        <v>Male</v>
      </c>
      <c r="N15" s="31" t="str">
        <f>VLOOKUP(A15,'Product-details'!$A$1:$B$1001,2,FALSE)</f>
        <v>Food and beverages</v>
      </c>
      <c r="O15" s="31" t="str">
        <f>VLOOKUP(A15,'City-details'!$A$1:$C$1001,3,FALSE)</f>
        <v>Yangon</v>
      </c>
      <c r="P15" s="31" t="str">
        <f>VLOOKUP(A15,'City-details'!$A$1:$C$1001,2,FALSE)</f>
        <v>A</v>
      </c>
      <c r="Q15" s="31" t="str">
        <f t="shared" si="0"/>
        <v>Feb</v>
      </c>
      <c r="R15" s="34" t="str">
        <f t="shared" si="1"/>
        <v>Thu</v>
      </c>
      <c r="S15">
        <f t="shared" si="2"/>
        <v>2</v>
      </c>
      <c r="T15" t="str" cm="1">
        <f t="array" ref="T15">_xlfn.IFS(S15&lt;=12,"Morning",S15&lt;=16,"Afternoon",S15&lt;=21,"Evening",S15&lt;=24,"Night")</f>
        <v>Morning</v>
      </c>
    </row>
    <row r="16" spans="1:20" x14ac:dyDescent="0.25">
      <c r="A16" s="23" t="s">
        <v>50</v>
      </c>
      <c r="B16" s="19">
        <v>71.38</v>
      </c>
      <c r="C16" s="20">
        <v>10</v>
      </c>
      <c r="D16" s="19">
        <v>35.69</v>
      </c>
      <c r="E16" s="19">
        <v>749.49</v>
      </c>
      <c r="F16" s="21">
        <v>43553</v>
      </c>
      <c r="G16" s="22">
        <v>1.13055555555556</v>
      </c>
      <c r="H16" s="23" t="s">
        <v>29</v>
      </c>
      <c r="I16" s="19">
        <v>713.8</v>
      </c>
      <c r="J16" s="24">
        <v>4.7619047620000003</v>
      </c>
      <c r="K16" s="25">
        <v>5.7</v>
      </c>
      <c r="L16" s="23" t="str">
        <f>VLOOKUP(A16,'Customer-details'!$A$1:$C$1001,2,FALSE)</f>
        <v>Normal</v>
      </c>
      <c r="M16" s="23" t="str">
        <f>VLOOKUP(A16,'Customer-details'!$A$1:$C$1001,3,FALSE)</f>
        <v>Female</v>
      </c>
      <c r="N16" s="23" t="str">
        <f>VLOOKUP(A16,'Product-details'!$A$1:$B$1001,2,FALSE)</f>
        <v>Health and beauty</v>
      </c>
      <c r="O16" s="23" t="str">
        <f>VLOOKUP(A16,'City-details'!$A$1:$C$1001,3,FALSE)</f>
        <v>Yangon</v>
      </c>
      <c r="P16" s="23" t="str">
        <f>VLOOKUP(A16,'City-details'!$A$1:$C$1001,2,FALSE)</f>
        <v>A</v>
      </c>
      <c r="Q16" s="23" t="str">
        <f t="shared" si="0"/>
        <v>Mar</v>
      </c>
      <c r="R16" s="26" t="str">
        <f t="shared" si="1"/>
        <v>Fri</v>
      </c>
      <c r="S16">
        <f t="shared" si="2"/>
        <v>3</v>
      </c>
      <c r="T16" t="str" cm="1">
        <f t="array" ref="T16">_xlfn.IFS(S16&lt;=12,"Morning",S16&lt;=16,"Afternoon",S16&lt;=21,"Evening",S16&lt;=24,"Night")</f>
        <v>Morning</v>
      </c>
    </row>
    <row r="17" spans="1:20" x14ac:dyDescent="0.25">
      <c r="A17" s="31" t="s">
        <v>51</v>
      </c>
      <c r="B17" s="27">
        <v>93.72</v>
      </c>
      <c r="C17" s="28">
        <v>6</v>
      </c>
      <c r="D17" s="27">
        <v>28.116</v>
      </c>
      <c r="E17" s="27">
        <v>590.43600000000004</v>
      </c>
      <c r="F17" s="29">
        <v>43480</v>
      </c>
      <c r="G17" s="30">
        <v>1.1722222222222201</v>
      </c>
      <c r="H17" s="31" t="s">
        <v>29</v>
      </c>
      <c r="I17" s="27">
        <v>562.32000000000005</v>
      </c>
      <c r="J17" s="32">
        <v>4.7619047620000003</v>
      </c>
      <c r="K17" s="33">
        <v>4.5</v>
      </c>
      <c r="L17" s="31" t="str">
        <f>VLOOKUP(A17,'Customer-details'!$A$1:$C$1001,2,FALSE)</f>
        <v>Member</v>
      </c>
      <c r="M17" s="31" t="str">
        <f>VLOOKUP(A17,'Customer-details'!$A$1:$C$1001,3,FALSE)</f>
        <v>Female</v>
      </c>
      <c r="N17" s="31" t="str">
        <f>VLOOKUP(A17,'Product-details'!$A$1:$B$1001,2,FALSE)</f>
        <v>Sports and travel</v>
      </c>
      <c r="O17" s="31" t="str">
        <f>VLOOKUP(A17,'City-details'!$A$1:$C$1001,3,FALSE)</f>
        <v>Mandalay</v>
      </c>
      <c r="P17" s="31" t="str">
        <f>VLOOKUP(A17,'City-details'!$A$1:$C$1001,2,FALSE)</f>
        <v>B</v>
      </c>
      <c r="Q17" s="31" t="str">
        <f t="shared" si="0"/>
        <v>Jan</v>
      </c>
      <c r="R17" s="34" t="str">
        <f t="shared" si="1"/>
        <v>Tue</v>
      </c>
      <c r="S17">
        <f t="shared" si="2"/>
        <v>4</v>
      </c>
      <c r="T17" t="str" cm="1">
        <f t="array" ref="T17">_xlfn.IFS(S17&lt;=12,"Morning",S17&lt;=16,"Afternoon",S17&lt;=21,"Evening",S17&lt;=24,"Night")</f>
        <v>Morning</v>
      </c>
    </row>
    <row r="18" spans="1:20" x14ac:dyDescent="0.25">
      <c r="A18" s="23" t="s">
        <v>52</v>
      </c>
      <c r="B18" s="19">
        <v>68.930000000000007</v>
      </c>
      <c r="C18" s="20">
        <v>7</v>
      </c>
      <c r="D18" s="19">
        <v>24.125499999999999</v>
      </c>
      <c r="E18" s="19">
        <v>506.63549999999998</v>
      </c>
      <c r="F18" s="21">
        <v>43535</v>
      </c>
      <c r="G18" s="22">
        <v>1.2138888888888899</v>
      </c>
      <c r="H18" s="23" t="s">
        <v>33</v>
      </c>
      <c r="I18" s="19">
        <v>482.51</v>
      </c>
      <c r="J18" s="24">
        <v>4.7619047620000003</v>
      </c>
      <c r="K18" s="25">
        <v>4.5999999999999996</v>
      </c>
      <c r="L18" s="23" t="str">
        <f>VLOOKUP(A18,'Customer-details'!$A$1:$C$1001,2,FALSE)</f>
        <v>Member</v>
      </c>
      <c r="M18" s="23" t="str">
        <f>VLOOKUP(A18,'Customer-details'!$A$1:$C$1001,3,FALSE)</f>
        <v>Female</v>
      </c>
      <c r="N18" s="23" t="str">
        <f>VLOOKUP(A18,'Product-details'!$A$1:$B$1001,2,FALSE)</f>
        <v>Health and beauty</v>
      </c>
      <c r="O18" s="23" t="str">
        <f>VLOOKUP(A18,'City-details'!$A$1:$C$1001,3,FALSE)</f>
        <v>Yangon</v>
      </c>
      <c r="P18" s="23" t="str">
        <f>VLOOKUP(A18,'City-details'!$A$1:$C$1001,2,FALSE)</f>
        <v>A</v>
      </c>
      <c r="Q18" s="23" t="str">
        <f t="shared" si="0"/>
        <v>Mar</v>
      </c>
      <c r="R18" s="26" t="str">
        <f t="shared" si="1"/>
        <v>Mon</v>
      </c>
      <c r="S18">
        <f t="shared" si="2"/>
        <v>5</v>
      </c>
      <c r="T18" t="str" cm="1">
        <f t="array" ref="T18">_xlfn.IFS(S18&lt;=12,"Morning",S18&lt;=16,"Afternoon",S18&lt;=21,"Evening",S18&lt;=24,"Night")</f>
        <v>Morning</v>
      </c>
    </row>
    <row r="19" spans="1:20" x14ac:dyDescent="0.25">
      <c r="A19" s="31" t="s">
        <v>53</v>
      </c>
      <c r="B19" s="27">
        <v>72.61</v>
      </c>
      <c r="C19" s="28">
        <v>6</v>
      </c>
      <c r="D19" s="27">
        <v>21.783000000000001</v>
      </c>
      <c r="E19" s="27">
        <v>457.44299999999998</v>
      </c>
      <c r="F19" s="29">
        <v>43466</v>
      </c>
      <c r="G19" s="30">
        <v>1.25555555555556</v>
      </c>
      <c r="H19" s="31" t="s">
        <v>33</v>
      </c>
      <c r="I19" s="27">
        <v>435.66</v>
      </c>
      <c r="J19" s="32">
        <v>4.7619047620000003</v>
      </c>
      <c r="K19" s="33">
        <v>6.9</v>
      </c>
      <c r="L19" s="31" t="str">
        <f>VLOOKUP(A19,'Customer-details'!$A$1:$C$1001,2,FALSE)</f>
        <v>Normal</v>
      </c>
      <c r="M19" s="31" t="str">
        <f>VLOOKUP(A19,'Customer-details'!$A$1:$C$1001,3,FALSE)</f>
        <v>Male</v>
      </c>
      <c r="N19" s="31" t="str">
        <f>VLOOKUP(A19,'Product-details'!$A$1:$B$1001,2,FALSE)</f>
        <v>Sports and travel</v>
      </c>
      <c r="O19" s="31" t="str">
        <f>VLOOKUP(A19,'City-details'!$A$1:$C$1001,3,FALSE)</f>
        <v>Yangon</v>
      </c>
      <c r="P19" s="31" t="str">
        <f>VLOOKUP(A19,'City-details'!$A$1:$C$1001,2,FALSE)</f>
        <v>A</v>
      </c>
      <c r="Q19" s="31" t="str">
        <f t="shared" si="0"/>
        <v>Jan</v>
      </c>
      <c r="R19" s="34" t="str">
        <f t="shared" si="1"/>
        <v>Tue</v>
      </c>
      <c r="S19">
        <f t="shared" si="2"/>
        <v>6</v>
      </c>
      <c r="T19" t="str" cm="1">
        <f t="array" ref="T19">_xlfn.IFS(S19&lt;=12,"Morning",S19&lt;=16,"Afternoon",S19&lt;=21,"Evening",S19&lt;=24,"Night")</f>
        <v>Morning</v>
      </c>
    </row>
    <row r="20" spans="1:20" x14ac:dyDescent="0.25">
      <c r="A20" s="23" t="s">
        <v>54</v>
      </c>
      <c r="B20" s="19">
        <v>54.67</v>
      </c>
      <c r="C20" s="20">
        <v>3</v>
      </c>
      <c r="D20" s="19">
        <v>8.2004999999999999</v>
      </c>
      <c r="E20" s="19">
        <v>172.2105</v>
      </c>
      <c r="F20" s="21">
        <v>43486</v>
      </c>
      <c r="G20" s="22">
        <v>1.2972222222222201</v>
      </c>
      <c r="H20" s="23" t="s">
        <v>33</v>
      </c>
      <c r="I20" s="19">
        <v>164.01</v>
      </c>
      <c r="J20" s="24">
        <v>4.7619047620000003</v>
      </c>
      <c r="K20" s="25">
        <v>8.6</v>
      </c>
      <c r="L20" s="23" t="str">
        <f>VLOOKUP(A20,'Customer-details'!$A$1:$C$1001,2,FALSE)</f>
        <v>Normal</v>
      </c>
      <c r="M20" s="23" t="str">
        <f>VLOOKUP(A20,'Customer-details'!$A$1:$C$1001,3,FALSE)</f>
        <v>Male</v>
      </c>
      <c r="N20" s="23" t="str">
        <f>VLOOKUP(A20,'Product-details'!$A$1:$B$1001,2,FALSE)</f>
        <v>Food and beverages</v>
      </c>
      <c r="O20" s="23" t="str">
        <f>VLOOKUP(A20,'City-details'!$A$1:$C$1001,3,FALSE)</f>
        <v>Yangon</v>
      </c>
      <c r="P20" s="23" t="str">
        <f>VLOOKUP(A20,'City-details'!$A$1:$C$1001,2,FALSE)</f>
        <v>A</v>
      </c>
      <c r="Q20" s="23" t="str">
        <f t="shared" si="0"/>
        <v>Jan</v>
      </c>
      <c r="R20" s="26" t="str">
        <f t="shared" si="1"/>
        <v>Mon</v>
      </c>
      <c r="S20">
        <f t="shared" si="2"/>
        <v>7</v>
      </c>
      <c r="T20" t="str" cm="1">
        <f t="array" ref="T20">_xlfn.IFS(S20&lt;=12,"Morning",S20&lt;=16,"Afternoon",S20&lt;=21,"Evening",S20&lt;=24,"Night")</f>
        <v>Morning</v>
      </c>
    </row>
    <row r="21" spans="1:20" x14ac:dyDescent="0.25">
      <c r="A21" s="31" t="s">
        <v>55</v>
      </c>
      <c r="B21" s="27">
        <v>40.299999999999997</v>
      </c>
      <c r="C21" s="28">
        <v>2</v>
      </c>
      <c r="D21" s="27">
        <v>4.03</v>
      </c>
      <c r="E21" s="27">
        <v>84.63</v>
      </c>
      <c r="F21" s="29">
        <v>43535</v>
      </c>
      <c r="G21" s="30">
        <v>1.3388888888888899</v>
      </c>
      <c r="H21" s="31" t="s">
        <v>23</v>
      </c>
      <c r="I21" s="27">
        <v>80.599999999999994</v>
      </c>
      <c r="J21" s="32">
        <v>4.7619047620000003</v>
      </c>
      <c r="K21" s="33">
        <v>4.4000000000000004</v>
      </c>
      <c r="L21" s="31" t="str">
        <f>VLOOKUP(A21,'Customer-details'!$A$1:$C$1001,2,FALSE)</f>
        <v>Normal</v>
      </c>
      <c r="M21" s="31" t="str">
        <f>VLOOKUP(A21,'Customer-details'!$A$1:$C$1001,3,FALSE)</f>
        <v>Female</v>
      </c>
      <c r="N21" s="31" t="str">
        <f>VLOOKUP(A21,'Product-details'!$A$1:$B$1001,2,FALSE)</f>
        <v>Home and lifestyle</v>
      </c>
      <c r="O21" s="31" t="str">
        <f>VLOOKUP(A21,'City-details'!$A$1:$C$1001,3,FALSE)</f>
        <v>Mandalay</v>
      </c>
      <c r="P21" s="31" t="str">
        <f>VLOOKUP(A21,'City-details'!$A$1:$C$1001,2,FALSE)</f>
        <v>B</v>
      </c>
      <c r="Q21" s="31" t="str">
        <f t="shared" si="0"/>
        <v>Mar</v>
      </c>
      <c r="R21" s="34" t="str">
        <f t="shared" si="1"/>
        <v>Mon</v>
      </c>
      <c r="S21">
        <f t="shared" si="2"/>
        <v>8</v>
      </c>
      <c r="T21" t="str" cm="1">
        <f t="array" ref="T21">_xlfn.IFS(S21&lt;=12,"Morning",S21&lt;=16,"Afternoon",S21&lt;=21,"Evening",S21&lt;=24,"Night")</f>
        <v>Morning</v>
      </c>
    </row>
    <row r="22" spans="1:20" x14ac:dyDescent="0.25">
      <c r="A22" s="23" t="s">
        <v>56</v>
      </c>
      <c r="B22" s="19">
        <v>86.04</v>
      </c>
      <c r="C22" s="20">
        <v>5</v>
      </c>
      <c r="D22" s="19">
        <v>21.51</v>
      </c>
      <c r="E22" s="19">
        <v>451.71</v>
      </c>
      <c r="F22" s="21">
        <v>43521</v>
      </c>
      <c r="G22" s="22">
        <v>1.38055555555556</v>
      </c>
      <c r="H22" s="23" t="s">
        <v>23</v>
      </c>
      <c r="I22" s="19">
        <v>430.2</v>
      </c>
      <c r="J22" s="24">
        <v>4.7619047620000003</v>
      </c>
      <c r="K22" s="25">
        <v>4.8</v>
      </c>
      <c r="L22" s="23" t="str">
        <f>VLOOKUP(A22,'Customer-details'!$A$1:$C$1001,2,FALSE)</f>
        <v>Member</v>
      </c>
      <c r="M22" s="23" t="str">
        <f>VLOOKUP(A22,'Customer-details'!$A$1:$C$1001,3,FALSE)</f>
        <v>Male</v>
      </c>
      <c r="N22" s="23" t="str">
        <f>VLOOKUP(A22,'Product-details'!$A$1:$B$1001,2,FALSE)</f>
        <v>Electronic accessories</v>
      </c>
      <c r="O22" s="23" t="str">
        <f>VLOOKUP(A22,'City-details'!$A$1:$C$1001,3,FALSE)</f>
        <v>Naypyitaw</v>
      </c>
      <c r="P22" s="23" t="str">
        <f>VLOOKUP(A22,'City-details'!$A$1:$C$1001,2,FALSE)</f>
        <v>C</v>
      </c>
      <c r="Q22" s="23" t="str">
        <f t="shared" si="0"/>
        <v>Feb</v>
      </c>
      <c r="R22" s="26" t="str">
        <f t="shared" si="1"/>
        <v>Mon</v>
      </c>
      <c r="S22">
        <f t="shared" si="2"/>
        <v>9</v>
      </c>
      <c r="T22" t="str" cm="1">
        <f t="array" ref="T22">_xlfn.IFS(S22&lt;=12,"Morning",S22&lt;=16,"Afternoon",S22&lt;=21,"Evening",S22&lt;=24,"Night")</f>
        <v>Morning</v>
      </c>
    </row>
    <row r="23" spans="1:20" x14ac:dyDescent="0.25">
      <c r="A23" s="31" t="s">
        <v>57</v>
      </c>
      <c r="B23" s="27">
        <v>87.98</v>
      </c>
      <c r="C23" s="28">
        <v>3</v>
      </c>
      <c r="D23" s="27">
        <v>13.196999999999999</v>
      </c>
      <c r="E23" s="27">
        <v>277.137</v>
      </c>
      <c r="F23" s="29">
        <v>43529</v>
      </c>
      <c r="G23" s="30">
        <v>1.4222222222222201</v>
      </c>
      <c r="H23" s="31" t="s">
        <v>23</v>
      </c>
      <c r="I23" s="27">
        <v>263.94</v>
      </c>
      <c r="J23" s="32">
        <v>4.7619047620000003</v>
      </c>
      <c r="K23" s="33">
        <v>5.0999999999999996</v>
      </c>
      <c r="L23" s="31" t="str">
        <f>VLOOKUP(A23,'Customer-details'!$A$1:$C$1001,2,FALSE)</f>
        <v>Normal</v>
      </c>
      <c r="M23" s="31" t="str">
        <f>VLOOKUP(A23,'Customer-details'!$A$1:$C$1001,3,FALSE)</f>
        <v>Male</v>
      </c>
      <c r="N23" s="31" t="str">
        <f>VLOOKUP(A23,'Product-details'!$A$1:$B$1001,2,FALSE)</f>
        <v>Health and beauty</v>
      </c>
      <c r="O23" s="31" t="str">
        <f>VLOOKUP(A23,'City-details'!$A$1:$C$1001,3,FALSE)</f>
        <v>Mandalay</v>
      </c>
      <c r="P23" s="31" t="str">
        <f>VLOOKUP(A23,'City-details'!$A$1:$C$1001,2,FALSE)</f>
        <v>B</v>
      </c>
      <c r="Q23" s="31" t="str">
        <f t="shared" si="0"/>
        <v>Mar</v>
      </c>
      <c r="R23" s="34" t="str">
        <f t="shared" si="1"/>
        <v>Tue</v>
      </c>
      <c r="S23">
        <f t="shared" si="2"/>
        <v>10</v>
      </c>
      <c r="T23" t="str" cm="1">
        <f t="array" ref="T23">_xlfn.IFS(S23&lt;=12,"Morning",S23&lt;=16,"Afternoon",S23&lt;=21,"Evening",S23&lt;=24,"Night")</f>
        <v>Morning</v>
      </c>
    </row>
    <row r="24" spans="1:20" x14ac:dyDescent="0.25">
      <c r="A24" s="23" t="s">
        <v>58</v>
      </c>
      <c r="B24" s="19">
        <v>33.200000000000003</v>
      </c>
      <c r="C24" s="20">
        <v>2</v>
      </c>
      <c r="D24" s="19">
        <v>3.32</v>
      </c>
      <c r="E24" s="19">
        <v>69.72</v>
      </c>
      <c r="F24" s="21">
        <v>43539</v>
      </c>
      <c r="G24" s="22">
        <v>1.4638888888888899</v>
      </c>
      <c r="H24" s="23" t="s">
        <v>33</v>
      </c>
      <c r="I24" s="19">
        <v>66.400000000000006</v>
      </c>
      <c r="J24" s="24">
        <v>4.7619047620000003</v>
      </c>
      <c r="K24" s="25">
        <v>4.4000000000000004</v>
      </c>
      <c r="L24" s="23" t="str">
        <f>VLOOKUP(A24,'Customer-details'!$A$1:$C$1001,2,FALSE)</f>
        <v>Normal</v>
      </c>
      <c r="M24" s="23" t="str">
        <f>VLOOKUP(A24,'Customer-details'!$A$1:$C$1001,3,FALSE)</f>
        <v>Male</v>
      </c>
      <c r="N24" s="23" t="str">
        <f>VLOOKUP(A24,'Product-details'!$A$1:$B$1001,2,FALSE)</f>
        <v>Home and lifestyle</v>
      </c>
      <c r="O24" s="23" t="str">
        <f>VLOOKUP(A24,'City-details'!$A$1:$C$1001,3,FALSE)</f>
        <v>Mandalay</v>
      </c>
      <c r="P24" s="23" t="str">
        <f>VLOOKUP(A24,'City-details'!$A$1:$C$1001,2,FALSE)</f>
        <v>B</v>
      </c>
      <c r="Q24" s="23" t="str">
        <f t="shared" si="0"/>
        <v>Mar</v>
      </c>
      <c r="R24" s="26" t="str">
        <f t="shared" si="1"/>
        <v>Fri</v>
      </c>
      <c r="S24">
        <f t="shared" si="2"/>
        <v>11</v>
      </c>
      <c r="T24" t="str" cm="1">
        <f t="array" ref="T24">_xlfn.IFS(S24&lt;=12,"Morning",S24&lt;=16,"Afternoon",S24&lt;=21,"Evening",S24&lt;=24,"Night")</f>
        <v>Morning</v>
      </c>
    </row>
    <row r="25" spans="1:20" x14ac:dyDescent="0.25">
      <c r="A25" s="31" t="s">
        <v>59</v>
      </c>
      <c r="B25" s="27">
        <v>34.56</v>
      </c>
      <c r="C25" s="28">
        <v>5</v>
      </c>
      <c r="D25" s="27">
        <v>8.64</v>
      </c>
      <c r="E25" s="27">
        <v>181.44</v>
      </c>
      <c r="F25" s="29">
        <v>43513</v>
      </c>
      <c r="G25" s="30">
        <v>1.50555555555556</v>
      </c>
      <c r="H25" s="31" t="s">
        <v>23</v>
      </c>
      <c r="I25" s="27">
        <v>172.8</v>
      </c>
      <c r="J25" s="32">
        <v>4.7619047620000003</v>
      </c>
      <c r="K25" s="33">
        <v>9.9</v>
      </c>
      <c r="L25" s="31" t="str">
        <f>VLOOKUP(A25,'Customer-details'!$A$1:$C$1001,2,FALSE)</f>
        <v>Normal</v>
      </c>
      <c r="M25" s="31" t="str">
        <f>VLOOKUP(A25,'Customer-details'!$A$1:$C$1001,3,FALSE)</f>
        <v>Male</v>
      </c>
      <c r="N25" s="31" t="str">
        <f>VLOOKUP(A25,'Product-details'!$A$1:$B$1001,2,FALSE)</f>
        <v>Electronic accessories</v>
      </c>
      <c r="O25" s="31" t="str">
        <f>VLOOKUP(A25,'City-details'!$A$1:$C$1001,3,FALSE)</f>
        <v>Yangon</v>
      </c>
      <c r="P25" s="31" t="str">
        <f>VLOOKUP(A25,'City-details'!$A$1:$C$1001,2,FALSE)</f>
        <v>A</v>
      </c>
      <c r="Q25" s="31" t="str">
        <f t="shared" si="0"/>
        <v>Feb</v>
      </c>
      <c r="R25" s="34" t="str">
        <f t="shared" si="1"/>
        <v>Sun</v>
      </c>
      <c r="S25">
        <f t="shared" si="2"/>
        <v>12</v>
      </c>
      <c r="T25" t="str" cm="1">
        <f t="array" ref="T25">_xlfn.IFS(S25&lt;=12,"Morning",S25&lt;=16,"Afternoon",S25&lt;=21,"Evening",S25&lt;=24,"Night")</f>
        <v>Morning</v>
      </c>
    </row>
    <row r="26" spans="1:20" x14ac:dyDescent="0.25">
      <c r="A26" s="23" t="s">
        <v>60</v>
      </c>
      <c r="B26" s="19">
        <v>88.63</v>
      </c>
      <c r="C26" s="20">
        <v>3</v>
      </c>
      <c r="D26" s="19">
        <v>13.294499999999999</v>
      </c>
      <c r="E26" s="19">
        <v>279.18450000000001</v>
      </c>
      <c r="F26" s="21">
        <v>43526</v>
      </c>
      <c r="G26" s="22">
        <v>1.5472222222222201</v>
      </c>
      <c r="H26" s="23" t="s">
        <v>23</v>
      </c>
      <c r="I26" s="19">
        <v>265.89</v>
      </c>
      <c r="J26" s="24">
        <v>4.7619047620000003</v>
      </c>
      <c r="K26" s="25">
        <v>6</v>
      </c>
      <c r="L26" s="23" t="str">
        <f>VLOOKUP(A26,'Customer-details'!$A$1:$C$1001,2,FALSE)</f>
        <v>Member</v>
      </c>
      <c r="M26" s="23" t="str">
        <f>VLOOKUP(A26,'Customer-details'!$A$1:$C$1001,3,FALSE)</f>
        <v>Male</v>
      </c>
      <c r="N26" s="23" t="str">
        <f>VLOOKUP(A26,'Product-details'!$A$1:$B$1001,2,FALSE)</f>
        <v>Sports and travel</v>
      </c>
      <c r="O26" s="23" t="str">
        <f>VLOOKUP(A26,'City-details'!$A$1:$C$1001,3,FALSE)</f>
        <v>Yangon</v>
      </c>
      <c r="P26" s="23" t="str">
        <f>VLOOKUP(A26,'City-details'!$A$1:$C$1001,2,FALSE)</f>
        <v>A</v>
      </c>
      <c r="Q26" s="23" t="str">
        <f t="shared" si="0"/>
        <v>Mar</v>
      </c>
      <c r="R26" s="26" t="str">
        <f t="shared" si="1"/>
        <v>Sat</v>
      </c>
      <c r="S26">
        <f t="shared" si="2"/>
        <v>13</v>
      </c>
      <c r="T26" t="str" cm="1">
        <f t="array" ref="T26">_xlfn.IFS(S26&lt;=12,"Morning",S26&lt;=16,"Afternoon",S26&lt;=21,"Evening",S26&lt;=24,"Night")</f>
        <v>Afternoon</v>
      </c>
    </row>
    <row r="27" spans="1:20" x14ac:dyDescent="0.25">
      <c r="A27" s="31" t="s">
        <v>61</v>
      </c>
      <c r="B27" s="27">
        <v>52.59</v>
      </c>
      <c r="C27" s="28">
        <v>8</v>
      </c>
      <c r="D27" s="27">
        <v>21.036000000000001</v>
      </c>
      <c r="E27" s="27">
        <v>441.75599999999997</v>
      </c>
      <c r="F27" s="29">
        <v>43546</v>
      </c>
      <c r="G27" s="30">
        <v>1.5888888888888899</v>
      </c>
      <c r="H27" s="31" t="s">
        <v>33</v>
      </c>
      <c r="I27" s="27">
        <v>420.72</v>
      </c>
      <c r="J27" s="32">
        <v>4.7619047620000003</v>
      </c>
      <c r="K27" s="33">
        <v>8.5</v>
      </c>
      <c r="L27" s="31" t="str">
        <f>VLOOKUP(A27,'Customer-details'!$A$1:$C$1001,2,FALSE)</f>
        <v>Member</v>
      </c>
      <c r="M27" s="31" t="str">
        <f>VLOOKUP(A27,'Customer-details'!$A$1:$C$1001,3,FALSE)</f>
        <v>Female</v>
      </c>
      <c r="N27" s="31" t="str">
        <f>VLOOKUP(A27,'Product-details'!$A$1:$B$1001,2,FALSE)</f>
        <v>Home and lifestyle</v>
      </c>
      <c r="O27" s="31" t="str">
        <f>VLOOKUP(A27,'City-details'!$A$1:$C$1001,3,FALSE)</f>
        <v>Yangon</v>
      </c>
      <c r="P27" s="31" t="str">
        <f>VLOOKUP(A27,'City-details'!$A$1:$C$1001,2,FALSE)</f>
        <v>A</v>
      </c>
      <c r="Q27" s="31" t="str">
        <f t="shared" si="0"/>
        <v>Mar</v>
      </c>
      <c r="R27" s="34" t="str">
        <f t="shared" si="1"/>
        <v>Fri</v>
      </c>
      <c r="S27">
        <f t="shared" si="2"/>
        <v>14</v>
      </c>
      <c r="T27" t="str" cm="1">
        <f t="array" ref="T27">_xlfn.IFS(S27&lt;=12,"Morning",S27&lt;=16,"Afternoon",S27&lt;=21,"Evening",S27&lt;=24,"Night")</f>
        <v>Afternoon</v>
      </c>
    </row>
    <row r="28" spans="1:20" x14ac:dyDescent="0.25">
      <c r="A28" s="23" t="s">
        <v>62</v>
      </c>
      <c r="B28" s="19">
        <v>33.520000000000003</v>
      </c>
      <c r="C28" s="20">
        <v>1</v>
      </c>
      <c r="D28" s="19">
        <v>1.6759999999999999</v>
      </c>
      <c r="E28" s="19">
        <v>35.195999999999998</v>
      </c>
      <c r="F28" s="21">
        <v>43504</v>
      </c>
      <c r="G28" s="22">
        <v>1.63055555555556</v>
      </c>
      <c r="H28" s="23" t="s">
        <v>29</v>
      </c>
      <c r="I28" s="48">
        <v>33.520000000000003</v>
      </c>
      <c r="J28" s="24">
        <v>4.7619047620000003</v>
      </c>
      <c r="K28" s="25">
        <v>6.7</v>
      </c>
      <c r="L28" s="23" t="str">
        <f>VLOOKUP(A28,'Customer-details'!$A$1:$C$1001,2,FALSE)</f>
        <v>Normal</v>
      </c>
      <c r="M28" s="23" t="str">
        <f>VLOOKUP(A28,'Customer-details'!$A$1:$C$1001,3,FALSE)</f>
        <v>Male</v>
      </c>
      <c r="N28" s="23" t="str">
        <f>VLOOKUP(A28,'Product-details'!$A$1:$B$1001,2,FALSE)</f>
        <v>Fashion accessories</v>
      </c>
      <c r="O28" s="23" t="str">
        <f>VLOOKUP(A28,'City-details'!$A$1:$C$1001,3,FALSE)</f>
        <v>Mandalay</v>
      </c>
      <c r="P28" s="23" t="str">
        <f>VLOOKUP(A28,'City-details'!$A$1:$C$1001,2,FALSE)</f>
        <v>B</v>
      </c>
      <c r="Q28" s="23" t="str">
        <f t="shared" si="0"/>
        <v>Feb</v>
      </c>
      <c r="R28" s="26" t="str">
        <f t="shared" si="1"/>
        <v>Fri</v>
      </c>
      <c r="S28">
        <f t="shared" si="2"/>
        <v>15</v>
      </c>
      <c r="T28" t="str" cm="1">
        <f t="array" ref="T28">_xlfn.IFS(S28&lt;=12,"Morning",S28&lt;=16,"Afternoon",S28&lt;=21,"Evening",S28&lt;=24,"Night")</f>
        <v>Afternoon</v>
      </c>
    </row>
    <row r="29" spans="1:20" x14ac:dyDescent="0.25">
      <c r="A29" s="31" t="s">
        <v>63</v>
      </c>
      <c r="B29" s="27">
        <v>87.67</v>
      </c>
      <c r="C29" s="28">
        <v>2</v>
      </c>
      <c r="D29" s="27">
        <v>8.7669999999999995</v>
      </c>
      <c r="E29" s="27">
        <v>184.107</v>
      </c>
      <c r="F29" s="29">
        <v>43534</v>
      </c>
      <c r="G29" s="30">
        <v>1.6722222222222201</v>
      </c>
      <c r="H29" s="31" t="s">
        <v>33</v>
      </c>
      <c r="I29" s="27">
        <v>175.34</v>
      </c>
      <c r="J29" s="32">
        <v>4.7619047620000003</v>
      </c>
      <c r="K29" s="33">
        <v>7.7</v>
      </c>
      <c r="L29" s="31" t="str">
        <f>VLOOKUP(A29,'Customer-details'!$A$1:$C$1001,2,FALSE)</f>
        <v>Normal</v>
      </c>
      <c r="M29" s="31" t="str">
        <f>VLOOKUP(A29,'Customer-details'!$A$1:$C$1001,3,FALSE)</f>
        <v>Female</v>
      </c>
      <c r="N29" s="31" t="str">
        <f>VLOOKUP(A29,'Product-details'!$A$1:$B$1001,2,FALSE)</f>
        <v>Fashion accessories</v>
      </c>
      <c r="O29" s="31" t="str">
        <f>VLOOKUP(A29,'City-details'!$A$1:$C$1001,3,FALSE)</f>
        <v>Yangon</v>
      </c>
      <c r="P29" s="31" t="str">
        <f>VLOOKUP(A29,'City-details'!$A$1:$C$1001,2,FALSE)</f>
        <v>A</v>
      </c>
      <c r="Q29" s="31" t="str">
        <f t="shared" si="0"/>
        <v>Mar</v>
      </c>
      <c r="R29" s="34" t="str">
        <f t="shared" si="1"/>
        <v>Sun</v>
      </c>
      <c r="S29">
        <f t="shared" si="2"/>
        <v>16</v>
      </c>
      <c r="T29" t="str" cm="1">
        <f t="array" ref="T29">_xlfn.IFS(S29&lt;=12,"Morning",S29&lt;=16,"Afternoon",S29&lt;=21,"Evening",S29&lt;=24,"Night")</f>
        <v>Afternoon</v>
      </c>
    </row>
    <row r="30" spans="1:20" x14ac:dyDescent="0.25">
      <c r="A30" s="23" t="s">
        <v>64</v>
      </c>
      <c r="B30" s="19">
        <v>88.36</v>
      </c>
      <c r="C30" s="20">
        <v>5</v>
      </c>
      <c r="D30" s="19">
        <v>22.09</v>
      </c>
      <c r="E30" s="19">
        <v>463.89</v>
      </c>
      <c r="F30" s="21">
        <v>43490</v>
      </c>
      <c r="G30" s="22">
        <v>1.7138888888888899</v>
      </c>
      <c r="H30" s="23" t="s">
        <v>29</v>
      </c>
      <c r="I30" s="19">
        <v>441.8</v>
      </c>
      <c r="J30" s="24">
        <v>4.7619047620000003</v>
      </c>
      <c r="K30" s="25">
        <v>9.6</v>
      </c>
      <c r="L30" s="23" t="str">
        <f>VLOOKUP(A30,'Customer-details'!$A$1:$C$1001,2,FALSE)</f>
        <v>Normal</v>
      </c>
      <c r="M30" s="23" t="str">
        <f>VLOOKUP(A30,'Customer-details'!$A$1:$C$1001,3,FALSE)</f>
        <v>Female</v>
      </c>
      <c r="N30" s="23" t="str">
        <f>VLOOKUP(A30,'Product-details'!$A$1:$B$1001,2,FALSE)</f>
        <v>Food and beverages</v>
      </c>
      <c r="O30" s="23" t="str">
        <f>VLOOKUP(A30,'City-details'!$A$1:$C$1001,3,FALSE)</f>
        <v>Mandalay</v>
      </c>
      <c r="P30" s="23" t="str">
        <f>VLOOKUP(A30,'City-details'!$A$1:$C$1001,2,FALSE)</f>
        <v>B</v>
      </c>
      <c r="Q30" s="23" t="str">
        <f t="shared" si="0"/>
        <v>Jan</v>
      </c>
      <c r="R30" s="26" t="str">
        <f t="shared" si="1"/>
        <v>Fri</v>
      </c>
      <c r="S30">
        <f t="shared" si="2"/>
        <v>17</v>
      </c>
      <c r="T30" t="str" cm="1">
        <f t="array" ref="T30">_xlfn.IFS(S30&lt;=12,"Morning",S30&lt;=16,"Afternoon",S30&lt;=21,"Evening",S30&lt;=24,"Night")</f>
        <v>Evening</v>
      </c>
    </row>
    <row r="31" spans="1:20" x14ac:dyDescent="0.25">
      <c r="A31" s="31" t="s">
        <v>65</v>
      </c>
      <c r="B31" s="27">
        <v>24.89</v>
      </c>
      <c r="C31" s="28">
        <v>9</v>
      </c>
      <c r="D31" s="27">
        <v>11.2005</v>
      </c>
      <c r="E31" s="27">
        <v>235.2105</v>
      </c>
      <c r="F31" s="29">
        <v>43539</v>
      </c>
      <c r="G31" s="30">
        <v>1.75555555555556</v>
      </c>
      <c r="H31" s="31" t="s">
        <v>29</v>
      </c>
      <c r="I31" s="27">
        <v>224.01</v>
      </c>
      <c r="J31" s="32">
        <v>4.7619047620000003</v>
      </c>
      <c r="K31" s="33">
        <v>7.4</v>
      </c>
      <c r="L31" s="31" t="str">
        <f>VLOOKUP(A31,'Customer-details'!$A$1:$C$1001,2,FALSE)</f>
        <v>Normal</v>
      </c>
      <c r="M31" s="31" t="str">
        <f>VLOOKUP(A31,'Customer-details'!$A$1:$C$1001,3,FALSE)</f>
        <v>Male</v>
      </c>
      <c r="N31" s="31" t="str">
        <f>VLOOKUP(A31,'Product-details'!$A$1:$B$1001,2,FALSE)</f>
        <v>Health and beauty</v>
      </c>
      <c r="O31" s="31" t="str">
        <f>VLOOKUP(A31,'City-details'!$A$1:$C$1001,3,FALSE)</f>
        <v>Yangon</v>
      </c>
      <c r="P31" s="31" t="str">
        <f>VLOOKUP(A31,'City-details'!$A$1:$C$1001,2,FALSE)</f>
        <v>A</v>
      </c>
      <c r="Q31" s="31" t="str">
        <f t="shared" si="0"/>
        <v>Mar</v>
      </c>
      <c r="R31" s="34" t="str">
        <f t="shared" si="1"/>
        <v>Fri</v>
      </c>
      <c r="S31">
        <f t="shared" si="2"/>
        <v>18</v>
      </c>
      <c r="T31" t="str" cm="1">
        <f t="array" ref="T31">_xlfn.IFS(S31&lt;=12,"Morning",S31&lt;=16,"Afternoon",S31&lt;=21,"Evening",S31&lt;=24,"Night")</f>
        <v>Evening</v>
      </c>
    </row>
    <row r="32" spans="1:20" x14ac:dyDescent="0.25">
      <c r="A32" s="23" t="s">
        <v>66</v>
      </c>
      <c r="B32" s="19">
        <v>94.13</v>
      </c>
      <c r="C32" s="20">
        <v>5</v>
      </c>
      <c r="D32" s="19">
        <v>23.532499999999999</v>
      </c>
      <c r="E32" s="19">
        <v>494.1825</v>
      </c>
      <c r="F32" s="21">
        <v>43521</v>
      </c>
      <c r="G32" s="22">
        <v>1.7972222222222201</v>
      </c>
      <c r="H32" s="23" t="s">
        <v>33</v>
      </c>
      <c r="I32" s="19">
        <v>470.65</v>
      </c>
      <c r="J32" s="24">
        <v>4.7619047620000003</v>
      </c>
      <c r="K32" s="25">
        <v>4.8</v>
      </c>
      <c r="L32" s="23" t="str">
        <f>VLOOKUP(A32,'Customer-details'!$A$1:$C$1001,2,FALSE)</f>
        <v>Normal</v>
      </c>
      <c r="M32" s="23" t="str">
        <f>VLOOKUP(A32,'Customer-details'!$A$1:$C$1001,3,FALSE)</f>
        <v>Male</v>
      </c>
      <c r="N32" s="23" t="str">
        <f>VLOOKUP(A32,'Product-details'!$A$1:$B$1001,2,FALSE)</f>
        <v>Fashion accessories</v>
      </c>
      <c r="O32" s="23" t="str">
        <f>VLOOKUP(A32,'City-details'!$A$1:$C$1001,3,FALSE)</f>
        <v>Mandalay</v>
      </c>
      <c r="P32" s="23" t="str">
        <f>VLOOKUP(A32,'City-details'!$A$1:$C$1001,2,FALSE)</f>
        <v>B</v>
      </c>
      <c r="Q32" s="23" t="str">
        <f t="shared" si="0"/>
        <v>Feb</v>
      </c>
      <c r="R32" s="26" t="str">
        <f t="shared" si="1"/>
        <v>Mon</v>
      </c>
      <c r="S32">
        <f t="shared" si="2"/>
        <v>19</v>
      </c>
      <c r="T32" t="str" cm="1">
        <f t="array" ref="T32">_xlfn.IFS(S32&lt;=12,"Morning",S32&lt;=16,"Afternoon",S32&lt;=21,"Evening",S32&lt;=24,"Night")</f>
        <v>Evening</v>
      </c>
    </row>
    <row r="33" spans="1:20" x14ac:dyDescent="0.25">
      <c r="A33" s="31" t="s">
        <v>67</v>
      </c>
      <c r="B33" s="27">
        <v>78.069999999999993</v>
      </c>
      <c r="C33" s="28">
        <v>9</v>
      </c>
      <c r="D33" s="27">
        <v>35.131500000000003</v>
      </c>
      <c r="E33" s="27">
        <v>737.76149999999996</v>
      </c>
      <c r="F33" s="29">
        <v>43493</v>
      </c>
      <c r="G33" s="30">
        <v>1.8388888888888899</v>
      </c>
      <c r="H33" s="31" t="s">
        <v>29</v>
      </c>
      <c r="I33" s="27">
        <v>702.63</v>
      </c>
      <c r="J33" s="32">
        <v>4.7619047620000003</v>
      </c>
      <c r="K33" s="33">
        <v>4.5</v>
      </c>
      <c r="L33" s="31" t="str">
        <f>VLOOKUP(A33,'Customer-details'!$A$1:$C$1001,2,FALSE)</f>
        <v>Member</v>
      </c>
      <c r="M33" s="31" t="str">
        <f>VLOOKUP(A33,'Customer-details'!$A$1:$C$1001,3,FALSE)</f>
        <v>Male</v>
      </c>
      <c r="N33" s="31" t="str">
        <f>VLOOKUP(A33,'Product-details'!$A$1:$B$1001,2,FALSE)</f>
        <v>Sports and travel</v>
      </c>
      <c r="O33" s="31" t="str">
        <f>VLOOKUP(A33,'City-details'!$A$1:$C$1001,3,FALSE)</f>
        <v>Mandalay</v>
      </c>
      <c r="P33" s="31" t="str">
        <f>VLOOKUP(A33,'City-details'!$A$1:$C$1001,2,FALSE)</f>
        <v>B</v>
      </c>
      <c r="Q33" s="31" t="str">
        <f t="shared" si="0"/>
        <v>Jan</v>
      </c>
      <c r="R33" s="34" t="str">
        <f t="shared" si="1"/>
        <v>Mon</v>
      </c>
      <c r="S33">
        <f t="shared" si="2"/>
        <v>20</v>
      </c>
      <c r="T33" t="str" cm="1">
        <f t="array" ref="T33">_xlfn.IFS(S33&lt;=12,"Morning",S33&lt;=16,"Afternoon",S33&lt;=21,"Evening",S33&lt;=24,"Night")</f>
        <v>Evening</v>
      </c>
    </row>
    <row r="34" spans="1:20" x14ac:dyDescent="0.25">
      <c r="A34" s="23" t="s">
        <v>68</v>
      </c>
      <c r="B34" s="19">
        <v>83.78</v>
      </c>
      <c r="C34" s="20">
        <v>8</v>
      </c>
      <c r="D34" s="19">
        <v>33.512</v>
      </c>
      <c r="E34" s="19">
        <v>703.75199999999995</v>
      </c>
      <c r="F34" s="21">
        <v>43475</v>
      </c>
      <c r="G34" s="22">
        <v>1.88055555555556</v>
      </c>
      <c r="H34" s="23" t="s">
        <v>29</v>
      </c>
      <c r="I34" s="19">
        <v>670.24</v>
      </c>
      <c r="J34" s="24">
        <v>4.7619047620000003</v>
      </c>
      <c r="K34" s="25">
        <v>5.0999999999999996</v>
      </c>
      <c r="L34" s="23" t="str">
        <f>VLOOKUP(A34,'Customer-details'!$A$1:$C$1001,2,FALSE)</f>
        <v>Normal</v>
      </c>
      <c r="M34" s="23" t="str">
        <f>VLOOKUP(A34,'Customer-details'!$A$1:$C$1001,3,FALSE)</f>
        <v>Male</v>
      </c>
      <c r="N34" s="23" t="str">
        <f>VLOOKUP(A34,'Product-details'!$A$1:$B$1001,2,FALSE)</f>
        <v>Sports and travel</v>
      </c>
      <c r="O34" s="23" t="str">
        <f>VLOOKUP(A34,'City-details'!$A$1:$C$1001,3,FALSE)</f>
        <v>Mandalay</v>
      </c>
      <c r="P34" s="23" t="str">
        <f>VLOOKUP(A34,'City-details'!$A$1:$C$1001,2,FALSE)</f>
        <v>B</v>
      </c>
      <c r="Q34" s="23" t="str">
        <f t="shared" si="0"/>
        <v>Jan</v>
      </c>
      <c r="R34" s="26" t="str">
        <f t="shared" si="1"/>
        <v>Thu</v>
      </c>
      <c r="S34">
        <f t="shared" si="2"/>
        <v>21</v>
      </c>
      <c r="T34" t="str" cm="1">
        <f t="array" ref="T34">_xlfn.IFS(S34&lt;=12,"Morning",S34&lt;=16,"Afternoon",S34&lt;=21,"Evening",S34&lt;=24,"Night")</f>
        <v>Evening</v>
      </c>
    </row>
    <row r="35" spans="1:20" x14ac:dyDescent="0.25">
      <c r="A35" s="31" t="s">
        <v>69</v>
      </c>
      <c r="B35" s="27">
        <v>96.58</v>
      </c>
      <c r="C35" s="28">
        <v>2</v>
      </c>
      <c r="D35" s="27">
        <v>9.6579999999999995</v>
      </c>
      <c r="E35" s="27">
        <v>202.81800000000001</v>
      </c>
      <c r="F35" s="29">
        <v>43539</v>
      </c>
      <c r="G35" s="30">
        <v>1.9222222222222201</v>
      </c>
      <c r="H35" s="31" t="s">
        <v>33</v>
      </c>
      <c r="I35" s="27">
        <v>193.16</v>
      </c>
      <c r="J35" s="32">
        <v>4.7619047620000003</v>
      </c>
      <c r="K35" s="33">
        <v>5.0999999999999996</v>
      </c>
      <c r="L35" s="31" t="str">
        <f>VLOOKUP(A35,'Customer-details'!$A$1:$C$1001,2,FALSE)</f>
        <v>Normal</v>
      </c>
      <c r="M35" s="31" t="str">
        <f>VLOOKUP(A35,'Customer-details'!$A$1:$C$1001,3,FALSE)</f>
        <v>Male</v>
      </c>
      <c r="N35" s="31" t="str">
        <f>VLOOKUP(A35,'Product-details'!$A$1:$B$1001,2,FALSE)</f>
        <v>Health and beauty</v>
      </c>
      <c r="O35" s="31" t="str">
        <f>VLOOKUP(A35,'City-details'!$A$1:$C$1001,3,FALSE)</f>
        <v>Yangon</v>
      </c>
      <c r="P35" s="31" t="str">
        <f>VLOOKUP(A35,'City-details'!$A$1:$C$1001,2,FALSE)</f>
        <v>A</v>
      </c>
      <c r="Q35" s="31" t="str">
        <f t="shared" si="0"/>
        <v>Mar</v>
      </c>
      <c r="R35" s="34" t="str">
        <f t="shared" si="1"/>
        <v>Fri</v>
      </c>
      <c r="S35">
        <f t="shared" si="2"/>
        <v>22</v>
      </c>
      <c r="T35" t="str" cm="1">
        <f t="array" ref="T35">_xlfn.IFS(S35&lt;=12,"Morning",S35&lt;=16,"Afternoon",S35&lt;=21,"Evening",S35&lt;=24,"Night")</f>
        <v>Night</v>
      </c>
    </row>
    <row r="36" spans="1:20" x14ac:dyDescent="0.25">
      <c r="A36" s="23" t="s">
        <v>70</v>
      </c>
      <c r="B36" s="19">
        <v>99.42</v>
      </c>
      <c r="C36" s="20">
        <v>4</v>
      </c>
      <c r="D36" s="19">
        <v>19.884</v>
      </c>
      <c r="E36" s="19">
        <v>417.56400000000002</v>
      </c>
      <c r="F36" s="21">
        <v>43502</v>
      </c>
      <c r="G36" s="22">
        <v>1.9638888888888899</v>
      </c>
      <c r="H36" s="23" t="s">
        <v>23</v>
      </c>
      <c r="I36" s="19">
        <v>397.68</v>
      </c>
      <c r="J36" s="24">
        <v>4.7619047620000003</v>
      </c>
      <c r="K36" s="25">
        <v>7.5</v>
      </c>
      <c r="L36" s="23" t="str">
        <f>VLOOKUP(A36,'Customer-details'!$A$1:$C$1001,2,FALSE)</f>
        <v>Member</v>
      </c>
      <c r="M36" s="23" t="str">
        <f>VLOOKUP(A36,'Customer-details'!$A$1:$C$1001,3,FALSE)</f>
        <v>Female</v>
      </c>
      <c r="N36" s="23" t="str">
        <f>VLOOKUP(A36,'Product-details'!$A$1:$B$1001,2,FALSE)</f>
        <v>Food and beverages</v>
      </c>
      <c r="O36" s="23" t="str">
        <f>VLOOKUP(A36,'City-details'!$A$1:$C$1001,3,FALSE)</f>
        <v>Naypyitaw</v>
      </c>
      <c r="P36" s="23" t="str">
        <f>VLOOKUP(A36,'City-details'!$A$1:$C$1001,2,FALSE)</f>
        <v>C</v>
      </c>
      <c r="Q36" s="23" t="str">
        <f t="shared" si="0"/>
        <v>Feb</v>
      </c>
      <c r="R36" s="26" t="str">
        <f t="shared" si="1"/>
        <v>Wed</v>
      </c>
      <c r="S36">
        <f t="shared" si="2"/>
        <v>23</v>
      </c>
      <c r="T36" t="str" cm="1">
        <f t="array" ref="T36">_xlfn.IFS(S36&lt;=12,"Morning",S36&lt;=16,"Afternoon",S36&lt;=21,"Evening",S36&lt;=24,"Night")</f>
        <v>Night</v>
      </c>
    </row>
    <row r="37" spans="1:20" x14ac:dyDescent="0.25">
      <c r="A37" s="31" t="s">
        <v>71</v>
      </c>
      <c r="B37" s="27">
        <v>68.12</v>
      </c>
      <c r="C37" s="28">
        <v>1</v>
      </c>
      <c r="D37" s="27">
        <v>3.4060000000000001</v>
      </c>
      <c r="E37" s="27">
        <v>71.525999999999996</v>
      </c>
      <c r="F37" s="29">
        <v>43472</v>
      </c>
      <c r="G37" s="30">
        <v>2.00555555555556</v>
      </c>
      <c r="H37" s="31" t="s">
        <v>23</v>
      </c>
      <c r="I37" s="27">
        <v>68.12</v>
      </c>
      <c r="J37" s="32">
        <v>4.7619047620000003</v>
      </c>
      <c r="K37" s="33">
        <v>6.8</v>
      </c>
      <c r="L37" s="31" t="str">
        <f>VLOOKUP(A37,'Customer-details'!$A$1:$C$1001,2,FALSE)</f>
        <v>Member</v>
      </c>
      <c r="M37" s="31" t="str">
        <f>VLOOKUP(A37,'Customer-details'!$A$1:$C$1001,3,FALSE)</f>
        <v>Female</v>
      </c>
      <c r="N37" s="31" t="str">
        <f>VLOOKUP(A37,'Product-details'!$A$1:$B$1001,2,FALSE)</f>
        <v>Sports and travel</v>
      </c>
      <c r="O37" s="31" t="str">
        <f>VLOOKUP(A37,'City-details'!$A$1:$C$1001,3,FALSE)</f>
        <v>Naypyitaw</v>
      </c>
      <c r="P37" s="31" t="str">
        <f>VLOOKUP(A37,'City-details'!$A$1:$C$1001,2,FALSE)</f>
        <v>C</v>
      </c>
      <c r="Q37" s="31" t="str">
        <f t="shared" si="0"/>
        <v>Jan</v>
      </c>
      <c r="R37" s="34" t="str">
        <f t="shared" si="1"/>
        <v>Mon</v>
      </c>
      <c r="S37">
        <f t="shared" si="2"/>
        <v>0</v>
      </c>
      <c r="T37" t="str" cm="1">
        <f t="array" ref="T37">_xlfn.IFS(S37&lt;=12,"Morning",S37&lt;=16,"Afternoon",S37&lt;=21,"Evening",S37&lt;=24,"Night")</f>
        <v>Morning</v>
      </c>
    </row>
    <row r="38" spans="1:20" x14ac:dyDescent="0.25">
      <c r="A38" s="23" t="s">
        <v>72</v>
      </c>
      <c r="B38" s="19">
        <v>62.62</v>
      </c>
      <c r="C38" s="20">
        <v>5</v>
      </c>
      <c r="D38" s="19">
        <v>15.654999999999999</v>
      </c>
      <c r="E38" s="19">
        <v>328.755</v>
      </c>
      <c r="F38" s="21">
        <v>43534</v>
      </c>
      <c r="G38" s="22">
        <v>2.0472222222222198</v>
      </c>
      <c r="H38" s="23" t="s">
        <v>23</v>
      </c>
      <c r="I38" s="19">
        <v>313.10000000000002</v>
      </c>
      <c r="J38" s="24">
        <v>4.7619047620000003</v>
      </c>
      <c r="K38" s="25">
        <v>7</v>
      </c>
      <c r="L38" s="23" t="str">
        <f>VLOOKUP(A38,'Customer-details'!$A$1:$C$1001,2,FALSE)</f>
        <v>Member</v>
      </c>
      <c r="M38" s="23" t="str">
        <f>VLOOKUP(A38,'Customer-details'!$A$1:$C$1001,3,FALSE)</f>
        <v>Male</v>
      </c>
      <c r="N38" s="23" t="str">
        <f>VLOOKUP(A38,'Product-details'!$A$1:$B$1001,2,FALSE)</f>
        <v>Sports and travel</v>
      </c>
      <c r="O38" s="23" t="str">
        <f>VLOOKUP(A38,'City-details'!$A$1:$C$1001,3,FALSE)</f>
        <v>Yangon</v>
      </c>
      <c r="P38" s="23" t="str">
        <f>VLOOKUP(A38,'City-details'!$A$1:$C$1001,2,FALSE)</f>
        <v>A</v>
      </c>
      <c r="Q38" s="23" t="str">
        <f t="shared" si="0"/>
        <v>Mar</v>
      </c>
      <c r="R38" s="26" t="str">
        <f t="shared" si="1"/>
        <v>Sun</v>
      </c>
      <c r="S38">
        <f t="shared" si="2"/>
        <v>1</v>
      </c>
      <c r="T38" t="str" cm="1">
        <f t="array" ref="T38">_xlfn.IFS(S38&lt;=12,"Morning",S38&lt;=16,"Afternoon",S38&lt;=21,"Evening",S38&lt;=24,"Night")</f>
        <v>Morning</v>
      </c>
    </row>
    <row r="39" spans="1:20" x14ac:dyDescent="0.25">
      <c r="A39" s="31" t="s">
        <v>73</v>
      </c>
      <c r="B39" s="27">
        <v>60.88</v>
      </c>
      <c r="C39" s="28">
        <v>9</v>
      </c>
      <c r="D39" s="27">
        <v>27.396000000000001</v>
      </c>
      <c r="E39" s="27">
        <v>575.31600000000003</v>
      </c>
      <c r="F39" s="29">
        <v>43480</v>
      </c>
      <c r="G39" s="30">
        <v>2.0888888888888899</v>
      </c>
      <c r="H39" s="31" t="s">
        <v>23</v>
      </c>
      <c r="I39" s="27">
        <v>547.91999999999996</v>
      </c>
      <c r="J39" s="32">
        <v>4.7619047620000003</v>
      </c>
      <c r="K39" s="33">
        <v>4.7</v>
      </c>
      <c r="L39" s="31" t="str">
        <f>VLOOKUP(A39,'Customer-details'!$A$1:$C$1001,2,FALSE)</f>
        <v>Normal</v>
      </c>
      <c r="M39" s="31" t="str">
        <f>VLOOKUP(A39,'Customer-details'!$A$1:$C$1001,3,FALSE)</f>
        <v>Female</v>
      </c>
      <c r="N39" s="31" t="str">
        <f>VLOOKUP(A39,'Product-details'!$A$1:$B$1001,2,FALSE)</f>
        <v>Electronic accessories</v>
      </c>
      <c r="O39" s="31" t="str">
        <f>VLOOKUP(A39,'City-details'!$A$1:$C$1001,3,FALSE)</f>
        <v>Yangon</v>
      </c>
      <c r="P39" s="31" t="str">
        <f>VLOOKUP(A39,'City-details'!$A$1:$C$1001,2,FALSE)</f>
        <v>A</v>
      </c>
      <c r="Q39" s="31" t="str">
        <f t="shared" si="0"/>
        <v>Jan</v>
      </c>
      <c r="R39" s="34" t="str">
        <f t="shared" si="1"/>
        <v>Tue</v>
      </c>
      <c r="S39">
        <f t="shared" si="2"/>
        <v>2</v>
      </c>
      <c r="T39" t="str" cm="1">
        <f t="array" ref="T39">_xlfn.IFS(S39&lt;=12,"Morning",S39&lt;=16,"Afternoon",S39&lt;=21,"Evening",S39&lt;=24,"Night")</f>
        <v>Morning</v>
      </c>
    </row>
    <row r="40" spans="1:20" x14ac:dyDescent="0.25">
      <c r="A40" s="23" t="s">
        <v>74</v>
      </c>
      <c r="B40" s="19">
        <v>54.92</v>
      </c>
      <c r="C40" s="20">
        <v>8</v>
      </c>
      <c r="D40" s="19">
        <v>21.968</v>
      </c>
      <c r="E40" s="19">
        <v>461.32799999999997</v>
      </c>
      <c r="F40" s="21">
        <v>43547</v>
      </c>
      <c r="G40" s="22">
        <v>2.13055555555556</v>
      </c>
      <c r="H40" s="23" t="s">
        <v>23</v>
      </c>
      <c r="I40" s="19">
        <v>439.36</v>
      </c>
      <c r="J40" s="24">
        <v>4.7619047620000003</v>
      </c>
      <c r="K40" s="25">
        <v>7.6</v>
      </c>
      <c r="L40" s="23" t="str">
        <f>VLOOKUP(A40,'Customer-details'!$A$1:$C$1001,2,FALSE)</f>
        <v>Normal</v>
      </c>
      <c r="M40" s="23" t="str">
        <f>VLOOKUP(A40,'Customer-details'!$A$1:$C$1001,3,FALSE)</f>
        <v>Female</v>
      </c>
      <c r="N40" s="23" t="str">
        <f>VLOOKUP(A40,'Product-details'!$A$1:$B$1001,2,FALSE)</f>
        <v>Health and beauty</v>
      </c>
      <c r="O40" s="23" t="str">
        <f>VLOOKUP(A40,'City-details'!$A$1:$C$1001,3,FALSE)</f>
        <v>Naypyitaw</v>
      </c>
      <c r="P40" s="23" t="str">
        <f>VLOOKUP(A40,'City-details'!$A$1:$C$1001,2,FALSE)</f>
        <v>C</v>
      </c>
      <c r="Q40" s="23" t="str">
        <f t="shared" si="0"/>
        <v>Mar</v>
      </c>
      <c r="R40" s="26" t="str">
        <f t="shared" si="1"/>
        <v>Sat</v>
      </c>
      <c r="S40">
        <f t="shared" si="2"/>
        <v>3</v>
      </c>
      <c r="T40" t="str" cm="1">
        <f t="array" ref="T40">_xlfn.IFS(S40&lt;=12,"Morning",S40&lt;=16,"Afternoon",S40&lt;=21,"Evening",S40&lt;=24,"Night")</f>
        <v>Morning</v>
      </c>
    </row>
    <row r="41" spans="1:20" x14ac:dyDescent="0.25">
      <c r="A41" s="31" t="s">
        <v>75</v>
      </c>
      <c r="B41" s="27">
        <v>30.12</v>
      </c>
      <c r="C41" s="28">
        <v>8</v>
      </c>
      <c r="D41" s="27">
        <v>12.048</v>
      </c>
      <c r="E41" s="27">
        <v>253.00800000000001</v>
      </c>
      <c r="F41" s="29">
        <v>43527</v>
      </c>
      <c r="G41" s="30">
        <v>2.1722222222222198</v>
      </c>
      <c r="H41" s="31" t="s">
        <v>29</v>
      </c>
      <c r="I41" s="27">
        <v>240.96</v>
      </c>
      <c r="J41" s="32">
        <v>4.7619047620000003</v>
      </c>
      <c r="K41" s="33">
        <v>7.7</v>
      </c>
      <c r="L41" s="31" t="str">
        <f>VLOOKUP(A41,'Customer-details'!$A$1:$C$1001,2,FALSE)</f>
        <v>Member</v>
      </c>
      <c r="M41" s="31" t="str">
        <f>VLOOKUP(A41,'Customer-details'!$A$1:$C$1001,3,FALSE)</f>
        <v>Male</v>
      </c>
      <c r="N41" s="31" t="str">
        <f>VLOOKUP(A41,'Product-details'!$A$1:$B$1001,2,FALSE)</f>
        <v>Home and lifestyle</v>
      </c>
      <c r="O41" s="31" t="str">
        <f>VLOOKUP(A41,'City-details'!$A$1:$C$1001,3,FALSE)</f>
        <v>Mandalay</v>
      </c>
      <c r="P41" s="31" t="str">
        <f>VLOOKUP(A41,'City-details'!$A$1:$C$1001,2,FALSE)</f>
        <v>B</v>
      </c>
      <c r="Q41" s="31" t="str">
        <f t="shared" si="0"/>
        <v>Mar</v>
      </c>
      <c r="R41" s="34" t="str">
        <f t="shared" si="1"/>
        <v>Sun</v>
      </c>
      <c r="S41">
        <f t="shared" si="2"/>
        <v>4</v>
      </c>
      <c r="T41" t="str" cm="1">
        <f t="array" ref="T41">_xlfn.IFS(S41&lt;=12,"Morning",S41&lt;=16,"Afternoon",S41&lt;=21,"Evening",S41&lt;=24,"Night")</f>
        <v>Morning</v>
      </c>
    </row>
    <row r="42" spans="1:20" x14ac:dyDescent="0.25">
      <c r="A42" s="23" t="s">
        <v>76</v>
      </c>
      <c r="B42" s="19">
        <v>86.72</v>
      </c>
      <c r="C42" s="20">
        <v>1</v>
      </c>
      <c r="D42" s="19">
        <v>4.3360000000000003</v>
      </c>
      <c r="E42" s="19">
        <v>91.055999999999997</v>
      </c>
      <c r="F42" s="21">
        <v>43482</v>
      </c>
      <c r="G42" s="22">
        <v>2.2138888888888899</v>
      </c>
      <c r="H42" s="23" t="s">
        <v>23</v>
      </c>
      <c r="I42" s="19">
        <v>86.72</v>
      </c>
      <c r="J42" s="24">
        <v>4.7619047620000003</v>
      </c>
      <c r="K42" s="25">
        <v>7.9</v>
      </c>
      <c r="L42" s="23" t="str">
        <f>VLOOKUP(A42,'Customer-details'!$A$1:$C$1001,2,FALSE)</f>
        <v>Member</v>
      </c>
      <c r="M42" s="23" t="str">
        <f>VLOOKUP(A42,'Customer-details'!$A$1:$C$1001,3,FALSE)</f>
        <v>Female</v>
      </c>
      <c r="N42" s="23" t="str">
        <f>VLOOKUP(A42,'Product-details'!$A$1:$B$1001,2,FALSE)</f>
        <v>Home and lifestyle</v>
      </c>
      <c r="O42" s="23" t="str">
        <f>VLOOKUP(A42,'City-details'!$A$1:$C$1001,3,FALSE)</f>
        <v>Mandalay</v>
      </c>
      <c r="P42" s="23" t="str">
        <f>VLOOKUP(A42,'City-details'!$A$1:$C$1001,2,FALSE)</f>
        <v>B</v>
      </c>
      <c r="Q42" s="23" t="str">
        <f t="shared" si="0"/>
        <v>Jan</v>
      </c>
      <c r="R42" s="26" t="str">
        <f t="shared" si="1"/>
        <v>Thu</v>
      </c>
      <c r="S42">
        <f t="shared" si="2"/>
        <v>5</v>
      </c>
      <c r="T42" t="str" cm="1">
        <f t="array" ref="T42">_xlfn.IFS(S42&lt;=12,"Morning",S42&lt;=16,"Afternoon",S42&lt;=21,"Evening",S42&lt;=24,"Night")</f>
        <v>Morning</v>
      </c>
    </row>
    <row r="43" spans="1:20" x14ac:dyDescent="0.25">
      <c r="A43" s="31" t="s">
        <v>77</v>
      </c>
      <c r="B43" s="27">
        <v>56.11</v>
      </c>
      <c r="C43" s="28">
        <v>2</v>
      </c>
      <c r="D43" s="27">
        <v>5.6109999999999998</v>
      </c>
      <c r="E43" s="27">
        <v>117.831</v>
      </c>
      <c r="F43" s="29">
        <v>43498</v>
      </c>
      <c r="G43" s="30">
        <v>2.25555555555556</v>
      </c>
      <c r="H43" s="31" t="s">
        <v>29</v>
      </c>
      <c r="I43" s="27">
        <v>112.22</v>
      </c>
      <c r="J43" s="32">
        <v>4.7619047620000003</v>
      </c>
      <c r="K43" s="33">
        <v>6.3</v>
      </c>
      <c r="L43" s="31" t="str">
        <f>VLOOKUP(A43,'Customer-details'!$A$1:$C$1001,2,FALSE)</f>
        <v>Member</v>
      </c>
      <c r="M43" s="31" t="str">
        <f>VLOOKUP(A43,'Customer-details'!$A$1:$C$1001,3,FALSE)</f>
        <v>Male</v>
      </c>
      <c r="N43" s="31" t="str">
        <f>VLOOKUP(A43,'Product-details'!$A$1:$B$1001,2,FALSE)</f>
        <v>Home and lifestyle</v>
      </c>
      <c r="O43" s="31" t="str">
        <f>VLOOKUP(A43,'City-details'!$A$1:$C$1001,3,FALSE)</f>
        <v>Naypyitaw</v>
      </c>
      <c r="P43" s="31" t="str">
        <f>VLOOKUP(A43,'City-details'!$A$1:$C$1001,2,FALSE)</f>
        <v>C</v>
      </c>
      <c r="Q43" s="31" t="str">
        <f t="shared" si="0"/>
        <v>Feb</v>
      </c>
      <c r="R43" s="34" t="str">
        <f t="shared" si="1"/>
        <v>Sat</v>
      </c>
      <c r="S43">
        <f t="shared" si="2"/>
        <v>6</v>
      </c>
      <c r="T43" t="str" cm="1">
        <f t="array" ref="T43">_xlfn.IFS(S43&lt;=12,"Morning",S43&lt;=16,"Afternoon",S43&lt;=21,"Evening",S43&lt;=24,"Night")</f>
        <v>Morning</v>
      </c>
    </row>
    <row r="44" spans="1:20" x14ac:dyDescent="0.25">
      <c r="A44" s="23" t="s">
        <v>78</v>
      </c>
      <c r="B44" s="19">
        <v>69.12</v>
      </c>
      <c r="C44" s="20">
        <v>6</v>
      </c>
      <c r="D44" s="19">
        <v>20.736000000000001</v>
      </c>
      <c r="E44" s="19">
        <v>435.45600000000002</v>
      </c>
      <c r="F44" s="21">
        <v>43504</v>
      </c>
      <c r="G44" s="22">
        <v>2.2972222222222198</v>
      </c>
      <c r="H44" s="23" t="s">
        <v>29</v>
      </c>
      <c r="I44" s="19">
        <v>414.72</v>
      </c>
      <c r="J44" s="24">
        <v>4.7619047620000003</v>
      </c>
      <c r="K44" s="25">
        <v>5.6</v>
      </c>
      <c r="L44" s="23" t="str">
        <f>VLOOKUP(A44,'Customer-details'!$A$1:$C$1001,2,FALSE)</f>
        <v>Member</v>
      </c>
      <c r="M44" s="23" t="str">
        <f>VLOOKUP(A44,'Customer-details'!$A$1:$C$1001,3,FALSE)</f>
        <v>Female</v>
      </c>
      <c r="N44" s="23" t="str">
        <f>VLOOKUP(A44,'Product-details'!$A$1:$B$1001,2,FALSE)</f>
        <v>Sports and travel</v>
      </c>
      <c r="O44" s="23" t="str">
        <f>VLOOKUP(A44,'City-details'!$A$1:$C$1001,3,FALSE)</f>
        <v>Mandalay</v>
      </c>
      <c r="P44" s="23" t="str">
        <f>VLOOKUP(A44,'City-details'!$A$1:$C$1001,2,FALSE)</f>
        <v>B</v>
      </c>
      <c r="Q44" s="23" t="str">
        <f t="shared" si="0"/>
        <v>Feb</v>
      </c>
      <c r="R44" s="26" t="str">
        <f t="shared" si="1"/>
        <v>Fri</v>
      </c>
      <c r="S44">
        <f t="shared" si="2"/>
        <v>7</v>
      </c>
      <c r="T44" t="str" cm="1">
        <f t="array" ref="T44">_xlfn.IFS(S44&lt;=12,"Morning",S44&lt;=16,"Afternoon",S44&lt;=21,"Evening",S44&lt;=24,"Night")</f>
        <v>Morning</v>
      </c>
    </row>
    <row r="45" spans="1:20" x14ac:dyDescent="0.25">
      <c r="A45" s="31" t="s">
        <v>79</v>
      </c>
      <c r="B45" s="27">
        <v>98.7</v>
      </c>
      <c r="C45" s="28">
        <v>8</v>
      </c>
      <c r="D45" s="27">
        <v>39.479999999999997</v>
      </c>
      <c r="E45" s="27">
        <v>829.08</v>
      </c>
      <c r="F45" s="29">
        <v>43528</v>
      </c>
      <c r="G45" s="30">
        <v>2.3388888888888899</v>
      </c>
      <c r="H45" s="31" t="s">
        <v>29</v>
      </c>
      <c r="I45" s="27">
        <v>789.6</v>
      </c>
      <c r="J45" s="32">
        <v>4.7619047620000003</v>
      </c>
      <c r="K45" s="33">
        <v>7.6</v>
      </c>
      <c r="L45" s="31" t="str">
        <f>VLOOKUP(A45,'Customer-details'!$A$1:$C$1001,2,FALSE)</f>
        <v>Member</v>
      </c>
      <c r="M45" s="31" t="str">
        <f>VLOOKUP(A45,'Customer-details'!$A$1:$C$1001,3,FALSE)</f>
        <v>Female</v>
      </c>
      <c r="N45" s="31" t="str">
        <f>VLOOKUP(A45,'Product-details'!$A$1:$B$1001,2,FALSE)</f>
        <v>Food and beverages</v>
      </c>
      <c r="O45" s="31" t="str">
        <f>VLOOKUP(A45,'City-details'!$A$1:$C$1001,3,FALSE)</f>
        <v>Naypyitaw</v>
      </c>
      <c r="P45" s="31" t="str">
        <f>VLOOKUP(A45,'City-details'!$A$1:$C$1001,2,FALSE)</f>
        <v>C</v>
      </c>
      <c r="Q45" s="31" t="str">
        <f t="shared" si="0"/>
        <v>Mar</v>
      </c>
      <c r="R45" s="34" t="str">
        <f t="shared" si="1"/>
        <v>Mon</v>
      </c>
      <c r="S45">
        <f t="shared" si="2"/>
        <v>8</v>
      </c>
      <c r="T45" t="str" cm="1">
        <f t="array" ref="T45">_xlfn.IFS(S45&lt;=12,"Morning",S45&lt;=16,"Afternoon",S45&lt;=21,"Evening",S45&lt;=24,"Night")</f>
        <v>Morning</v>
      </c>
    </row>
    <row r="46" spans="1:20" x14ac:dyDescent="0.25">
      <c r="A46" s="23" t="s">
        <v>80</v>
      </c>
      <c r="B46" s="19">
        <v>15.37</v>
      </c>
      <c r="C46" s="20">
        <v>2</v>
      </c>
      <c r="D46" s="19">
        <v>1.5369999999999999</v>
      </c>
      <c r="E46" s="19">
        <v>32.277000000000001</v>
      </c>
      <c r="F46" s="21">
        <v>43540</v>
      </c>
      <c r="G46" s="22">
        <v>2.38055555555556</v>
      </c>
      <c r="H46" s="23" t="s">
        <v>29</v>
      </c>
      <c r="I46" s="19">
        <v>30.74</v>
      </c>
      <c r="J46" s="24">
        <v>4.7619047620000003</v>
      </c>
      <c r="K46" s="25">
        <v>7.2</v>
      </c>
      <c r="L46" s="23" t="str">
        <f>VLOOKUP(A46,'Customer-details'!$A$1:$C$1001,2,FALSE)</f>
        <v>Member</v>
      </c>
      <c r="M46" s="23" t="str">
        <f>VLOOKUP(A46,'Customer-details'!$A$1:$C$1001,3,FALSE)</f>
        <v>Male</v>
      </c>
      <c r="N46" s="23" t="str">
        <f>VLOOKUP(A46,'Product-details'!$A$1:$B$1001,2,FALSE)</f>
        <v>Health and beauty</v>
      </c>
      <c r="O46" s="23" t="str">
        <f>VLOOKUP(A46,'City-details'!$A$1:$C$1001,3,FALSE)</f>
        <v>Naypyitaw</v>
      </c>
      <c r="P46" s="23" t="str">
        <f>VLOOKUP(A46,'City-details'!$A$1:$C$1001,2,FALSE)</f>
        <v>C</v>
      </c>
      <c r="Q46" s="23" t="str">
        <f t="shared" si="0"/>
        <v>Mar</v>
      </c>
      <c r="R46" s="26" t="str">
        <f t="shared" si="1"/>
        <v>Sat</v>
      </c>
      <c r="S46">
        <f t="shared" si="2"/>
        <v>9</v>
      </c>
      <c r="T46" t="str" cm="1">
        <f t="array" ref="T46">_xlfn.IFS(S46&lt;=12,"Morning",S46&lt;=16,"Afternoon",S46&lt;=21,"Evening",S46&lt;=24,"Night")</f>
        <v>Morning</v>
      </c>
    </row>
    <row r="47" spans="1:20" x14ac:dyDescent="0.25">
      <c r="A47" s="31" t="s">
        <v>81</v>
      </c>
      <c r="B47" s="27">
        <v>93.96</v>
      </c>
      <c r="C47" s="28">
        <v>4</v>
      </c>
      <c r="D47" s="27">
        <v>18.792000000000002</v>
      </c>
      <c r="E47" s="27">
        <v>394.63200000000001</v>
      </c>
      <c r="F47" s="29">
        <v>43533</v>
      </c>
      <c r="G47" s="30">
        <v>2.4222222222222198</v>
      </c>
      <c r="H47" s="31" t="s">
        <v>29</v>
      </c>
      <c r="I47" s="27">
        <v>375.84</v>
      </c>
      <c r="J47" s="32">
        <v>4.7619047620000003</v>
      </c>
      <c r="K47" s="33">
        <v>9.5</v>
      </c>
      <c r="L47" s="31" t="str">
        <f>VLOOKUP(A47,'Customer-details'!$A$1:$C$1001,2,FALSE)</f>
        <v>Member</v>
      </c>
      <c r="M47" s="31" t="str">
        <f>VLOOKUP(A47,'Customer-details'!$A$1:$C$1001,3,FALSE)</f>
        <v>Female</v>
      </c>
      <c r="N47" s="31" t="str">
        <f>VLOOKUP(A47,'Product-details'!$A$1:$B$1001,2,FALSE)</f>
        <v>Electronic accessories</v>
      </c>
      <c r="O47" s="31" t="str">
        <f>VLOOKUP(A47,'City-details'!$A$1:$C$1001,3,FALSE)</f>
        <v>Mandalay</v>
      </c>
      <c r="P47" s="31" t="str">
        <f>VLOOKUP(A47,'City-details'!$A$1:$C$1001,2,FALSE)</f>
        <v>B</v>
      </c>
      <c r="Q47" s="31" t="str">
        <f t="shared" si="0"/>
        <v>Mar</v>
      </c>
      <c r="R47" s="34" t="str">
        <f t="shared" si="1"/>
        <v>Sat</v>
      </c>
      <c r="S47">
        <f t="shared" si="2"/>
        <v>10</v>
      </c>
      <c r="T47" t="str" cm="1">
        <f t="array" ref="T47">_xlfn.IFS(S47&lt;=12,"Morning",S47&lt;=16,"Afternoon",S47&lt;=21,"Evening",S47&lt;=24,"Night")</f>
        <v>Morning</v>
      </c>
    </row>
    <row r="48" spans="1:20" x14ac:dyDescent="0.25">
      <c r="A48" s="23" t="s">
        <v>82</v>
      </c>
      <c r="B48" s="19">
        <v>56.69</v>
      </c>
      <c r="C48" s="20">
        <v>9</v>
      </c>
      <c r="D48" s="19">
        <v>25.5105</v>
      </c>
      <c r="E48" s="19">
        <v>535.72050000000002</v>
      </c>
      <c r="F48" s="21">
        <v>43523</v>
      </c>
      <c r="G48" s="22">
        <v>2.4638888888888899</v>
      </c>
      <c r="H48" s="23" t="s">
        <v>33</v>
      </c>
      <c r="I48" s="19">
        <v>510.21</v>
      </c>
      <c r="J48" s="24">
        <v>4.7619047620000003</v>
      </c>
      <c r="K48" s="25">
        <v>8.4</v>
      </c>
      <c r="L48" s="23" t="str">
        <f>VLOOKUP(A48,'Customer-details'!$A$1:$C$1001,2,FALSE)</f>
        <v>Member</v>
      </c>
      <c r="M48" s="23" t="str">
        <f>VLOOKUP(A48,'Customer-details'!$A$1:$C$1001,3,FALSE)</f>
        <v>Male</v>
      </c>
      <c r="N48" s="23" t="str">
        <f>VLOOKUP(A48,'Product-details'!$A$1:$B$1001,2,FALSE)</f>
        <v>Health and beauty</v>
      </c>
      <c r="O48" s="23" t="str">
        <f>VLOOKUP(A48,'City-details'!$A$1:$C$1001,3,FALSE)</f>
        <v>Mandalay</v>
      </c>
      <c r="P48" s="23" t="str">
        <f>VLOOKUP(A48,'City-details'!$A$1:$C$1001,2,FALSE)</f>
        <v>B</v>
      </c>
      <c r="Q48" s="23" t="str">
        <f t="shared" si="0"/>
        <v>Feb</v>
      </c>
      <c r="R48" s="26" t="str">
        <f t="shared" si="1"/>
        <v>Wed</v>
      </c>
      <c r="S48">
        <f t="shared" si="2"/>
        <v>11</v>
      </c>
      <c r="T48" t="str" cm="1">
        <f t="array" ref="T48">_xlfn.IFS(S48&lt;=12,"Morning",S48&lt;=16,"Afternoon",S48&lt;=21,"Evening",S48&lt;=24,"Night")</f>
        <v>Morning</v>
      </c>
    </row>
    <row r="49" spans="1:20" x14ac:dyDescent="0.25">
      <c r="A49" s="31" t="s">
        <v>83</v>
      </c>
      <c r="B49" s="27">
        <v>20.010000000000002</v>
      </c>
      <c r="C49" s="28">
        <v>9</v>
      </c>
      <c r="D49" s="27">
        <v>9.0045000000000002</v>
      </c>
      <c r="E49" s="27">
        <v>189.09450000000001</v>
      </c>
      <c r="F49" s="29">
        <v>43502</v>
      </c>
      <c r="G49" s="30">
        <v>2.50555555555556</v>
      </c>
      <c r="H49" s="31" t="s">
        <v>23</v>
      </c>
      <c r="I49" s="27">
        <v>180.09</v>
      </c>
      <c r="J49" s="32">
        <v>4.7619047620000003</v>
      </c>
      <c r="K49" s="33">
        <v>4.0999999999999996</v>
      </c>
      <c r="L49" s="31" t="str">
        <f>VLOOKUP(A49,'Customer-details'!$A$1:$C$1001,2,FALSE)</f>
        <v>Member</v>
      </c>
      <c r="M49" s="31" t="str">
        <f>VLOOKUP(A49,'Customer-details'!$A$1:$C$1001,3,FALSE)</f>
        <v>Female</v>
      </c>
      <c r="N49" s="31" t="str">
        <f>VLOOKUP(A49,'Product-details'!$A$1:$B$1001,2,FALSE)</f>
        <v>Food and beverages</v>
      </c>
      <c r="O49" s="31" t="str">
        <f>VLOOKUP(A49,'City-details'!$A$1:$C$1001,3,FALSE)</f>
        <v>Mandalay</v>
      </c>
      <c r="P49" s="31" t="str">
        <f>VLOOKUP(A49,'City-details'!$A$1:$C$1001,2,FALSE)</f>
        <v>B</v>
      </c>
      <c r="Q49" s="31" t="str">
        <f t="shared" si="0"/>
        <v>Feb</v>
      </c>
      <c r="R49" s="34" t="str">
        <f t="shared" si="1"/>
        <v>Wed</v>
      </c>
      <c r="S49">
        <f t="shared" si="2"/>
        <v>12</v>
      </c>
      <c r="T49" t="str" cm="1">
        <f t="array" ref="T49">_xlfn.IFS(S49&lt;=12,"Morning",S49&lt;=16,"Afternoon",S49&lt;=21,"Evening",S49&lt;=24,"Night")</f>
        <v>Morning</v>
      </c>
    </row>
    <row r="50" spans="1:20" x14ac:dyDescent="0.25">
      <c r="A50" s="23" t="s">
        <v>84</v>
      </c>
      <c r="B50" s="19">
        <v>18.93</v>
      </c>
      <c r="C50" s="20">
        <v>6</v>
      </c>
      <c r="D50" s="19">
        <v>5.6790000000000003</v>
      </c>
      <c r="E50" s="19">
        <v>119.259</v>
      </c>
      <c r="F50" s="21">
        <v>43506</v>
      </c>
      <c r="G50" s="22">
        <v>2.5472222222222198</v>
      </c>
      <c r="H50" s="23" t="s">
        <v>33</v>
      </c>
      <c r="I50" s="19">
        <v>113.58</v>
      </c>
      <c r="J50" s="24">
        <v>4.7619047620000003</v>
      </c>
      <c r="K50" s="25">
        <v>8.1</v>
      </c>
      <c r="L50" s="23" t="str">
        <f>VLOOKUP(A50,'Customer-details'!$A$1:$C$1001,2,FALSE)</f>
        <v>Member</v>
      </c>
      <c r="M50" s="23" t="str">
        <f>VLOOKUP(A50,'Customer-details'!$A$1:$C$1001,3,FALSE)</f>
        <v>Male</v>
      </c>
      <c r="N50" s="23" t="str">
        <f>VLOOKUP(A50,'Product-details'!$A$1:$B$1001,2,FALSE)</f>
        <v>Electronic accessories</v>
      </c>
      <c r="O50" s="23" t="str">
        <f>VLOOKUP(A50,'City-details'!$A$1:$C$1001,3,FALSE)</f>
        <v>Mandalay</v>
      </c>
      <c r="P50" s="23" t="str">
        <f>VLOOKUP(A50,'City-details'!$A$1:$C$1001,2,FALSE)</f>
        <v>B</v>
      </c>
      <c r="Q50" s="23" t="str">
        <f t="shared" si="0"/>
        <v>Feb</v>
      </c>
      <c r="R50" s="26" t="str">
        <f t="shared" si="1"/>
        <v>Sun</v>
      </c>
      <c r="S50">
        <f t="shared" si="2"/>
        <v>13</v>
      </c>
      <c r="T50" t="str" cm="1">
        <f t="array" ref="T50">_xlfn.IFS(S50&lt;=12,"Morning",S50&lt;=16,"Afternoon",S50&lt;=21,"Evening",S50&lt;=24,"Night")</f>
        <v>Afternoon</v>
      </c>
    </row>
    <row r="51" spans="1:20" x14ac:dyDescent="0.25">
      <c r="A51" s="31" t="s">
        <v>85</v>
      </c>
      <c r="B51" s="27">
        <v>82.63</v>
      </c>
      <c r="C51" s="28">
        <v>10</v>
      </c>
      <c r="D51" s="27">
        <v>41.314999999999998</v>
      </c>
      <c r="E51" s="27">
        <v>867.61500000000001</v>
      </c>
      <c r="F51" s="29">
        <v>43543</v>
      </c>
      <c r="G51" s="30">
        <v>2.5888888888888899</v>
      </c>
      <c r="H51" s="31" t="s">
        <v>23</v>
      </c>
      <c r="I51" s="27">
        <v>826.3</v>
      </c>
      <c r="J51" s="32">
        <v>4.7619047620000003</v>
      </c>
      <c r="K51" s="33">
        <v>7.9</v>
      </c>
      <c r="L51" s="31" t="str">
        <f>VLOOKUP(A51,'Customer-details'!$A$1:$C$1001,2,FALSE)</f>
        <v>Member</v>
      </c>
      <c r="M51" s="31" t="str">
        <f>VLOOKUP(A51,'Customer-details'!$A$1:$C$1001,3,FALSE)</f>
        <v>Female</v>
      </c>
      <c r="N51" s="31" t="str">
        <f>VLOOKUP(A51,'Product-details'!$A$1:$B$1001,2,FALSE)</f>
        <v>Fashion accessories</v>
      </c>
      <c r="O51" s="31" t="str">
        <f>VLOOKUP(A51,'City-details'!$A$1:$C$1001,3,FALSE)</f>
        <v>Naypyitaw</v>
      </c>
      <c r="P51" s="31" t="str">
        <f>VLOOKUP(A51,'City-details'!$A$1:$C$1001,2,FALSE)</f>
        <v>C</v>
      </c>
      <c r="Q51" s="31" t="str">
        <f t="shared" si="0"/>
        <v>Mar</v>
      </c>
      <c r="R51" s="34" t="str">
        <f t="shared" si="1"/>
        <v>Tue</v>
      </c>
      <c r="S51">
        <f t="shared" si="2"/>
        <v>14</v>
      </c>
      <c r="T51" t="str" cm="1">
        <f t="array" ref="T51">_xlfn.IFS(S51&lt;=12,"Morning",S51&lt;=16,"Afternoon",S51&lt;=21,"Evening",S51&lt;=24,"Night")</f>
        <v>Afternoon</v>
      </c>
    </row>
    <row r="52" spans="1:20" x14ac:dyDescent="0.25">
      <c r="A52" s="23" t="s">
        <v>86</v>
      </c>
      <c r="B52" s="19">
        <v>91.4</v>
      </c>
      <c r="C52" s="20">
        <v>7</v>
      </c>
      <c r="D52" s="19">
        <v>31.99</v>
      </c>
      <c r="E52" s="19">
        <v>671.79</v>
      </c>
      <c r="F52" s="21">
        <v>43499</v>
      </c>
      <c r="G52" s="22">
        <v>2.63055555555556</v>
      </c>
      <c r="H52" s="23" t="s">
        <v>29</v>
      </c>
      <c r="I52" s="19">
        <v>639.79999999999995</v>
      </c>
      <c r="J52" s="24">
        <v>4.7619047620000003</v>
      </c>
      <c r="K52" s="25">
        <v>9.5</v>
      </c>
      <c r="L52" s="23" t="str">
        <f>VLOOKUP(A52,'Customer-details'!$A$1:$C$1001,2,FALSE)</f>
        <v>Member</v>
      </c>
      <c r="M52" s="23" t="str">
        <f>VLOOKUP(A52,'Customer-details'!$A$1:$C$1001,3,FALSE)</f>
        <v>Male</v>
      </c>
      <c r="N52" s="23" t="str">
        <f>VLOOKUP(A52,'Product-details'!$A$1:$B$1001,2,FALSE)</f>
        <v>Food and beverages</v>
      </c>
      <c r="O52" s="23" t="str">
        <f>VLOOKUP(A52,'City-details'!$A$1:$C$1001,3,FALSE)</f>
        <v>Naypyitaw</v>
      </c>
      <c r="P52" s="23" t="str">
        <f>VLOOKUP(A52,'City-details'!$A$1:$C$1001,2,FALSE)</f>
        <v>C</v>
      </c>
      <c r="Q52" s="23" t="str">
        <f t="shared" si="0"/>
        <v>Feb</v>
      </c>
      <c r="R52" s="26" t="str">
        <f t="shared" si="1"/>
        <v>Sun</v>
      </c>
      <c r="S52">
        <f t="shared" si="2"/>
        <v>15</v>
      </c>
      <c r="T52" t="str" cm="1">
        <f t="array" ref="T52">_xlfn.IFS(S52&lt;=12,"Morning",S52&lt;=16,"Afternoon",S52&lt;=21,"Evening",S52&lt;=24,"Night")</f>
        <v>Afternoon</v>
      </c>
    </row>
    <row r="53" spans="1:20" x14ac:dyDescent="0.25">
      <c r="A53" s="31" t="s">
        <v>87</v>
      </c>
      <c r="B53" s="27">
        <v>44.59</v>
      </c>
      <c r="C53" s="28">
        <v>5</v>
      </c>
      <c r="D53" s="27">
        <v>11.147500000000001</v>
      </c>
      <c r="E53" s="27">
        <v>234.0975</v>
      </c>
      <c r="F53" s="29">
        <v>43506</v>
      </c>
      <c r="G53" s="30">
        <v>2.6722222222222198</v>
      </c>
      <c r="H53" s="31" t="s">
        <v>29</v>
      </c>
      <c r="I53" s="27">
        <v>222.95</v>
      </c>
      <c r="J53" s="32">
        <v>4.7619047620000003</v>
      </c>
      <c r="K53" s="33">
        <v>8.5</v>
      </c>
      <c r="L53" s="31" t="str">
        <f>VLOOKUP(A53,'Customer-details'!$A$1:$C$1001,2,FALSE)</f>
        <v>Member</v>
      </c>
      <c r="M53" s="31" t="str">
        <f>VLOOKUP(A53,'Customer-details'!$A$1:$C$1001,3,FALSE)</f>
        <v>Female</v>
      </c>
      <c r="N53" s="31" t="str">
        <f>VLOOKUP(A53,'Product-details'!$A$1:$B$1001,2,FALSE)</f>
        <v>Food and beverages</v>
      </c>
      <c r="O53" s="31" t="str">
        <f>VLOOKUP(A53,'City-details'!$A$1:$C$1001,3,FALSE)</f>
        <v>Yangon</v>
      </c>
      <c r="P53" s="31" t="str">
        <f>VLOOKUP(A53,'City-details'!$A$1:$C$1001,2,FALSE)</f>
        <v>A</v>
      </c>
      <c r="Q53" s="31" t="str">
        <f t="shared" si="0"/>
        <v>Feb</v>
      </c>
      <c r="R53" s="34" t="str">
        <f t="shared" si="1"/>
        <v>Sun</v>
      </c>
      <c r="S53">
        <f t="shared" si="2"/>
        <v>16</v>
      </c>
      <c r="T53" t="str" cm="1">
        <f t="array" ref="T53">_xlfn.IFS(S53&lt;=12,"Morning",S53&lt;=16,"Afternoon",S53&lt;=21,"Evening",S53&lt;=24,"Night")</f>
        <v>Afternoon</v>
      </c>
    </row>
    <row r="54" spans="1:20" x14ac:dyDescent="0.25">
      <c r="A54" s="23" t="s">
        <v>88</v>
      </c>
      <c r="B54" s="19">
        <v>17.87</v>
      </c>
      <c r="C54" s="20">
        <v>4</v>
      </c>
      <c r="D54" s="19">
        <v>3.5739999999999998</v>
      </c>
      <c r="E54" s="19">
        <v>75.054000000000002</v>
      </c>
      <c r="F54" s="21">
        <v>43546</v>
      </c>
      <c r="G54" s="22">
        <v>2.7138888888888899</v>
      </c>
      <c r="H54" s="23" t="s">
        <v>23</v>
      </c>
      <c r="I54" s="19">
        <v>71.48</v>
      </c>
      <c r="J54" s="24">
        <v>4.7619047620000003</v>
      </c>
      <c r="K54" s="25">
        <v>6.5</v>
      </c>
      <c r="L54" s="23" t="str">
        <f>VLOOKUP(A54,'Customer-details'!$A$1:$C$1001,2,FALSE)</f>
        <v>Member</v>
      </c>
      <c r="M54" s="23" t="str">
        <f>VLOOKUP(A54,'Customer-details'!$A$1:$C$1001,3,FALSE)</f>
        <v>Female</v>
      </c>
      <c r="N54" s="23" t="str">
        <f>VLOOKUP(A54,'Product-details'!$A$1:$B$1001,2,FALSE)</f>
        <v>Fashion accessories</v>
      </c>
      <c r="O54" s="23" t="str">
        <f>VLOOKUP(A54,'City-details'!$A$1:$C$1001,3,FALSE)</f>
        <v>Mandalay</v>
      </c>
      <c r="P54" s="23" t="str">
        <f>VLOOKUP(A54,'City-details'!$A$1:$C$1001,2,FALSE)</f>
        <v>B</v>
      </c>
      <c r="Q54" s="23" t="str">
        <f t="shared" si="0"/>
        <v>Mar</v>
      </c>
      <c r="R54" s="26" t="str">
        <f t="shared" si="1"/>
        <v>Fri</v>
      </c>
      <c r="S54">
        <f t="shared" si="2"/>
        <v>17</v>
      </c>
      <c r="T54" t="str" cm="1">
        <f t="array" ref="T54">_xlfn.IFS(S54&lt;=12,"Morning",S54&lt;=16,"Afternoon",S54&lt;=21,"Evening",S54&lt;=24,"Night")</f>
        <v>Evening</v>
      </c>
    </row>
    <row r="55" spans="1:20" x14ac:dyDescent="0.25">
      <c r="A55" s="31" t="s">
        <v>89</v>
      </c>
      <c r="B55" s="27">
        <v>15.43</v>
      </c>
      <c r="C55" s="28">
        <v>1</v>
      </c>
      <c r="D55" s="27">
        <v>0.77149999999999996</v>
      </c>
      <c r="E55" s="27">
        <v>16.201499999999999</v>
      </c>
      <c r="F55" s="29">
        <v>43490</v>
      </c>
      <c r="G55" s="30">
        <v>2.75555555555556</v>
      </c>
      <c r="H55" s="31" t="s">
        <v>33</v>
      </c>
      <c r="I55" s="27">
        <v>15.43</v>
      </c>
      <c r="J55" s="32">
        <v>4.7619047620000003</v>
      </c>
      <c r="K55" s="33">
        <v>6.1</v>
      </c>
      <c r="L55" s="31" t="str">
        <f>VLOOKUP(A55,'Customer-details'!$A$1:$C$1001,2,FALSE)</f>
        <v>Member</v>
      </c>
      <c r="M55" s="31" t="str">
        <f>VLOOKUP(A55,'Customer-details'!$A$1:$C$1001,3,FALSE)</f>
        <v>Male</v>
      </c>
      <c r="N55" s="31" t="str">
        <f>VLOOKUP(A55,'Product-details'!$A$1:$B$1001,2,FALSE)</f>
        <v>Fashion accessories</v>
      </c>
      <c r="O55" s="31" t="str">
        <f>VLOOKUP(A55,'City-details'!$A$1:$C$1001,3,FALSE)</f>
        <v>Naypyitaw</v>
      </c>
      <c r="P55" s="31" t="str">
        <f>VLOOKUP(A55,'City-details'!$A$1:$C$1001,2,FALSE)</f>
        <v>C</v>
      </c>
      <c r="Q55" s="31" t="str">
        <f t="shared" si="0"/>
        <v>Jan</v>
      </c>
      <c r="R55" s="34" t="str">
        <f t="shared" si="1"/>
        <v>Fri</v>
      </c>
      <c r="S55">
        <f t="shared" si="2"/>
        <v>18</v>
      </c>
      <c r="T55" t="str" cm="1">
        <f t="array" ref="T55">_xlfn.IFS(S55&lt;=12,"Morning",S55&lt;=16,"Afternoon",S55&lt;=21,"Evening",S55&lt;=24,"Night")</f>
        <v>Evening</v>
      </c>
    </row>
    <row r="56" spans="1:20" x14ac:dyDescent="0.25">
      <c r="A56" s="23" t="s">
        <v>90</v>
      </c>
      <c r="B56" s="19">
        <v>16.16</v>
      </c>
      <c r="C56" s="20">
        <v>2</v>
      </c>
      <c r="D56" s="19">
        <v>1.6160000000000001</v>
      </c>
      <c r="E56" s="19">
        <v>33.936</v>
      </c>
      <c r="F56" s="21">
        <v>43531</v>
      </c>
      <c r="G56" s="22">
        <v>2.7972222222222198</v>
      </c>
      <c r="H56" s="23" t="s">
        <v>23</v>
      </c>
      <c r="I56" s="19">
        <v>32.32</v>
      </c>
      <c r="J56" s="24">
        <v>4.7619047620000003</v>
      </c>
      <c r="K56" s="25">
        <v>6.5</v>
      </c>
      <c r="L56" s="23" t="str">
        <f>VLOOKUP(A56,'Customer-details'!$A$1:$C$1001,2,FALSE)</f>
        <v>Normal</v>
      </c>
      <c r="M56" s="23" t="str">
        <f>VLOOKUP(A56,'Customer-details'!$A$1:$C$1001,3,FALSE)</f>
        <v>Male</v>
      </c>
      <c r="N56" s="23" t="str">
        <f>VLOOKUP(A56,'Product-details'!$A$1:$B$1001,2,FALSE)</f>
        <v>Home and lifestyle</v>
      </c>
      <c r="O56" s="23" t="str">
        <f>VLOOKUP(A56,'City-details'!$A$1:$C$1001,3,FALSE)</f>
        <v>Mandalay</v>
      </c>
      <c r="P56" s="23" t="str">
        <f>VLOOKUP(A56,'City-details'!$A$1:$C$1001,2,FALSE)</f>
        <v>B</v>
      </c>
      <c r="Q56" s="23" t="str">
        <f t="shared" si="0"/>
        <v>Mar</v>
      </c>
      <c r="R56" s="26" t="str">
        <f t="shared" si="1"/>
        <v>Thu</v>
      </c>
      <c r="S56">
        <f t="shared" si="2"/>
        <v>19</v>
      </c>
      <c r="T56" t="str" cm="1">
        <f t="array" ref="T56">_xlfn.IFS(S56&lt;=12,"Morning",S56&lt;=16,"Afternoon",S56&lt;=21,"Evening",S56&lt;=24,"Night")</f>
        <v>Evening</v>
      </c>
    </row>
    <row r="57" spans="1:20" x14ac:dyDescent="0.25">
      <c r="A57" s="31" t="s">
        <v>91</v>
      </c>
      <c r="B57" s="27">
        <v>85.98</v>
      </c>
      <c r="C57" s="28">
        <v>8</v>
      </c>
      <c r="D57" s="27">
        <v>34.392000000000003</v>
      </c>
      <c r="E57" s="27">
        <v>722.23199999999997</v>
      </c>
      <c r="F57" s="29">
        <v>43524</v>
      </c>
      <c r="G57" s="30">
        <v>2.8388888888888899</v>
      </c>
      <c r="H57" s="31" t="s">
        <v>29</v>
      </c>
      <c r="I57" s="27">
        <v>687.84</v>
      </c>
      <c r="J57" s="32">
        <v>4.7619047620000003</v>
      </c>
      <c r="K57" s="33">
        <v>8.1999999999999993</v>
      </c>
      <c r="L57" s="31" t="str">
        <f>VLOOKUP(A57,'Customer-details'!$A$1:$C$1001,2,FALSE)</f>
        <v>Normal</v>
      </c>
      <c r="M57" s="31" t="str">
        <f>VLOOKUP(A57,'Customer-details'!$A$1:$C$1001,3,FALSE)</f>
        <v>Female</v>
      </c>
      <c r="N57" s="31" t="str">
        <f>VLOOKUP(A57,'Product-details'!$A$1:$B$1001,2,FALSE)</f>
        <v>Electronic accessories</v>
      </c>
      <c r="O57" s="31" t="str">
        <f>VLOOKUP(A57,'City-details'!$A$1:$C$1001,3,FALSE)</f>
        <v>Naypyitaw</v>
      </c>
      <c r="P57" s="31" t="str">
        <f>VLOOKUP(A57,'City-details'!$A$1:$C$1001,2,FALSE)</f>
        <v>C</v>
      </c>
      <c r="Q57" s="31" t="str">
        <f t="shared" si="0"/>
        <v>Feb</v>
      </c>
      <c r="R57" s="34" t="str">
        <f t="shared" si="1"/>
        <v>Thu</v>
      </c>
      <c r="S57">
        <f t="shared" si="2"/>
        <v>20</v>
      </c>
      <c r="T57" t="str" cm="1">
        <f t="array" ref="T57">_xlfn.IFS(S57&lt;=12,"Morning",S57&lt;=16,"Afternoon",S57&lt;=21,"Evening",S57&lt;=24,"Night")</f>
        <v>Evening</v>
      </c>
    </row>
    <row r="58" spans="1:20" x14ac:dyDescent="0.25">
      <c r="A58" s="23" t="s">
        <v>92</v>
      </c>
      <c r="B58" s="19">
        <v>44.34</v>
      </c>
      <c r="C58" s="20">
        <v>2</v>
      </c>
      <c r="D58" s="19">
        <v>4.4340000000000002</v>
      </c>
      <c r="E58" s="19">
        <v>93.114000000000004</v>
      </c>
      <c r="F58" s="21">
        <v>43551</v>
      </c>
      <c r="G58" s="22">
        <v>2.88055555555556</v>
      </c>
      <c r="H58" s="23" t="s">
        <v>29</v>
      </c>
      <c r="I58" s="19">
        <v>88.68</v>
      </c>
      <c r="J58" s="24">
        <v>4.7619047620000003</v>
      </c>
      <c r="K58" s="25">
        <v>5.8</v>
      </c>
      <c r="L58" s="23" t="str">
        <f>VLOOKUP(A58,'Customer-details'!$A$1:$C$1001,2,FALSE)</f>
        <v>Member</v>
      </c>
      <c r="M58" s="23" t="str">
        <f>VLOOKUP(A58,'Customer-details'!$A$1:$C$1001,3,FALSE)</f>
        <v>Male</v>
      </c>
      <c r="N58" s="23" t="str">
        <f>VLOOKUP(A58,'Product-details'!$A$1:$B$1001,2,FALSE)</f>
        <v>Home and lifestyle</v>
      </c>
      <c r="O58" s="23" t="str">
        <f>VLOOKUP(A58,'City-details'!$A$1:$C$1001,3,FALSE)</f>
        <v>Yangon</v>
      </c>
      <c r="P58" s="23" t="str">
        <f>VLOOKUP(A58,'City-details'!$A$1:$C$1001,2,FALSE)</f>
        <v>A</v>
      </c>
      <c r="Q58" s="23" t="str">
        <f t="shared" si="0"/>
        <v>Mar</v>
      </c>
      <c r="R58" s="26" t="str">
        <f t="shared" si="1"/>
        <v>Wed</v>
      </c>
      <c r="S58">
        <f t="shared" si="2"/>
        <v>21</v>
      </c>
      <c r="T58" t="str" cm="1">
        <f t="array" ref="T58">_xlfn.IFS(S58&lt;=12,"Morning",S58&lt;=16,"Afternoon",S58&lt;=21,"Evening",S58&lt;=24,"Night")</f>
        <v>Evening</v>
      </c>
    </row>
    <row r="59" spans="1:20" x14ac:dyDescent="0.25">
      <c r="A59" s="31" t="s">
        <v>93</v>
      </c>
      <c r="B59" s="27">
        <v>89.6</v>
      </c>
      <c r="C59" s="28">
        <v>8</v>
      </c>
      <c r="D59" s="27">
        <v>35.840000000000003</v>
      </c>
      <c r="E59" s="27">
        <v>752.64</v>
      </c>
      <c r="F59" s="29">
        <v>43503</v>
      </c>
      <c r="G59" s="30">
        <v>2.9222222222222198</v>
      </c>
      <c r="H59" s="31" t="s">
        <v>23</v>
      </c>
      <c r="I59" s="27">
        <v>716.8</v>
      </c>
      <c r="J59" s="32">
        <v>4.7619047620000003</v>
      </c>
      <c r="K59" s="33">
        <v>6.6</v>
      </c>
      <c r="L59" s="31" t="str">
        <f>VLOOKUP(A59,'Customer-details'!$A$1:$C$1001,2,FALSE)</f>
        <v>Normal</v>
      </c>
      <c r="M59" s="31" t="str">
        <f>VLOOKUP(A59,'Customer-details'!$A$1:$C$1001,3,FALSE)</f>
        <v>Male</v>
      </c>
      <c r="N59" s="31" t="str">
        <f>VLOOKUP(A59,'Product-details'!$A$1:$B$1001,2,FALSE)</f>
        <v>Health and beauty</v>
      </c>
      <c r="O59" s="31" t="str">
        <f>VLOOKUP(A59,'City-details'!$A$1:$C$1001,3,FALSE)</f>
        <v>Yangon</v>
      </c>
      <c r="P59" s="31" t="str">
        <f>VLOOKUP(A59,'City-details'!$A$1:$C$1001,2,FALSE)</f>
        <v>A</v>
      </c>
      <c r="Q59" s="31" t="str">
        <f t="shared" si="0"/>
        <v>Feb</v>
      </c>
      <c r="R59" s="34" t="str">
        <f t="shared" si="1"/>
        <v>Thu</v>
      </c>
      <c r="S59">
        <f t="shared" si="2"/>
        <v>22</v>
      </c>
      <c r="T59" t="str" cm="1">
        <f t="array" ref="T59">_xlfn.IFS(S59&lt;=12,"Morning",S59&lt;=16,"Afternoon",S59&lt;=21,"Evening",S59&lt;=24,"Night")</f>
        <v>Night</v>
      </c>
    </row>
    <row r="60" spans="1:20" x14ac:dyDescent="0.25">
      <c r="A60" s="23" t="s">
        <v>94</v>
      </c>
      <c r="B60" s="19">
        <v>72.349999999999994</v>
      </c>
      <c r="C60" s="20">
        <v>10</v>
      </c>
      <c r="D60" s="19">
        <v>36.174999999999997</v>
      </c>
      <c r="E60" s="19">
        <v>759.67499999999995</v>
      </c>
      <c r="F60" s="21">
        <v>43485</v>
      </c>
      <c r="G60" s="22">
        <v>2.9638888888888899</v>
      </c>
      <c r="H60" s="23" t="s">
        <v>29</v>
      </c>
      <c r="I60" s="19">
        <v>723.5</v>
      </c>
      <c r="J60" s="24">
        <v>4.7619047620000003</v>
      </c>
      <c r="K60" s="25">
        <v>5.4</v>
      </c>
      <c r="L60" s="23" t="str">
        <f>VLOOKUP(A60,'Customer-details'!$A$1:$C$1001,2,FALSE)</f>
        <v>Member</v>
      </c>
      <c r="M60" s="23" t="str">
        <f>VLOOKUP(A60,'Customer-details'!$A$1:$C$1001,3,FALSE)</f>
        <v>Female</v>
      </c>
      <c r="N60" s="23" t="str">
        <f>VLOOKUP(A60,'Product-details'!$A$1:$B$1001,2,FALSE)</f>
        <v>Home and lifestyle</v>
      </c>
      <c r="O60" s="23" t="str">
        <f>VLOOKUP(A60,'City-details'!$A$1:$C$1001,3,FALSE)</f>
        <v>Yangon</v>
      </c>
      <c r="P60" s="23" t="str">
        <f>VLOOKUP(A60,'City-details'!$A$1:$C$1001,2,FALSE)</f>
        <v>A</v>
      </c>
      <c r="Q60" s="23" t="str">
        <f t="shared" si="0"/>
        <v>Jan</v>
      </c>
      <c r="R60" s="26" t="str">
        <f t="shared" si="1"/>
        <v>Sun</v>
      </c>
      <c r="S60">
        <f t="shared" si="2"/>
        <v>23</v>
      </c>
      <c r="T60" t="str" cm="1">
        <f t="array" ref="T60">_xlfn.IFS(S60&lt;=12,"Morning",S60&lt;=16,"Afternoon",S60&lt;=21,"Evening",S60&lt;=24,"Night")</f>
        <v>Night</v>
      </c>
    </row>
    <row r="61" spans="1:20" x14ac:dyDescent="0.25">
      <c r="A61" s="31" t="s">
        <v>95</v>
      </c>
      <c r="B61" s="27">
        <v>30.61</v>
      </c>
      <c r="C61" s="28">
        <v>6</v>
      </c>
      <c r="D61" s="27">
        <v>9.1829999999999998</v>
      </c>
      <c r="E61" s="27">
        <v>192.84299999999999</v>
      </c>
      <c r="F61" s="29">
        <v>43536</v>
      </c>
      <c r="G61" s="30">
        <v>3.00555555555556</v>
      </c>
      <c r="H61" s="31" t="s">
        <v>29</v>
      </c>
      <c r="I61" s="27">
        <v>183.66</v>
      </c>
      <c r="J61" s="32">
        <v>4.7619047620000003</v>
      </c>
      <c r="K61" s="33">
        <v>9.3000000000000007</v>
      </c>
      <c r="L61" s="31" t="str">
        <f>VLOOKUP(A61,'Customer-details'!$A$1:$C$1001,2,FALSE)</f>
        <v>Normal</v>
      </c>
      <c r="M61" s="31" t="str">
        <f>VLOOKUP(A61,'Customer-details'!$A$1:$C$1001,3,FALSE)</f>
        <v>Male</v>
      </c>
      <c r="N61" s="31" t="str">
        <f>VLOOKUP(A61,'Product-details'!$A$1:$B$1001,2,FALSE)</f>
        <v>Electronic accessories</v>
      </c>
      <c r="O61" s="31" t="str">
        <f>VLOOKUP(A61,'City-details'!$A$1:$C$1001,3,FALSE)</f>
        <v>Naypyitaw</v>
      </c>
      <c r="P61" s="31" t="str">
        <f>VLOOKUP(A61,'City-details'!$A$1:$C$1001,2,FALSE)</f>
        <v>C</v>
      </c>
      <c r="Q61" s="31" t="str">
        <f t="shared" si="0"/>
        <v>Mar</v>
      </c>
      <c r="R61" s="34" t="str">
        <f t="shared" si="1"/>
        <v>Tue</v>
      </c>
      <c r="S61">
        <f t="shared" si="2"/>
        <v>0</v>
      </c>
      <c r="T61" t="str" cm="1">
        <f t="array" ref="T61">_xlfn.IFS(S61&lt;=12,"Morning",S61&lt;=16,"Afternoon",S61&lt;=21,"Evening",S61&lt;=24,"Night")</f>
        <v>Morning</v>
      </c>
    </row>
    <row r="62" spans="1:20" x14ac:dyDescent="0.25">
      <c r="A62" s="23" t="s">
        <v>96</v>
      </c>
      <c r="B62" s="19">
        <v>24.74</v>
      </c>
      <c r="C62" s="20">
        <v>3</v>
      </c>
      <c r="D62" s="19">
        <v>3.7109999999999999</v>
      </c>
      <c r="E62" s="19">
        <v>77.930999999999997</v>
      </c>
      <c r="F62" s="21">
        <v>43511</v>
      </c>
      <c r="G62" s="22">
        <v>3.0472222222222198</v>
      </c>
      <c r="H62" s="23" t="s">
        <v>33</v>
      </c>
      <c r="I62" s="19">
        <v>74.22</v>
      </c>
      <c r="J62" s="24">
        <v>4.7619047620000003</v>
      </c>
      <c r="K62" s="25">
        <v>10</v>
      </c>
      <c r="L62" s="23" t="str">
        <f>VLOOKUP(A62,'Customer-details'!$A$1:$C$1001,2,FALSE)</f>
        <v>Member</v>
      </c>
      <c r="M62" s="23" t="str">
        <f>VLOOKUP(A62,'Customer-details'!$A$1:$C$1001,3,FALSE)</f>
        <v>Female</v>
      </c>
      <c r="N62" s="23" t="str">
        <f>VLOOKUP(A62,'Product-details'!$A$1:$B$1001,2,FALSE)</f>
        <v>Sports and travel</v>
      </c>
      <c r="O62" s="23" t="str">
        <f>VLOOKUP(A62,'City-details'!$A$1:$C$1001,3,FALSE)</f>
        <v>Naypyitaw</v>
      </c>
      <c r="P62" s="23" t="str">
        <f>VLOOKUP(A62,'City-details'!$A$1:$C$1001,2,FALSE)</f>
        <v>C</v>
      </c>
      <c r="Q62" s="23" t="str">
        <f t="shared" si="0"/>
        <v>Feb</v>
      </c>
      <c r="R62" s="26" t="str">
        <f t="shared" si="1"/>
        <v>Fri</v>
      </c>
      <c r="S62">
        <f t="shared" si="2"/>
        <v>1</v>
      </c>
      <c r="T62" t="str" cm="1">
        <f t="array" ref="T62">_xlfn.IFS(S62&lt;=12,"Morning",S62&lt;=16,"Afternoon",S62&lt;=21,"Evening",S62&lt;=24,"Night")</f>
        <v>Morning</v>
      </c>
    </row>
    <row r="63" spans="1:20" x14ac:dyDescent="0.25">
      <c r="A63" s="31" t="s">
        <v>97</v>
      </c>
      <c r="B63" s="27">
        <v>55.73</v>
      </c>
      <c r="C63" s="28">
        <v>6</v>
      </c>
      <c r="D63" s="27">
        <v>16.719000000000001</v>
      </c>
      <c r="E63" s="27">
        <v>351.09899999999999</v>
      </c>
      <c r="F63" s="29">
        <v>43520</v>
      </c>
      <c r="G63" s="30">
        <v>3.0888888888888899</v>
      </c>
      <c r="H63" s="31" t="s">
        <v>23</v>
      </c>
      <c r="I63" s="27">
        <v>334.38</v>
      </c>
      <c r="J63" s="32">
        <v>4.7619047620000003</v>
      </c>
      <c r="K63" s="33">
        <v>7</v>
      </c>
      <c r="L63" s="31" t="str">
        <f>VLOOKUP(A63,'Customer-details'!$A$1:$C$1001,2,FALSE)</f>
        <v>Normal</v>
      </c>
      <c r="M63" s="31" t="str">
        <f>VLOOKUP(A63,'Customer-details'!$A$1:$C$1001,3,FALSE)</f>
        <v>Male</v>
      </c>
      <c r="N63" s="31" t="str">
        <f>VLOOKUP(A63,'Product-details'!$A$1:$B$1001,2,FALSE)</f>
        <v>Home and lifestyle</v>
      </c>
      <c r="O63" s="31" t="str">
        <f>VLOOKUP(A63,'City-details'!$A$1:$C$1001,3,FALSE)</f>
        <v>Naypyitaw</v>
      </c>
      <c r="P63" s="31" t="str">
        <f>VLOOKUP(A63,'City-details'!$A$1:$C$1001,2,FALSE)</f>
        <v>C</v>
      </c>
      <c r="Q63" s="31" t="str">
        <f t="shared" si="0"/>
        <v>Feb</v>
      </c>
      <c r="R63" s="34" t="str">
        <f t="shared" si="1"/>
        <v>Sun</v>
      </c>
      <c r="S63">
        <f t="shared" si="2"/>
        <v>2</v>
      </c>
      <c r="T63" t="str" cm="1">
        <f t="array" ref="T63">_xlfn.IFS(S63&lt;=12,"Morning",S63&lt;=16,"Afternoon",S63&lt;=21,"Evening",S63&lt;=24,"Night")</f>
        <v>Morning</v>
      </c>
    </row>
    <row r="64" spans="1:20" x14ac:dyDescent="0.25">
      <c r="A64" s="23" t="s">
        <v>98</v>
      </c>
      <c r="B64" s="19">
        <v>55.07</v>
      </c>
      <c r="C64" s="20">
        <v>9</v>
      </c>
      <c r="D64" s="19">
        <v>24.781500000000001</v>
      </c>
      <c r="E64" s="19">
        <v>520.41150000000005</v>
      </c>
      <c r="F64" s="21">
        <v>43499</v>
      </c>
      <c r="G64" s="22">
        <v>3.13055555555556</v>
      </c>
      <c r="H64" s="23" t="s">
        <v>23</v>
      </c>
      <c r="I64" s="19">
        <v>495.63</v>
      </c>
      <c r="J64" s="24">
        <v>4.7619047620000003</v>
      </c>
      <c r="K64" s="25">
        <v>10</v>
      </c>
      <c r="L64" s="23" t="str">
        <f>VLOOKUP(A64,'Customer-details'!$A$1:$C$1001,2,FALSE)</f>
        <v>Member</v>
      </c>
      <c r="M64" s="23" t="str">
        <f>VLOOKUP(A64,'Customer-details'!$A$1:$C$1001,3,FALSE)</f>
        <v>Female</v>
      </c>
      <c r="N64" s="23" t="str">
        <f>VLOOKUP(A64,'Product-details'!$A$1:$B$1001,2,FALSE)</f>
        <v>Sports and travel</v>
      </c>
      <c r="O64" s="23" t="str">
        <f>VLOOKUP(A64,'City-details'!$A$1:$C$1001,3,FALSE)</f>
        <v>Mandalay</v>
      </c>
      <c r="P64" s="23" t="str">
        <f>VLOOKUP(A64,'City-details'!$A$1:$C$1001,2,FALSE)</f>
        <v>B</v>
      </c>
      <c r="Q64" s="23" t="str">
        <f t="shared" si="0"/>
        <v>Feb</v>
      </c>
      <c r="R64" s="26" t="str">
        <f t="shared" si="1"/>
        <v>Sun</v>
      </c>
      <c r="S64">
        <f t="shared" si="2"/>
        <v>3</v>
      </c>
      <c r="T64" t="str" cm="1">
        <f t="array" ref="T64">_xlfn.IFS(S64&lt;=12,"Morning",S64&lt;=16,"Afternoon",S64&lt;=21,"Evening",S64&lt;=24,"Night")</f>
        <v>Morning</v>
      </c>
    </row>
    <row r="65" spans="1:20" x14ac:dyDescent="0.25">
      <c r="A65" s="31" t="s">
        <v>99</v>
      </c>
      <c r="B65" s="27">
        <v>15.81</v>
      </c>
      <c r="C65" s="28">
        <v>10</v>
      </c>
      <c r="D65" s="27">
        <v>7.9050000000000002</v>
      </c>
      <c r="E65" s="27">
        <v>166.005</v>
      </c>
      <c r="F65" s="29">
        <v>43530</v>
      </c>
      <c r="G65" s="30">
        <v>3.1722222222222198</v>
      </c>
      <c r="H65" s="31" t="s">
        <v>33</v>
      </c>
      <c r="I65" s="27">
        <v>158.1</v>
      </c>
      <c r="J65" s="32">
        <v>4.7619047620000003</v>
      </c>
      <c r="K65" s="33">
        <v>8.6</v>
      </c>
      <c r="L65" s="31" t="str">
        <f>VLOOKUP(A65,'Customer-details'!$A$1:$C$1001,2,FALSE)</f>
        <v>Member</v>
      </c>
      <c r="M65" s="31" t="str">
        <f>VLOOKUP(A65,'Customer-details'!$A$1:$C$1001,3,FALSE)</f>
        <v>Male</v>
      </c>
      <c r="N65" s="31" t="str">
        <f>VLOOKUP(A65,'Product-details'!$A$1:$B$1001,2,FALSE)</f>
        <v>Sports and travel</v>
      </c>
      <c r="O65" s="31" t="str">
        <f>VLOOKUP(A65,'City-details'!$A$1:$C$1001,3,FALSE)</f>
        <v>Yangon</v>
      </c>
      <c r="P65" s="31" t="str">
        <f>VLOOKUP(A65,'City-details'!$A$1:$C$1001,2,FALSE)</f>
        <v>A</v>
      </c>
      <c r="Q65" s="31" t="str">
        <f t="shared" si="0"/>
        <v>Mar</v>
      </c>
      <c r="R65" s="34" t="str">
        <f t="shared" si="1"/>
        <v>Wed</v>
      </c>
      <c r="S65">
        <f t="shared" si="2"/>
        <v>4</v>
      </c>
      <c r="T65" t="str" cm="1">
        <f t="array" ref="T65">_xlfn.IFS(S65&lt;=12,"Morning",S65&lt;=16,"Afternoon",S65&lt;=21,"Evening",S65&lt;=24,"Night")</f>
        <v>Morning</v>
      </c>
    </row>
    <row r="66" spans="1:20" x14ac:dyDescent="0.25">
      <c r="A66" s="23" t="s">
        <v>100</v>
      </c>
      <c r="B66" s="19">
        <v>75.739999999999995</v>
      </c>
      <c r="C66" s="20">
        <v>4</v>
      </c>
      <c r="D66" s="19">
        <v>15.148</v>
      </c>
      <c r="E66" s="19">
        <v>318.108</v>
      </c>
      <c r="F66" s="21">
        <v>43510</v>
      </c>
      <c r="G66" s="22">
        <v>3.2138888888888899</v>
      </c>
      <c r="H66" s="23" t="s">
        <v>29</v>
      </c>
      <c r="I66" s="19">
        <v>302.95999999999998</v>
      </c>
      <c r="J66" s="24">
        <v>4.7619047620000003</v>
      </c>
      <c r="K66" s="25">
        <v>7.6</v>
      </c>
      <c r="L66" s="23" t="str">
        <f>VLOOKUP(A66,'Customer-details'!$A$1:$C$1001,2,FALSE)</f>
        <v>Member</v>
      </c>
      <c r="M66" s="23" t="str">
        <f>VLOOKUP(A66,'Customer-details'!$A$1:$C$1001,3,FALSE)</f>
        <v>Male</v>
      </c>
      <c r="N66" s="23" t="str">
        <f>VLOOKUP(A66,'Product-details'!$A$1:$B$1001,2,FALSE)</f>
        <v>Health and beauty</v>
      </c>
      <c r="O66" s="23" t="str">
        <f>VLOOKUP(A66,'City-details'!$A$1:$C$1001,3,FALSE)</f>
        <v>Mandalay</v>
      </c>
      <c r="P66" s="23" t="str">
        <f>VLOOKUP(A66,'City-details'!$A$1:$C$1001,2,FALSE)</f>
        <v>B</v>
      </c>
      <c r="Q66" s="23" t="str">
        <f t="shared" si="0"/>
        <v>Feb</v>
      </c>
      <c r="R66" s="26" t="str">
        <f t="shared" si="1"/>
        <v>Thu</v>
      </c>
      <c r="S66">
        <f t="shared" si="2"/>
        <v>5</v>
      </c>
      <c r="T66" t="str" cm="1">
        <f t="array" ref="T66">_xlfn.IFS(S66&lt;=12,"Morning",S66&lt;=16,"Afternoon",S66&lt;=21,"Evening",S66&lt;=24,"Night")</f>
        <v>Morning</v>
      </c>
    </row>
    <row r="67" spans="1:20" x14ac:dyDescent="0.25">
      <c r="A67" s="31" t="s">
        <v>101</v>
      </c>
      <c r="B67" s="27">
        <v>15.87</v>
      </c>
      <c r="C67" s="28">
        <v>10</v>
      </c>
      <c r="D67" s="27">
        <v>7.9349999999999996</v>
      </c>
      <c r="E67" s="27">
        <v>166.63499999999999</v>
      </c>
      <c r="F67" s="29">
        <v>43537</v>
      </c>
      <c r="G67" s="30">
        <v>3.25555555555556</v>
      </c>
      <c r="H67" s="31" t="s">
        <v>29</v>
      </c>
      <c r="I67" s="27">
        <v>158.69999999999999</v>
      </c>
      <c r="J67" s="32">
        <v>4.7619047620000003</v>
      </c>
      <c r="K67" s="33">
        <v>5.8</v>
      </c>
      <c r="L67" s="31" t="str">
        <f>VLOOKUP(A67,'Customer-details'!$A$1:$C$1001,2,FALSE)</f>
        <v>Member</v>
      </c>
      <c r="M67" s="31" t="str">
        <f>VLOOKUP(A67,'Customer-details'!$A$1:$C$1001,3,FALSE)</f>
        <v>Male</v>
      </c>
      <c r="N67" s="31" t="str">
        <f>VLOOKUP(A67,'Product-details'!$A$1:$B$1001,2,FALSE)</f>
        <v>Health and beauty</v>
      </c>
      <c r="O67" s="31" t="str">
        <f>VLOOKUP(A67,'City-details'!$A$1:$C$1001,3,FALSE)</f>
        <v>Yangon</v>
      </c>
      <c r="P67" s="31" t="str">
        <f>VLOOKUP(A67,'City-details'!$A$1:$C$1001,2,FALSE)</f>
        <v>A</v>
      </c>
      <c r="Q67" s="31" t="str">
        <f t="shared" ref="Q67:Q130" si="3">TEXT(F67,"mmm")</f>
        <v>Mar</v>
      </c>
      <c r="R67" s="34" t="str">
        <f t="shared" ref="R67:R130" si="4">TEXT(F67,"ddd")</f>
        <v>Wed</v>
      </c>
      <c r="S67">
        <f t="shared" ref="S67:S130" si="5">HOUR(G67)</f>
        <v>6</v>
      </c>
      <c r="T67" t="str" cm="1">
        <f t="array" ref="T67">_xlfn.IFS(S67&lt;=12,"Morning",S67&lt;=16,"Afternoon",S67&lt;=21,"Evening",S67&lt;=24,"Night")</f>
        <v>Morning</v>
      </c>
    </row>
    <row r="68" spans="1:20" x14ac:dyDescent="0.25">
      <c r="A68" s="23" t="s">
        <v>102</v>
      </c>
      <c r="B68" s="19">
        <v>33.47</v>
      </c>
      <c r="C68" s="20">
        <v>2</v>
      </c>
      <c r="D68" s="19">
        <v>3.347</v>
      </c>
      <c r="E68" s="19">
        <v>70.287000000000006</v>
      </c>
      <c r="F68" s="21">
        <v>43506</v>
      </c>
      <c r="G68" s="22">
        <v>3.2972222222222198</v>
      </c>
      <c r="H68" s="23" t="s">
        <v>23</v>
      </c>
      <c r="I68" s="19">
        <v>66.94</v>
      </c>
      <c r="J68" s="24">
        <v>4.7619047620000003</v>
      </c>
      <c r="K68" s="25">
        <v>6.7</v>
      </c>
      <c r="L68" s="23" t="str">
        <f>VLOOKUP(A68,'Customer-details'!$A$1:$C$1001,2,FALSE)</f>
        <v>Normal</v>
      </c>
      <c r="M68" s="23" t="str">
        <f>VLOOKUP(A68,'Customer-details'!$A$1:$C$1001,3,FALSE)</f>
        <v>Female</v>
      </c>
      <c r="N68" s="23" t="str">
        <f>VLOOKUP(A68,'Product-details'!$A$1:$B$1001,2,FALSE)</f>
        <v>Health and beauty</v>
      </c>
      <c r="O68" s="23" t="str">
        <f>VLOOKUP(A68,'City-details'!$A$1:$C$1001,3,FALSE)</f>
        <v>Naypyitaw</v>
      </c>
      <c r="P68" s="23" t="str">
        <f>VLOOKUP(A68,'City-details'!$A$1:$C$1001,2,FALSE)</f>
        <v>C</v>
      </c>
      <c r="Q68" s="23" t="str">
        <f t="shared" si="3"/>
        <v>Feb</v>
      </c>
      <c r="R68" s="26" t="str">
        <f t="shared" si="4"/>
        <v>Sun</v>
      </c>
      <c r="S68">
        <f t="shared" si="5"/>
        <v>7</v>
      </c>
      <c r="T68" t="str" cm="1">
        <f t="array" ref="T68">_xlfn.IFS(S68&lt;=12,"Morning",S68&lt;=16,"Afternoon",S68&lt;=21,"Evening",S68&lt;=24,"Night")</f>
        <v>Morning</v>
      </c>
    </row>
    <row r="69" spans="1:20" x14ac:dyDescent="0.25">
      <c r="A69" s="31" t="s">
        <v>103</v>
      </c>
      <c r="B69" s="27">
        <v>97.61</v>
      </c>
      <c r="C69" s="28">
        <v>6</v>
      </c>
      <c r="D69" s="27">
        <v>29.283000000000001</v>
      </c>
      <c r="E69" s="27">
        <v>614.94299999999998</v>
      </c>
      <c r="F69" s="29">
        <v>43472</v>
      </c>
      <c r="G69" s="30">
        <v>3.3388888888888899</v>
      </c>
      <c r="H69" s="31" t="s">
        <v>23</v>
      </c>
      <c r="I69" s="27">
        <v>585.66</v>
      </c>
      <c r="J69" s="32">
        <v>4.7619047620000003</v>
      </c>
      <c r="K69" s="33">
        <v>9.9</v>
      </c>
      <c r="L69" s="31" t="str">
        <f>VLOOKUP(A69,'Customer-details'!$A$1:$C$1001,2,FALSE)</f>
        <v>Member</v>
      </c>
      <c r="M69" s="31" t="str">
        <f>VLOOKUP(A69,'Customer-details'!$A$1:$C$1001,3,FALSE)</f>
        <v>Female</v>
      </c>
      <c r="N69" s="31" t="str">
        <f>VLOOKUP(A69,'Product-details'!$A$1:$B$1001,2,FALSE)</f>
        <v>Fashion accessories</v>
      </c>
      <c r="O69" s="31" t="str">
        <f>VLOOKUP(A69,'City-details'!$A$1:$C$1001,3,FALSE)</f>
        <v>Mandalay</v>
      </c>
      <c r="P69" s="31" t="str">
        <f>VLOOKUP(A69,'City-details'!$A$1:$C$1001,2,FALSE)</f>
        <v>B</v>
      </c>
      <c r="Q69" s="31" t="str">
        <f t="shared" si="3"/>
        <v>Jan</v>
      </c>
      <c r="R69" s="34" t="str">
        <f t="shared" si="4"/>
        <v>Mon</v>
      </c>
      <c r="S69">
        <f t="shared" si="5"/>
        <v>8</v>
      </c>
      <c r="T69" t="str" cm="1">
        <f t="array" ref="T69">_xlfn.IFS(S69&lt;=12,"Morning",S69&lt;=16,"Afternoon",S69&lt;=21,"Evening",S69&lt;=24,"Night")</f>
        <v>Morning</v>
      </c>
    </row>
    <row r="70" spans="1:20" x14ac:dyDescent="0.25">
      <c r="A70" s="23" t="s">
        <v>104</v>
      </c>
      <c r="B70" s="19">
        <v>78.77</v>
      </c>
      <c r="C70" s="20">
        <v>10</v>
      </c>
      <c r="D70" s="19">
        <v>39.384999999999998</v>
      </c>
      <c r="E70" s="19">
        <v>827.08500000000004</v>
      </c>
      <c r="F70" s="21">
        <v>43489</v>
      </c>
      <c r="G70" s="22">
        <v>3.38055555555556</v>
      </c>
      <c r="H70" s="23" t="s">
        <v>29</v>
      </c>
      <c r="I70" s="19">
        <v>787.7</v>
      </c>
      <c r="J70" s="24">
        <v>4.7619047620000003</v>
      </c>
      <c r="K70" s="25">
        <v>6.4</v>
      </c>
      <c r="L70" s="23" t="str">
        <f>VLOOKUP(A70,'Customer-details'!$A$1:$C$1001,2,FALSE)</f>
        <v>Normal</v>
      </c>
      <c r="M70" s="23" t="str">
        <f>VLOOKUP(A70,'Customer-details'!$A$1:$C$1001,3,FALSE)</f>
        <v>Male</v>
      </c>
      <c r="N70" s="23" t="str">
        <f>VLOOKUP(A70,'Product-details'!$A$1:$B$1001,2,FALSE)</f>
        <v>Sports and travel</v>
      </c>
      <c r="O70" s="23" t="str">
        <f>VLOOKUP(A70,'City-details'!$A$1:$C$1001,3,FALSE)</f>
        <v>Yangon</v>
      </c>
      <c r="P70" s="23" t="str">
        <f>VLOOKUP(A70,'City-details'!$A$1:$C$1001,2,FALSE)</f>
        <v>A</v>
      </c>
      <c r="Q70" s="23" t="str">
        <f t="shared" si="3"/>
        <v>Jan</v>
      </c>
      <c r="R70" s="26" t="str">
        <f t="shared" si="4"/>
        <v>Thu</v>
      </c>
      <c r="S70">
        <f t="shared" si="5"/>
        <v>9</v>
      </c>
      <c r="T70" t="str" cm="1">
        <f t="array" ref="T70">_xlfn.IFS(S70&lt;=12,"Morning",S70&lt;=16,"Afternoon",S70&lt;=21,"Evening",S70&lt;=24,"Night")</f>
        <v>Morning</v>
      </c>
    </row>
    <row r="71" spans="1:20" x14ac:dyDescent="0.25">
      <c r="A71" s="31" t="s">
        <v>105</v>
      </c>
      <c r="B71" s="27">
        <v>18.329999999999998</v>
      </c>
      <c r="C71" s="28">
        <v>1</v>
      </c>
      <c r="D71" s="27">
        <v>0.91649999999999998</v>
      </c>
      <c r="E71" s="27">
        <v>19.246500000000001</v>
      </c>
      <c r="F71" s="29">
        <v>43498</v>
      </c>
      <c r="G71" s="30">
        <v>3.4222222222222198</v>
      </c>
      <c r="H71" s="31" t="s">
        <v>29</v>
      </c>
      <c r="I71" s="27">
        <v>18.329999999999998</v>
      </c>
      <c r="J71" s="32">
        <v>4.7619047620000003</v>
      </c>
      <c r="K71" s="33">
        <v>4.3</v>
      </c>
      <c r="L71" s="31" t="str">
        <f>VLOOKUP(A71,'Customer-details'!$A$1:$C$1001,2,FALSE)</f>
        <v>Member</v>
      </c>
      <c r="M71" s="31" t="str">
        <f>VLOOKUP(A71,'Customer-details'!$A$1:$C$1001,3,FALSE)</f>
        <v>Female</v>
      </c>
      <c r="N71" s="31" t="str">
        <f>VLOOKUP(A71,'Product-details'!$A$1:$B$1001,2,FALSE)</f>
        <v>Health and beauty</v>
      </c>
      <c r="O71" s="31" t="str">
        <f>VLOOKUP(A71,'City-details'!$A$1:$C$1001,3,FALSE)</f>
        <v>Yangon</v>
      </c>
      <c r="P71" s="31" t="str">
        <f>VLOOKUP(A71,'City-details'!$A$1:$C$1001,2,FALSE)</f>
        <v>A</v>
      </c>
      <c r="Q71" s="31" t="str">
        <f t="shared" si="3"/>
        <v>Feb</v>
      </c>
      <c r="R71" s="34" t="str">
        <f t="shared" si="4"/>
        <v>Sat</v>
      </c>
      <c r="S71">
        <f t="shared" si="5"/>
        <v>10</v>
      </c>
      <c r="T71" t="str" cm="1">
        <f t="array" ref="T71">_xlfn.IFS(S71&lt;=12,"Morning",S71&lt;=16,"Afternoon",S71&lt;=21,"Evening",S71&lt;=24,"Night")</f>
        <v>Morning</v>
      </c>
    </row>
    <row r="72" spans="1:20" x14ac:dyDescent="0.25">
      <c r="A72" s="23" t="s">
        <v>106</v>
      </c>
      <c r="B72" s="19">
        <v>89.48</v>
      </c>
      <c r="C72" s="20">
        <v>10</v>
      </c>
      <c r="D72" s="19">
        <v>44.74</v>
      </c>
      <c r="E72" s="19">
        <v>939.54</v>
      </c>
      <c r="F72" s="21">
        <v>43471</v>
      </c>
      <c r="G72" s="22">
        <v>3.4638888888888899</v>
      </c>
      <c r="H72" s="23" t="s">
        <v>33</v>
      </c>
      <c r="I72" s="19">
        <v>894.8</v>
      </c>
      <c r="J72" s="24">
        <v>4.7619047620000003</v>
      </c>
      <c r="K72" s="25">
        <v>9.6</v>
      </c>
      <c r="L72" s="23" t="str">
        <f>VLOOKUP(A72,'Customer-details'!$A$1:$C$1001,2,FALSE)</f>
        <v>Normal</v>
      </c>
      <c r="M72" s="23" t="str">
        <f>VLOOKUP(A72,'Customer-details'!$A$1:$C$1001,3,FALSE)</f>
        <v>Male</v>
      </c>
      <c r="N72" s="23" t="str">
        <f>VLOOKUP(A72,'Product-details'!$A$1:$B$1001,2,FALSE)</f>
        <v>Food and beverages</v>
      </c>
      <c r="O72" s="23" t="str">
        <f>VLOOKUP(A72,'City-details'!$A$1:$C$1001,3,FALSE)</f>
        <v>Naypyitaw</v>
      </c>
      <c r="P72" s="23" t="str">
        <f>VLOOKUP(A72,'City-details'!$A$1:$C$1001,2,FALSE)</f>
        <v>C</v>
      </c>
      <c r="Q72" s="23" t="str">
        <f t="shared" si="3"/>
        <v>Jan</v>
      </c>
      <c r="R72" s="26" t="str">
        <f t="shared" si="4"/>
        <v>Sun</v>
      </c>
      <c r="S72">
        <f t="shared" si="5"/>
        <v>11</v>
      </c>
      <c r="T72" t="str" cm="1">
        <f t="array" ref="T72">_xlfn.IFS(S72&lt;=12,"Morning",S72&lt;=16,"Afternoon",S72&lt;=21,"Evening",S72&lt;=24,"Night")</f>
        <v>Morning</v>
      </c>
    </row>
    <row r="73" spans="1:20" x14ac:dyDescent="0.25">
      <c r="A73" s="31" t="s">
        <v>107</v>
      </c>
      <c r="B73" s="27">
        <v>62.12</v>
      </c>
      <c r="C73" s="28">
        <v>10</v>
      </c>
      <c r="D73" s="27">
        <v>31.06</v>
      </c>
      <c r="E73" s="27">
        <v>652.26</v>
      </c>
      <c r="F73" s="29">
        <v>43507</v>
      </c>
      <c r="G73" s="30">
        <v>3.50555555555556</v>
      </c>
      <c r="H73" s="31" t="s">
        <v>29</v>
      </c>
      <c r="I73" s="27">
        <v>621.20000000000005</v>
      </c>
      <c r="J73" s="32">
        <v>4.7619047620000003</v>
      </c>
      <c r="K73" s="33">
        <v>5.9</v>
      </c>
      <c r="L73" s="31" t="str">
        <f>VLOOKUP(A73,'Customer-details'!$A$1:$C$1001,2,FALSE)</f>
        <v>Normal</v>
      </c>
      <c r="M73" s="31" t="str">
        <f>VLOOKUP(A73,'Customer-details'!$A$1:$C$1001,3,FALSE)</f>
        <v>Male</v>
      </c>
      <c r="N73" s="31" t="str">
        <f>VLOOKUP(A73,'Product-details'!$A$1:$B$1001,2,FALSE)</f>
        <v>Fashion accessories</v>
      </c>
      <c r="O73" s="31" t="str">
        <f>VLOOKUP(A73,'City-details'!$A$1:$C$1001,3,FALSE)</f>
        <v>Naypyitaw</v>
      </c>
      <c r="P73" s="31" t="str">
        <f>VLOOKUP(A73,'City-details'!$A$1:$C$1001,2,FALSE)</f>
        <v>C</v>
      </c>
      <c r="Q73" s="31" t="str">
        <f t="shared" si="3"/>
        <v>Feb</v>
      </c>
      <c r="R73" s="34" t="str">
        <f t="shared" si="4"/>
        <v>Mon</v>
      </c>
      <c r="S73">
        <f t="shared" si="5"/>
        <v>12</v>
      </c>
      <c r="T73" t="str" cm="1">
        <f t="array" ref="T73">_xlfn.IFS(S73&lt;=12,"Morning",S73&lt;=16,"Afternoon",S73&lt;=21,"Evening",S73&lt;=24,"Night")</f>
        <v>Morning</v>
      </c>
    </row>
    <row r="74" spans="1:20" x14ac:dyDescent="0.25">
      <c r="A74" s="23" t="s">
        <v>108</v>
      </c>
      <c r="B74" s="19">
        <v>48.52</v>
      </c>
      <c r="C74" s="20">
        <v>3</v>
      </c>
      <c r="D74" s="19">
        <v>7.2779999999999996</v>
      </c>
      <c r="E74" s="19">
        <v>152.83799999999999</v>
      </c>
      <c r="F74" s="21">
        <v>43529</v>
      </c>
      <c r="G74" s="22">
        <v>3.5472222222222198</v>
      </c>
      <c r="H74" s="23" t="s">
        <v>23</v>
      </c>
      <c r="I74" s="19">
        <v>145.56</v>
      </c>
      <c r="J74" s="24">
        <v>4.7619047620000003</v>
      </c>
      <c r="K74" s="25">
        <v>4</v>
      </c>
      <c r="L74" s="23" t="str">
        <f>VLOOKUP(A74,'Customer-details'!$A$1:$C$1001,2,FALSE)</f>
        <v>Member</v>
      </c>
      <c r="M74" s="23" t="str">
        <f>VLOOKUP(A74,'Customer-details'!$A$1:$C$1001,3,FALSE)</f>
        <v>Female</v>
      </c>
      <c r="N74" s="23" t="str">
        <f>VLOOKUP(A74,'Product-details'!$A$1:$B$1001,2,FALSE)</f>
        <v>Food and beverages</v>
      </c>
      <c r="O74" s="23" t="str">
        <f>VLOOKUP(A74,'City-details'!$A$1:$C$1001,3,FALSE)</f>
        <v>Mandalay</v>
      </c>
      <c r="P74" s="23" t="str">
        <f>VLOOKUP(A74,'City-details'!$A$1:$C$1001,2,FALSE)</f>
        <v>B</v>
      </c>
      <c r="Q74" s="23" t="str">
        <f t="shared" si="3"/>
        <v>Mar</v>
      </c>
      <c r="R74" s="26" t="str">
        <f t="shared" si="4"/>
        <v>Tue</v>
      </c>
      <c r="S74">
        <f t="shared" si="5"/>
        <v>13</v>
      </c>
      <c r="T74" t="str" cm="1">
        <f t="array" ref="T74">_xlfn.IFS(S74&lt;=12,"Morning",S74&lt;=16,"Afternoon",S74&lt;=21,"Evening",S74&lt;=24,"Night")</f>
        <v>Afternoon</v>
      </c>
    </row>
    <row r="75" spans="1:20" x14ac:dyDescent="0.25">
      <c r="A75" s="31" t="s">
        <v>109</v>
      </c>
      <c r="B75" s="27">
        <v>75.91</v>
      </c>
      <c r="C75" s="28">
        <v>6</v>
      </c>
      <c r="D75" s="27">
        <v>22.773</v>
      </c>
      <c r="E75" s="27">
        <v>478.233</v>
      </c>
      <c r="F75" s="29">
        <v>43533</v>
      </c>
      <c r="G75" s="30">
        <v>3.5888888888888899</v>
      </c>
      <c r="H75" s="31" t="s">
        <v>29</v>
      </c>
      <c r="I75" s="27">
        <v>455.46</v>
      </c>
      <c r="J75" s="32">
        <v>4.7619047620000003</v>
      </c>
      <c r="K75" s="33">
        <v>8.6999999999999993</v>
      </c>
      <c r="L75" s="31" t="str">
        <f>VLOOKUP(A75,'Customer-details'!$A$1:$C$1001,2,FALSE)</f>
        <v>Normal</v>
      </c>
      <c r="M75" s="31" t="str">
        <f>VLOOKUP(A75,'Customer-details'!$A$1:$C$1001,3,FALSE)</f>
        <v>Female</v>
      </c>
      <c r="N75" s="31" t="str">
        <f>VLOOKUP(A75,'Product-details'!$A$1:$B$1001,2,FALSE)</f>
        <v>Electronic accessories</v>
      </c>
      <c r="O75" s="31" t="str">
        <f>VLOOKUP(A75,'City-details'!$A$1:$C$1001,3,FALSE)</f>
        <v>Naypyitaw</v>
      </c>
      <c r="P75" s="31" t="str">
        <f>VLOOKUP(A75,'City-details'!$A$1:$C$1001,2,FALSE)</f>
        <v>C</v>
      </c>
      <c r="Q75" s="31" t="str">
        <f t="shared" si="3"/>
        <v>Mar</v>
      </c>
      <c r="R75" s="34" t="str">
        <f t="shared" si="4"/>
        <v>Sat</v>
      </c>
      <c r="S75">
        <f t="shared" si="5"/>
        <v>14</v>
      </c>
      <c r="T75" t="str" cm="1">
        <f t="array" ref="T75">_xlfn.IFS(S75&lt;=12,"Morning",S75&lt;=16,"Afternoon",S75&lt;=21,"Evening",S75&lt;=24,"Night")</f>
        <v>Afternoon</v>
      </c>
    </row>
    <row r="76" spans="1:20" x14ac:dyDescent="0.25">
      <c r="A76" s="23" t="s">
        <v>110</v>
      </c>
      <c r="B76" s="19">
        <v>74.67</v>
      </c>
      <c r="C76" s="20">
        <v>9</v>
      </c>
      <c r="D76" s="19">
        <v>33.601500000000001</v>
      </c>
      <c r="E76" s="19">
        <v>705.63149999999996</v>
      </c>
      <c r="F76" s="21">
        <v>43487</v>
      </c>
      <c r="G76" s="22">
        <v>3.63055555555556</v>
      </c>
      <c r="H76" s="23" t="s">
        <v>23</v>
      </c>
      <c r="I76" s="19">
        <v>672.03</v>
      </c>
      <c r="J76" s="24">
        <v>4.7619047620000003</v>
      </c>
      <c r="K76" s="25">
        <v>9.4</v>
      </c>
      <c r="L76" s="23" t="str">
        <f>VLOOKUP(A76,'Customer-details'!$A$1:$C$1001,2,FALSE)</f>
        <v>Normal</v>
      </c>
      <c r="M76" s="23" t="str">
        <f>VLOOKUP(A76,'Customer-details'!$A$1:$C$1001,3,FALSE)</f>
        <v>Male</v>
      </c>
      <c r="N76" s="23" t="str">
        <f>VLOOKUP(A76,'Product-details'!$A$1:$B$1001,2,FALSE)</f>
        <v>Home and lifestyle</v>
      </c>
      <c r="O76" s="23" t="str">
        <f>VLOOKUP(A76,'City-details'!$A$1:$C$1001,3,FALSE)</f>
        <v>Yangon</v>
      </c>
      <c r="P76" s="23" t="str">
        <f>VLOOKUP(A76,'City-details'!$A$1:$C$1001,2,FALSE)</f>
        <v>A</v>
      </c>
      <c r="Q76" s="23" t="str">
        <f t="shared" si="3"/>
        <v>Jan</v>
      </c>
      <c r="R76" s="26" t="str">
        <f t="shared" si="4"/>
        <v>Tue</v>
      </c>
      <c r="S76">
        <f t="shared" si="5"/>
        <v>15</v>
      </c>
      <c r="T76" t="str" cm="1">
        <f t="array" ref="T76">_xlfn.IFS(S76&lt;=12,"Morning",S76&lt;=16,"Afternoon",S76&lt;=21,"Evening",S76&lt;=24,"Night")</f>
        <v>Afternoon</v>
      </c>
    </row>
    <row r="77" spans="1:20" x14ac:dyDescent="0.25">
      <c r="A77" s="31" t="s">
        <v>111</v>
      </c>
      <c r="B77" s="27">
        <v>41.65</v>
      </c>
      <c r="C77" s="28">
        <v>10</v>
      </c>
      <c r="D77" s="27">
        <v>20.824999999999999</v>
      </c>
      <c r="E77" s="27">
        <v>437.32499999999999</v>
      </c>
      <c r="F77" s="29">
        <v>43478</v>
      </c>
      <c r="G77" s="30">
        <v>3.6722222222222198</v>
      </c>
      <c r="H77" s="31" t="s">
        <v>33</v>
      </c>
      <c r="I77" s="27">
        <v>416.5</v>
      </c>
      <c r="J77" s="32">
        <v>4.7619047620000003</v>
      </c>
      <c r="K77" s="33">
        <v>5.4</v>
      </c>
      <c r="L77" s="31" t="str">
        <f>VLOOKUP(A77,'Customer-details'!$A$1:$C$1001,2,FALSE)</f>
        <v>Normal</v>
      </c>
      <c r="M77" s="31" t="str">
        <f>VLOOKUP(A77,'Customer-details'!$A$1:$C$1001,3,FALSE)</f>
        <v>Female</v>
      </c>
      <c r="N77" s="31" t="str">
        <f>VLOOKUP(A77,'Product-details'!$A$1:$B$1001,2,FALSE)</f>
        <v>Electronic accessories</v>
      </c>
      <c r="O77" s="31" t="str">
        <f>VLOOKUP(A77,'City-details'!$A$1:$C$1001,3,FALSE)</f>
        <v>Naypyitaw</v>
      </c>
      <c r="P77" s="31" t="str">
        <f>VLOOKUP(A77,'City-details'!$A$1:$C$1001,2,FALSE)</f>
        <v>C</v>
      </c>
      <c r="Q77" s="31" t="str">
        <f t="shared" si="3"/>
        <v>Jan</v>
      </c>
      <c r="R77" s="34" t="str">
        <f t="shared" si="4"/>
        <v>Sun</v>
      </c>
      <c r="S77">
        <f t="shared" si="5"/>
        <v>16</v>
      </c>
      <c r="T77" t="str" cm="1">
        <f t="array" ref="T77">_xlfn.IFS(S77&lt;=12,"Morning",S77&lt;=16,"Afternoon",S77&lt;=21,"Evening",S77&lt;=24,"Night")</f>
        <v>Afternoon</v>
      </c>
    </row>
    <row r="78" spans="1:20" x14ac:dyDescent="0.25">
      <c r="A78" s="23" t="s">
        <v>112</v>
      </c>
      <c r="B78" s="19">
        <v>49.04</v>
      </c>
      <c r="C78" s="20">
        <v>9</v>
      </c>
      <c r="D78" s="19">
        <v>22.068000000000001</v>
      </c>
      <c r="E78" s="19">
        <v>463.428</v>
      </c>
      <c r="F78" s="21">
        <v>43474</v>
      </c>
      <c r="G78" s="22">
        <v>3.7138888888888899</v>
      </c>
      <c r="H78" s="23" t="s">
        <v>33</v>
      </c>
      <c r="I78" s="19">
        <v>441.36</v>
      </c>
      <c r="J78" s="24">
        <v>4.7619047620000003</v>
      </c>
      <c r="K78" s="25">
        <v>8.6</v>
      </c>
      <c r="L78" s="23" t="str">
        <f>VLOOKUP(A78,'Customer-details'!$A$1:$C$1001,2,FALSE)</f>
        <v>Member</v>
      </c>
      <c r="M78" s="23" t="str">
        <f>VLOOKUP(A78,'Customer-details'!$A$1:$C$1001,3,FALSE)</f>
        <v>Male</v>
      </c>
      <c r="N78" s="23" t="str">
        <f>VLOOKUP(A78,'Product-details'!$A$1:$B$1001,2,FALSE)</f>
        <v>Fashion accessories</v>
      </c>
      <c r="O78" s="23" t="str">
        <f>VLOOKUP(A78,'City-details'!$A$1:$C$1001,3,FALSE)</f>
        <v>Naypyitaw</v>
      </c>
      <c r="P78" s="23" t="str">
        <f>VLOOKUP(A78,'City-details'!$A$1:$C$1001,2,FALSE)</f>
        <v>C</v>
      </c>
      <c r="Q78" s="23" t="str">
        <f t="shared" si="3"/>
        <v>Jan</v>
      </c>
      <c r="R78" s="26" t="str">
        <f t="shared" si="4"/>
        <v>Wed</v>
      </c>
      <c r="S78">
        <f t="shared" si="5"/>
        <v>17</v>
      </c>
      <c r="T78" t="str" cm="1">
        <f t="array" ref="T78">_xlfn.IFS(S78&lt;=12,"Morning",S78&lt;=16,"Afternoon",S78&lt;=21,"Evening",S78&lt;=24,"Night")</f>
        <v>Evening</v>
      </c>
    </row>
    <row r="79" spans="1:20" x14ac:dyDescent="0.25">
      <c r="A79" s="31" t="s">
        <v>113</v>
      </c>
      <c r="B79" s="27">
        <v>20.010000000000002</v>
      </c>
      <c r="C79" s="28">
        <v>9</v>
      </c>
      <c r="D79" s="27">
        <v>9.0045000000000002</v>
      </c>
      <c r="E79" s="27">
        <v>189.09450000000001</v>
      </c>
      <c r="F79" s="29">
        <v>43477</v>
      </c>
      <c r="G79" s="30">
        <v>3.75555555555556</v>
      </c>
      <c r="H79" s="31" t="s">
        <v>33</v>
      </c>
      <c r="I79" s="27">
        <v>180.09</v>
      </c>
      <c r="J79" s="32">
        <v>4.7619047620000003</v>
      </c>
      <c r="K79" s="33">
        <v>5.7</v>
      </c>
      <c r="L79" s="31" t="str">
        <f>VLOOKUP(A79,'Customer-details'!$A$1:$C$1001,2,FALSE)</f>
        <v>Member</v>
      </c>
      <c r="M79" s="31" t="str">
        <f>VLOOKUP(A79,'Customer-details'!$A$1:$C$1001,3,FALSE)</f>
        <v>Female</v>
      </c>
      <c r="N79" s="31" t="str">
        <f>VLOOKUP(A79,'Product-details'!$A$1:$B$1001,2,FALSE)</f>
        <v>Fashion accessories</v>
      </c>
      <c r="O79" s="31" t="str">
        <f>VLOOKUP(A79,'City-details'!$A$1:$C$1001,3,FALSE)</f>
        <v>Yangon</v>
      </c>
      <c r="P79" s="31" t="str">
        <f>VLOOKUP(A79,'City-details'!$A$1:$C$1001,2,FALSE)</f>
        <v>A</v>
      </c>
      <c r="Q79" s="31" t="str">
        <f t="shared" si="3"/>
        <v>Jan</v>
      </c>
      <c r="R79" s="34" t="str">
        <f t="shared" si="4"/>
        <v>Sat</v>
      </c>
      <c r="S79">
        <f t="shared" si="5"/>
        <v>18</v>
      </c>
      <c r="T79" t="str" cm="1">
        <f t="array" ref="T79">_xlfn.IFS(S79&lt;=12,"Morning",S79&lt;=16,"Afternoon",S79&lt;=21,"Evening",S79&lt;=24,"Night")</f>
        <v>Evening</v>
      </c>
    </row>
    <row r="80" spans="1:20" x14ac:dyDescent="0.25">
      <c r="A80" s="23" t="s">
        <v>114</v>
      </c>
      <c r="B80" s="19">
        <v>78.31</v>
      </c>
      <c r="C80" s="20">
        <v>10</v>
      </c>
      <c r="D80" s="19">
        <v>39.155000000000001</v>
      </c>
      <c r="E80" s="19">
        <v>822.255</v>
      </c>
      <c r="F80" s="21">
        <v>43529</v>
      </c>
      <c r="G80" s="22">
        <v>3.7972222222222198</v>
      </c>
      <c r="H80" s="23" t="s">
        <v>23</v>
      </c>
      <c r="I80" s="19">
        <v>783.1</v>
      </c>
      <c r="J80" s="24">
        <v>4.7619047620000003</v>
      </c>
      <c r="K80" s="25">
        <v>6.6</v>
      </c>
      <c r="L80" s="23" t="str">
        <f>VLOOKUP(A80,'Customer-details'!$A$1:$C$1001,2,FALSE)</f>
        <v>Member</v>
      </c>
      <c r="M80" s="23" t="str">
        <f>VLOOKUP(A80,'Customer-details'!$A$1:$C$1001,3,FALSE)</f>
        <v>Female</v>
      </c>
      <c r="N80" s="23" t="str">
        <f>VLOOKUP(A80,'Product-details'!$A$1:$B$1001,2,FALSE)</f>
        <v>Food and beverages</v>
      </c>
      <c r="O80" s="23" t="str">
        <f>VLOOKUP(A80,'City-details'!$A$1:$C$1001,3,FALSE)</f>
        <v>Naypyitaw</v>
      </c>
      <c r="P80" s="23" t="str">
        <f>VLOOKUP(A80,'City-details'!$A$1:$C$1001,2,FALSE)</f>
        <v>C</v>
      </c>
      <c r="Q80" s="23" t="str">
        <f t="shared" si="3"/>
        <v>Mar</v>
      </c>
      <c r="R80" s="26" t="str">
        <f t="shared" si="4"/>
        <v>Tue</v>
      </c>
      <c r="S80">
        <f t="shared" si="5"/>
        <v>19</v>
      </c>
      <c r="T80" t="str" cm="1">
        <f t="array" ref="T80">_xlfn.IFS(S80&lt;=12,"Morning",S80&lt;=16,"Afternoon",S80&lt;=21,"Evening",S80&lt;=24,"Night")</f>
        <v>Evening</v>
      </c>
    </row>
    <row r="81" spans="1:20" x14ac:dyDescent="0.25">
      <c r="A81" s="31" t="s">
        <v>115</v>
      </c>
      <c r="B81" s="27">
        <v>20.38</v>
      </c>
      <c r="C81" s="28">
        <v>5</v>
      </c>
      <c r="D81" s="27">
        <v>5.0949999999999998</v>
      </c>
      <c r="E81" s="27">
        <v>106.995</v>
      </c>
      <c r="F81" s="29">
        <v>43487</v>
      </c>
      <c r="G81" s="30">
        <v>3.8388888888888899</v>
      </c>
      <c r="H81" s="31" t="s">
        <v>29</v>
      </c>
      <c r="I81" s="27">
        <v>101.9</v>
      </c>
      <c r="J81" s="32">
        <v>4.7619047620000003</v>
      </c>
      <c r="K81" s="33">
        <v>6</v>
      </c>
      <c r="L81" s="31" t="str">
        <f>VLOOKUP(A81,'Customer-details'!$A$1:$C$1001,2,FALSE)</f>
        <v>Normal</v>
      </c>
      <c r="M81" s="31" t="str">
        <f>VLOOKUP(A81,'Customer-details'!$A$1:$C$1001,3,FALSE)</f>
        <v>Female</v>
      </c>
      <c r="N81" s="31" t="str">
        <f>VLOOKUP(A81,'Product-details'!$A$1:$B$1001,2,FALSE)</f>
        <v>Health and beauty</v>
      </c>
      <c r="O81" s="31" t="str">
        <f>VLOOKUP(A81,'City-details'!$A$1:$C$1001,3,FALSE)</f>
        <v>Naypyitaw</v>
      </c>
      <c r="P81" s="31" t="str">
        <f>VLOOKUP(A81,'City-details'!$A$1:$C$1001,2,FALSE)</f>
        <v>C</v>
      </c>
      <c r="Q81" s="31" t="str">
        <f t="shared" si="3"/>
        <v>Jan</v>
      </c>
      <c r="R81" s="34" t="str">
        <f t="shared" si="4"/>
        <v>Tue</v>
      </c>
      <c r="S81">
        <f t="shared" si="5"/>
        <v>20</v>
      </c>
      <c r="T81" t="str" cm="1">
        <f t="array" ref="T81">_xlfn.IFS(S81&lt;=12,"Morning",S81&lt;=16,"Afternoon",S81&lt;=21,"Evening",S81&lt;=24,"Night")</f>
        <v>Evening</v>
      </c>
    </row>
    <row r="82" spans="1:20" x14ac:dyDescent="0.25">
      <c r="A82" s="23" t="s">
        <v>116</v>
      </c>
      <c r="B82" s="19">
        <v>99.19</v>
      </c>
      <c r="C82" s="20">
        <v>6</v>
      </c>
      <c r="D82" s="19">
        <v>29.757000000000001</v>
      </c>
      <c r="E82" s="19">
        <v>624.89700000000005</v>
      </c>
      <c r="F82" s="21">
        <v>43486</v>
      </c>
      <c r="G82" s="22">
        <v>3.88055555555556</v>
      </c>
      <c r="H82" s="23" t="s">
        <v>33</v>
      </c>
      <c r="I82" s="19">
        <v>595.14</v>
      </c>
      <c r="J82" s="24">
        <v>4.7619047620000003</v>
      </c>
      <c r="K82" s="25">
        <v>5.5</v>
      </c>
      <c r="L82" s="23" t="str">
        <f>VLOOKUP(A82,'Customer-details'!$A$1:$C$1001,2,FALSE)</f>
        <v>Normal</v>
      </c>
      <c r="M82" s="23" t="str">
        <f>VLOOKUP(A82,'Customer-details'!$A$1:$C$1001,3,FALSE)</f>
        <v>Female</v>
      </c>
      <c r="N82" s="23" t="str">
        <f>VLOOKUP(A82,'Product-details'!$A$1:$B$1001,2,FALSE)</f>
        <v>Health and beauty</v>
      </c>
      <c r="O82" s="23" t="str">
        <f>VLOOKUP(A82,'City-details'!$A$1:$C$1001,3,FALSE)</f>
        <v>Naypyitaw</v>
      </c>
      <c r="P82" s="23" t="str">
        <f>VLOOKUP(A82,'City-details'!$A$1:$C$1001,2,FALSE)</f>
        <v>C</v>
      </c>
      <c r="Q82" s="23" t="str">
        <f t="shared" si="3"/>
        <v>Jan</v>
      </c>
      <c r="R82" s="26" t="str">
        <f t="shared" si="4"/>
        <v>Mon</v>
      </c>
      <c r="S82">
        <f t="shared" si="5"/>
        <v>21</v>
      </c>
      <c r="T82" t="str" cm="1">
        <f t="array" ref="T82">_xlfn.IFS(S82&lt;=12,"Morning",S82&lt;=16,"Afternoon",S82&lt;=21,"Evening",S82&lt;=24,"Night")</f>
        <v>Evening</v>
      </c>
    </row>
    <row r="83" spans="1:20" x14ac:dyDescent="0.25">
      <c r="A83" s="31" t="s">
        <v>117</v>
      </c>
      <c r="B83" s="27">
        <v>96.68</v>
      </c>
      <c r="C83" s="28">
        <v>3</v>
      </c>
      <c r="D83" s="27">
        <v>14.502000000000001</v>
      </c>
      <c r="E83" s="27">
        <v>304.54199999999997</v>
      </c>
      <c r="F83" s="29">
        <v>43491</v>
      </c>
      <c r="G83" s="30">
        <v>3.9222222222222198</v>
      </c>
      <c r="H83" s="31" t="s">
        <v>23</v>
      </c>
      <c r="I83" s="27">
        <v>290.04000000000002</v>
      </c>
      <c r="J83" s="32">
        <v>4.7619047620000003</v>
      </c>
      <c r="K83" s="33">
        <v>6.4</v>
      </c>
      <c r="L83" s="31" t="str">
        <f>VLOOKUP(A83,'Customer-details'!$A$1:$C$1001,2,FALSE)</f>
        <v>Normal</v>
      </c>
      <c r="M83" s="31" t="str">
        <f>VLOOKUP(A83,'Customer-details'!$A$1:$C$1001,3,FALSE)</f>
        <v>Female</v>
      </c>
      <c r="N83" s="31" t="str">
        <f>VLOOKUP(A83,'Product-details'!$A$1:$B$1001,2,FALSE)</f>
        <v>Food and beverages</v>
      </c>
      <c r="O83" s="31" t="str">
        <f>VLOOKUP(A83,'City-details'!$A$1:$C$1001,3,FALSE)</f>
        <v>Mandalay</v>
      </c>
      <c r="P83" s="31" t="str">
        <f>VLOOKUP(A83,'City-details'!$A$1:$C$1001,2,FALSE)</f>
        <v>B</v>
      </c>
      <c r="Q83" s="31" t="str">
        <f t="shared" si="3"/>
        <v>Jan</v>
      </c>
      <c r="R83" s="34" t="str">
        <f t="shared" si="4"/>
        <v>Sat</v>
      </c>
      <c r="S83">
        <f t="shared" si="5"/>
        <v>22</v>
      </c>
      <c r="T83" t="str" cm="1">
        <f t="array" ref="T83">_xlfn.IFS(S83&lt;=12,"Morning",S83&lt;=16,"Afternoon",S83&lt;=21,"Evening",S83&lt;=24,"Night")</f>
        <v>Night</v>
      </c>
    </row>
    <row r="84" spans="1:20" x14ac:dyDescent="0.25">
      <c r="A84" s="23" t="s">
        <v>118</v>
      </c>
      <c r="B84" s="19">
        <v>19.25</v>
      </c>
      <c r="C84" s="20">
        <v>8</v>
      </c>
      <c r="D84" s="19">
        <v>7.7</v>
      </c>
      <c r="E84" s="19">
        <v>161.69999999999999</v>
      </c>
      <c r="F84" s="21">
        <v>43488</v>
      </c>
      <c r="G84" s="22">
        <v>3.9638888888888899</v>
      </c>
      <c r="H84" s="23" t="s">
        <v>23</v>
      </c>
      <c r="I84" s="19">
        <v>154</v>
      </c>
      <c r="J84" s="24">
        <v>4.7619047620000003</v>
      </c>
      <c r="K84" s="25">
        <v>6.6</v>
      </c>
      <c r="L84" s="23" t="str">
        <f>VLOOKUP(A84,'Customer-details'!$A$1:$C$1001,2,FALSE)</f>
        <v>Normal</v>
      </c>
      <c r="M84" s="23" t="str">
        <f>VLOOKUP(A84,'Customer-details'!$A$1:$C$1001,3,FALSE)</f>
        <v>Male</v>
      </c>
      <c r="N84" s="23" t="str">
        <f>VLOOKUP(A84,'Product-details'!$A$1:$B$1001,2,FALSE)</f>
        <v>Food and beverages</v>
      </c>
      <c r="O84" s="23" t="str">
        <f>VLOOKUP(A84,'City-details'!$A$1:$C$1001,3,FALSE)</f>
        <v>Naypyitaw</v>
      </c>
      <c r="P84" s="23" t="str">
        <f>VLOOKUP(A84,'City-details'!$A$1:$C$1001,2,FALSE)</f>
        <v>C</v>
      </c>
      <c r="Q84" s="23" t="str">
        <f t="shared" si="3"/>
        <v>Jan</v>
      </c>
      <c r="R84" s="26" t="str">
        <f t="shared" si="4"/>
        <v>Wed</v>
      </c>
      <c r="S84">
        <f t="shared" si="5"/>
        <v>23</v>
      </c>
      <c r="T84" t="str" cm="1">
        <f t="array" ref="T84">_xlfn.IFS(S84&lt;=12,"Morning",S84&lt;=16,"Afternoon",S84&lt;=21,"Evening",S84&lt;=24,"Night")</f>
        <v>Night</v>
      </c>
    </row>
    <row r="85" spans="1:20" x14ac:dyDescent="0.25">
      <c r="A85" s="31" t="s">
        <v>119</v>
      </c>
      <c r="B85" s="27">
        <v>80.36</v>
      </c>
      <c r="C85" s="28">
        <v>4</v>
      </c>
      <c r="D85" s="27">
        <v>16.071999999999999</v>
      </c>
      <c r="E85" s="27">
        <v>337.512</v>
      </c>
      <c r="F85" s="29">
        <v>43519</v>
      </c>
      <c r="G85" s="30">
        <v>4.00555555555556</v>
      </c>
      <c r="H85" s="31" t="s">
        <v>33</v>
      </c>
      <c r="I85" s="27">
        <v>321.44</v>
      </c>
      <c r="J85" s="32">
        <v>4.7619047620000003</v>
      </c>
      <c r="K85" s="33">
        <v>8.3000000000000007</v>
      </c>
      <c r="L85" s="31" t="str">
        <f>VLOOKUP(A85,'Customer-details'!$A$1:$C$1001,2,FALSE)</f>
        <v>Member</v>
      </c>
      <c r="M85" s="31" t="str">
        <f>VLOOKUP(A85,'Customer-details'!$A$1:$C$1001,3,FALSE)</f>
        <v>Female</v>
      </c>
      <c r="N85" s="31" t="str">
        <f>VLOOKUP(A85,'Product-details'!$A$1:$B$1001,2,FALSE)</f>
        <v>Food and beverages</v>
      </c>
      <c r="O85" s="31" t="str">
        <f>VLOOKUP(A85,'City-details'!$A$1:$C$1001,3,FALSE)</f>
        <v>Naypyitaw</v>
      </c>
      <c r="P85" s="31" t="str">
        <f>VLOOKUP(A85,'City-details'!$A$1:$C$1001,2,FALSE)</f>
        <v>C</v>
      </c>
      <c r="Q85" s="31" t="str">
        <f t="shared" si="3"/>
        <v>Feb</v>
      </c>
      <c r="R85" s="34" t="str">
        <f t="shared" si="4"/>
        <v>Sat</v>
      </c>
      <c r="S85">
        <f t="shared" si="5"/>
        <v>0</v>
      </c>
      <c r="T85" t="str" cm="1">
        <f t="array" ref="T85">_xlfn.IFS(S85&lt;=12,"Morning",S85&lt;=16,"Afternoon",S85&lt;=21,"Evening",S85&lt;=24,"Night")</f>
        <v>Morning</v>
      </c>
    </row>
    <row r="86" spans="1:20" x14ac:dyDescent="0.25">
      <c r="A86" s="23" t="s">
        <v>120</v>
      </c>
      <c r="B86" s="19">
        <v>48.91</v>
      </c>
      <c r="C86" s="20">
        <v>5</v>
      </c>
      <c r="D86" s="19">
        <v>12.227499999999999</v>
      </c>
      <c r="E86" s="19">
        <v>256.77749999999997</v>
      </c>
      <c r="F86" s="21">
        <v>43533</v>
      </c>
      <c r="G86" s="22">
        <v>4.0472222222222198</v>
      </c>
      <c r="H86" s="23" t="s">
        <v>29</v>
      </c>
      <c r="I86" s="19">
        <v>244.55</v>
      </c>
      <c r="J86" s="24">
        <v>4.7619047620000003</v>
      </c>
      <c r="K86" s="25">
        <v>6.6</v>
      </c>
      <c r="L86" s="23" t="str">
        <f>VLOOKUP(A86,'Customer-details'!$A$1:$C$1001,2,FALSE)</f>
        <v>Member</v>
      </c>
      <c r="M86" s="23" t="str">
        <f>VLOOKUP(A86,'Customer-details'!$A$1:$C$1001,3,FALSE)</f>
        <v>Male</v>
      </c>
      <c r="N86" s="23" t="str">
        <f>VLOOKUP(A86,'Product-details'!$A$1:$B$1001,2,FALSE)</f>
        <v>Sports and travel</v>
      </c>
      <c r="O86" s="23" t="str">
        <f>VLOOKUP(A86,'City-details'!$A$1:$C$1001,3,FALSE)</f>
        <v>Naypyitaw</v>
      </c>
      <c r="P86" s="23" t="str">
        <f>VLOOKUP(A86,'City-details'!$A$1:$C$1001,2,FALSE)</f>
        <v>C</v>
      </c>
      <c r="Q86" s="23" t="str">
        <f t="shared" si="3"/>
        <v>Mar</v>
      </c>
      <c r="R86" s="26" t="str">
        <f t="shared" si="4"/>
        <v>Sat</v>
      </c>
      <c r="S86">
        <f t="shared" si="5"/>
        <v>1</v>
      </c>
      <c r="T86" t="str" cm="1">
        <f t="array" ref="T86">_xlfn.IFS(S86&lt;=12,"Morning",S86&lt;=16,"Afternoon",S86&lt;=21,"Evening",S86&lt;=24,"Night")</f>
        <v>Morning</v>
      </c>
    </row>
    <row r="87" spans="1:20" x14ac:dyDescent="0.25">
      <c r="A87" s="31" t="s">
        <v>121</v>
      </c>
      <c r="B87" s="27">
        <v>83.06</v>
      </c>
      <c r="C87" s="28">
        <v>7</v>
      </c>
      <c r="D87" s="27">
        <v>29.071000000000002</v>
      </c>
      <c r="E87" s="27">
        <v>610.49099999999999</v>
      </c>
      <c r="F87" s="29">
        <v>43529</v>
      </c>
      <c r="G87" s="30">
        <v>4.0888888888888903</v>
      </c>
      <c r="H87" s="31" t="s">
        <v>23</v>
      </c>
      <c r="I87" s="27">
        <v>581.41999999999996</v>
      </c>
      <c r="J87" s="32">
        <v>4.7619047620000003</v>
      </c>
      <c r="K87" s="33">
        <v>4</v>
      </c>
      <c r="L87" s="31" t="str">
        <f>VLOOKUP(A87,'Customer-details'!$A$1:$C$1001,2,FALSE)</f>
        <v>Normal</v>
      </c>
      <c r="M87" s="31" t="str">
        <f>VLOOKUP(A87,'Customer-details'!$A$1:$C$1001,3,FALSE)</f>
        <v>Female</v>
      </c>
      <c r="N87" s="31" t="str">
        <f>VLOOKUP(A87,'Product-details'!$A$1:$B$1001,2,FALSE)</f>
        <v>Sports and travel</v>
      </c>
      <c r="O87" s="31" t="str">
        <f>VLOOKUP(A87,'City-details'!$A$1:$C$1001,3,FALSE)</f>
        <v>Naypyitaw</v>
      </c>
      <c r="P87" s="31" t="str">
        <f>VLOOKUP(A87,'City-details'!$A$1:$C$1001,2,FALSE)</f>
        <v>C</v>
      </c>
      <c r="Q87" s="31" t="str">
        <f t="shared" si="3"/>
        <v>Mar</v>
      </c>
      <c r="R87" s="34" t="str">
        <f t="shared" si="4"/>
        <v>Tue</v>
      </c>
      <c r="S87">
        <f t="shared" si="5"/>
        <v>2</v>
      </c>
      <c r="T87" t="str" cm="1">
        <f t="array" ref="T87">_xlfn.IFS(S87&lt;=12,"Morning",S87&lt;=16,"Afternoon",S87&lt;=21,"Evening",S87&lt;=24,"Night")</f>
        <v>Morning</v>
      </c>
    </row>
    <row r="88" spans="1:20" x14ac:dyDescent="0.25">
      <c r="A88" s="23" t="s">
        <v>122</v>
      </c>
      <c r="B88" s="19">
        <v>76.52</v>
      </c>
      <c r="C88" s="20">
        <v>5</v>
      </c>
      <c r="D88" s="19">
        <v>19.13</v>
      </c>
      <c r="E88" s="19">
        <v>401.73</v>
      </c>
      <c r="F88" s="21">
        <v>43549</v>
      </c>
      <c r="G88" s="22">
        <v>4.13055555555556</v>
      </c>
      <c r="H88" s="23" t="s">
        <v>29</v>
      </c>
      <c r="I88" s="19">
        <v>382.6</v>
      </c>
      <c r="J88" s="24">
        <v>4.7619047620000003</v>
      </c>
      <c r="K88" s="25">
        <v>9.9</v>
      </c>
      <c r="L88" s="23" t="str">
        <f>VLOOKUP(A88,'Customer-details'!$A$1:$C$1001,2,FALSE)</f>
        <v>Normal</v>
      </c>
      <c r="M88" s="23" t="str">
        <f>VLOOKUP(A88,'Customer-details'!$A$1:$C$1001,3,FALSE)</f>
        <v>Male</v>
      </c>
      <c r="N88" s="23" t="str">
        <f>VLOOKUP(A88,'Product-details'!$A$1:$B$1001,2,FALSE)</f>
        <v>Fashion accessories</v>
      </c>
      <c r="O88" s="23" t="str">
        <f>VLOOKUP(A88,'City-details'!$A$1:$C$1001,3,FALSE)</f>
        <v>Naypyitaw</v>
      </c>
      <c r="P88" s="23" t="str">
        <f>VLOOKUP(A88,'City-details'!$A$1:$C$1001,2,FALSE)</f>
        <v>C</v>
      </c>
      <c r="Q88" s="23" t="str">
        <f t="shared" si="3"/>
        <v>Mar</v>
      </c>
      <c r="R88" s="26" t="str">
        <f t="shared" si="4"/>
        <v>Mon</v>
      </c>
      <c r="S88">
        <f t="shared" si="5"/>
        <v>3</v>
      </c>
      <c r="T88" t="str" cm="1">
        <f t="array" ref="T88">_xlfn.IFS(S88&lt;=12,"Morning",S88&lt;=16,"Afternoon",S88&lt;=21,"Evening",S88&lt;=24,"Night")</f>
        <v>Morning</v>
      </c>
    </row>
    <row r="89" spans="1:20" x14ac:dyDescent="0.25">
      <c r="A89" s="31" t="s">
        <v>123</v>
      </c>
      <c r="B89" s="27">
        <v>49.38</v>
      </c>
      <c r="C89" s="28">
        <v>7</v>
      </c>
      <c r="D89" s="27">
        <v>17.283000000000001</v>
      </c>
      <c r="E89" s="27">
        <v>362.94299999999998</v>
      </c>
      <c r="F89" s="29">
        <v>43551</v>
      </c>
      <c r="G89" s="30">
        <v>4.1722222222222198</v>
      </c>
      <c r="H89" s="31" t="s">
        <v>33</v>
      </c>
      <c r="I89" s="27">
        <v>345.66</v>
      </c>
      <c r="J89" s="32">
        <v>4.7619047620000003</v>
      </c>
      <c r="K89" s="33">
        <v>7.3</v>
      </c>
      <c r="L89" s="31" t="str">
        <f>VLOOKUP(A89,'Customer-details'!$A$1:$C$1001,2,FALSE)</f>
        <v>Member</v>
      </c>
      <c r="M89" s="31" t="str">
        <f>VLOOKUP(A89,'Customer-details'!$A$1:$C$1001,3,FALSE)</f>
        <v>Male</v>
      </c>
      <c r="N89" s="31" t="str">
        <f>VLOOKUP(A89,'Product-details'!$A$1:$B$1001,2,FALSE)</f>
        <v>Food and beverages</v>
      </c>
      <c r="O89" s="31" t="str">
        <f>VLOOKUP(A89,'City-details'!$A$1:$C$1001,3,FALSE)</f>
        <v>Yangon</v>
      </c>
      <c r="P89" s="31" t="str">
        <f>VLOOKUP(A89,'City-details'!$A$1:$C$1001,2,FALSE)</f>
        <v>A</v>
      </c>
      <c r="Q89" s="31" t="str">
        <f t="shared" si="3"/>
        <v>Mar</v>
      </c>
      <c r="R89" s="34" t="str">
        <f t="shared" si="4"/>
        <v>Wed</v>
      </c>
      <c r="S89">
        <f t="shared" si="5"/>
        <v>4</v>
      </c>
      <c r="T89" t="str" cm="1">
        <f t="array" ref="T89">_xlfn.IFS(S89&lt;=12,"Morning",S89&lt;=16,"Afternoon",S89&lt;=21,"Evening",S89&lt;=24,"Night")</f>
        <v>Morning</v>
      </c>
    </row>
    <row r="90" spans="1:20" x14ac:dyDescent="0.25">
      <c r="A90" s="23" t="s">
        <v>124</v>
      </c>
      <c r="B90" s="19">
        <v>42.47</v>
      </c>
      <c r="C90" s="20">
        <v>1</v>
      </c>
      <c r="D90" s="19">
        <v>2.1234999999999999</v>
      </c>
      <c r="E90" s="19">
        <v>44.593499999999999</v>
      </c>
      <c r="F90" s="21">
        <v>43467</v>
      </c>
      <c r="G90" s="22">
        <v>4.2138888888888903</v>
      </c>
      <c r="H90" s="23" t="s">
        <v>29</v>
      </c>
      <c r="I90" s="19">
        <v>42.47</v>
      </c>
      <c r="J90" s="24">
        <v>4.7619047620000003</v>
      </c>
      <c r="K90" s="25">
        <v>5.7</v>
      </c>
      <c r="L90" s="23" t="str">
        <f>VLOOKUP(A90,'Customer-details'!$A$1:$C$1001,2,FALSE)</f>
        <v>Normal</v>
      </c>
      <c r="M90" s="23" t="str">
        <f>VLOOKUP(A90,'Customer-details'!$A$1:$C$1001,3,FALSE)</f>
        <v>Male</v>
      </c>
      <c r="N90" s="23" t="str">
        <f>VLOOKUP(A90,'Product-details'!$A$1:$B$1001,2,FALSE)</f>
        <v>Sports and travel</v>
      </c>
      <c r="O90" s="23" t="str">
        <f>VLOOKUP(A90,'City-details'!$A$1:$C$1001,3,FALSE)</f>
        <v>Yangon</v>
      </c>
      <c r="P90" s="23" t="str">
        <f>VLOOKUP(A90,'City-details'!$A$1:$C$1001,2,FALSE)</f>
        <v>A</v>
      </c>
      <c r="Q90" s="23" t="str">
        <f t="shared" si="3"/>
        <v>Jan</v>
      </c>
      <c r="R90" s="26" t="str">
        <f t="shared" si="4"/>
        <v>Wed</v>
      </c>
      <c r="S90">
        <f t="shared" si="5"/>
        <v>5</v>
      </c>
      <c r="T90" t="str" cm="1">
        <f t="array" ref="T90">_xlfn.IFS(S90&lt;=12,"Morning",S90&lt;=16,"Afternoon",S90&lt;=21,"Evening",S90&lt;=24,"Night")</f>
        <v>Morning</v>
      </c>
    </row>
    <row r="91" spans="1:20" x14ac:dyDescent="0.25">
      <c r="A91" s="31" t="s">
        <v>125</v>
      </c>
      <c r="B91" s="27">
        <v>76.989999999999995</v>
      </c>
      <c r="C91" s="28">
        <v>6</v>
      </c>
      <c r="D91" s="27">
        <v>23.097000000000001</v>
      </c>
      <c r="E91" s="27">
        <v>485.03699999999998</v>
      </c>
      <c r="F91" s="29">
        <v>43523</v>
      </c>
      <c r="G91" s="30">
        <v>4.25555555555556</v>
      </c>
      <c r="H91" s="31" t="s">
        <v>29</v>
      </c>
      <c r="I91" s="27">
        <v>461.94</v>
      </c>
      <c r="J91" s="32">
        <v>4.7619047620000003</v>
      </c>
      <c r="K91" s="33">
        <v>6.1</v>
      </c>
      <c r="L91" s="31" t="str">
        <f>VLOOKUP(A91,'Customer-details'!$A$1:$C$1001,2,FALSE)</f>
        <v>Normal</v>
      </c>
      <c r="M91" s="31" t="str">
        <f>VLOOKUP(A91,'Customer-details'!$A$1:$C$1001,3,FALSE)</f>
        <v>Female</v>
      </c>
      <c r="N91" s="31" t="str">
        <f>VLOOKUP(A91,'Product-details'!$A$1:$B$1001,2,FALSE)</f>
        <v>Health and beauty</v>
      </c>
      <c r="O91" s="31" t="str">
        <f>VLOOKUP(A91,'City-details'!$A$1:$C$1001,3,FALSE)</f>
        <v>Mandalay</v>
      </c>
      <c r="P91" s="31" t="str">
        <f>VLOOKUP(A91,'City-details'!$A$1:$C$1001,2,FALSE)</f>
        <v>B</v>
      </c>
      <c r="Q91" s="31" t="str">
        <f t="shared" si="3"/>
        <v>Feb</v>
      </c>
      <c r="R91" s="34" t="str">
        <f t="shared" si="4"/>
        <v>Wed</v>
      </c>
      <c r="S91">
        <f t="shared" si="5"/>
        <v>6</v>
      </c>
      <c r="T91" t="str" cm="1">
        <f t="array" ref="T91">_xlfn.IFS(S91&lt;=12,"Morning",S91&lt;=16,"Afternoon",S91&lt;=21,"Evening",S91&lt;=24,"Night")</f>
        <v>Morning</v>
      </c>
    </row>
    <row r="92" spans="1:20" x14ac:dyDescent="0.25">
      <c r="A92" s="23" t="s">
        <v>126</v>
      </c>
      <c r="B92" s="19">
        <v>47.38</v>
      </c>
      <c r="C92" s="20">
        <v>4</v>
      </c>
      <c r="D92" s="19">
        <v>9.4760000000000009</v>
      </c>
      <c r="E92" s="19">
        <v>198.99600000000001</v>
      </c>
      <c r="F92" s="21">
        <v>43488</v>
      </c>
      <c r="G92" s="22">
        <v>4.2972222222222198</v>
      </c>
      <c r="H92" s="23" t="s">
        <v>29</v>
      </c>
      <c r="I92" s="19">
        <v>189.52</v>
      </c>
      <c r="J92" s="24">
        <v>4.7619047620000003</v>
      </c>
      <c r="K92" s="25">
        <v>7.1</v>
      </c>
      <c r="L92" s="23" t="str">
        <f>VLOOKUP(A92,'Customer-details'!$A$1:$C$1001,2,FALSE)</f>
        <v>Member</v>
      </c>
      <c r="M92" s="23" t="str">
        <f>VLOOKUP(A92,'Customer-details'!$A$1:$C$1001,3,FALSE)</f>
        <v>Female</v>
      </c>
      <c r="N92" s="23" t="str">
        <f>VLOOKUP(A92,'Product-details'!$A$1:$B$1001,2,FALSE)</f>
        <v>Home and lifestyle</v>
      </c>
      <c r="O92" s="23" t="str">
        <f>VLOOKUP(A92,'City-details'!$A$1:$C$1001,3,FALSE)</f>
        <v>Naypyitaw</v>
      </c>
      <c r="P92" s="23" t="str">
        <f>VLOOKUP(A92,'City-details'!$A$1:$C$1001,2,FALSE)</f>
        <v>C</v>
      </c>
      <c r="Q92" s="23" t="str">
        <f t="shared" si="3"/>
        <v>Jan</v>
      </c>
      <c r="R92" s="26" t="str">
        <f t="shared" si="4"/>
        <v>Wed</v>
      </c>
      <c r="S92">
        <f t="shared" si="5"/>
        <v>7</v>
      </c>
      <c r="T92" t="str" cm="1">
        <f t="array" ref="T92">_xlfn.IFS(S92&lt;=12,"Morning",S92&lt;=16,"Afternoon",S92&lt;=21,"Evening",S92&lt;=24,"Night")</f>
        <v>Morning</v>
      </c>
    </row>
    <row r="93" spans="1:20" x14ac:dyDescent="0.25">
      <c r="A93" s="31" t="s">
        <v>127</v>
      </c>
      <c r="B93" s="27">
        <v>44.86</v>
      </c>
      <c r="C93" s="28">
        <v>10</v>
      </c>
      <c r="D93" s="27">
        <v>22.43</v>
      </c>
      <c r="E93" s="27">
        <v>471.03</v>
      </c>
      <c r="F93" s="29">
        <v>43491</v>
      </c>
      <c r="G93" s="30">
        <v>4.3388888888888903</v>
      </c>
      <c r="H93" s="31" t="s">
        <v>23</v>
      </c>
      <c r="I93" s="27">
        <v>448.6</v>
      </c>
      <c r="J93" s="32">
        <v>4.7619047620000003</v>
      </c>
      <c r="K93" s="33">
        <v>8.1999999999999993</v>
      </c>
      <c r="L93" s="31" t="str">
        <f>VLOOKUP(A93,'Customer-details'!$A$1:$C$1001,2,FALSE)</f>
        <v>Normal</v>
      </c>
      <c r="M93" s="31" t="str">
        <f>VLOOKUP(A93,'Customer-details'!$A$1:$C$1001,3,FALSE)</f>
        <v>Female</v>
      </c>
      <c r="N93" s="31" t="str">
        <f>VLOOKUP(A93,'Product-details'!$A$1:$B$1001,2,FALSE)</f>
        <v>Sports and travel</v>
      </c>
      <c r="O93" s="31" t="str">
        <f>VLOOKUP(A93,'City-details'!$A$1:$C$1001,3,FALSE)</f>
        <v>Naypyitaw</v>
      </c>
      <c r="P93" s="31" t="str">
        <f>VLOOKUP(A93,'City-details'!$A$1:$C$1001,2,FALSE)</f>
        <v>C</v>
      </c>
      <c r="Q93" s="31" t="str">
        <f t="shared" si="3"/>
        <v>Jan</v>
      </c>
      <c r="R93" s="34" t="str">
        <f t="shared" si="4"/>
        <v>Sat</v>
      </c>
      <c r="S93">
        <f t="shared" si="5"/>
        <v>8</v>
      </c>
      <c r="T93" t="str" cm="1">
        <f t="array" ref="T93">_xlfn.IFS(S93&lt;=12,"Morning",S93&lt;=16,"Afternoon",S93&lt;=21,"Evening",S93&lt;=24,"Night")</f>
        <v>Morning</v>
      </c>
    </row>
    <row r="94" spans="1:20" x14ac:dyDescent="0.25">
      <c r="A94" s="23" t="s">
        <v>128</v>
      </c>
      <c r="B94" s="19">
        <v>21.98</v>
      </c>
      <c r="C94" s="20">
        <v>7</v>
      </c>
      <c r="D94" s="19">
        <v>7.6929999999999996</v>
      </c>
      <c r="E94" s="19">
        <v>161.553</v>
      </c>
      <c r="F94" s="21">
        <v>43475</v>
      </c>
      <c r="G94" s="22">
        <v>4.38055555555556</v>
      </c>
      <c r="H94" s="23" t="s">
        <v>23</v>
      </c>
      <c r="I94" s="19">
        <v>153.86000000000001</v>
      </c>
      <c r="J94" s="24">
        <v>4.7619047620000003</v>
      </c>
      <c r="K94" s="25">
        <v>5.0999999999999996</v>
      </c>
      <c r="L94" s="23" t="str">
        <f>VLOOKUP(A94,'Customer-details'!$A$1:$C$1001,2,FALSE)</f>
        <v>Member</v>
      </c>
      <c r="M94" s="23" t="str">
        <f>VLOOKUP(A94,'Customer-details'!$A$1:$C$1001,3,FALSE)</f>
        <v>Female</v>
      </c>
      <c r="N94" s="23" t="str">
        <f>VLOOKUP(A94,'Product-details'!$A$1:$B$1001,2,FALSE)</f>
        <v>Sports and travel</v>
      </c>
      <c r="O94" s="23" t="str">
        <f>VLOOKUP(A94,'City-details'!$A$1:$C$1001,3,FALSE)</f>
        <v>Yangon</v>
      </c>
      <c r="P94" s="23" t="str">
        <f>VLOOKUP(A94,'City-details'!$A$1:$C$1001,2,FALSE)</f>
        <v>A</v>
      </c>
      <c r="Q94" s="23" t="str">
        <f t="shared" si="3"/>
        <v>Jan</v>
      </c>
      <c r="R94" s="26" t="str">
        <f t="shared" si="4"/>
        <v>Thu</v>
      </c>
      <c r="S94">
        <f t="shared" si="5"/>
        <v>9</v>
      </c>
      <c r="T94" t="str" cm="1">
        <f t="array" ref="T94">_xlfn.IFS(S94&lt;=12,"Morning",S94&lt;=16,"Afternoon",S94&lt;=21,"Evening",S94&lt;=24,"Night")</f>
        <v>Morning</v>
      </c>
    </row>
    <row r="95" spans="1:20" x14ac:dyDescent="0.25">
      <c r="A95" s="31" t="s">
        <v>129</v>
      </c>
      <c r="B95" s="27">
        <v>64.36</v>
      </c>
      <c r="C95" s="28">
        <v>9</v>
      </c>
      <c r="D95" s="27">
        <v>28.962</v>
      </c>
      <c r="E95" s="27">
        <v>608.202</v>
      </c>
      <c r="F95" s="29">
        <v>43536</v>
      </c>
      <c r="G95" s="30">
        <v>4.4222222222222198</v>
      </c>
      <c r="H95" s="31" t="s">
        <v>33</v>
      </c>
      <c r="I95" s="27">
        <v>579.24</v>
      </c>
      <c r="J95" s="32">
        <v>4.7619047620000003</v>
      </c>
      <c r="K95" s="33">
        <v>8.6</v>
      </c>
      <c r="L95" s="31" t="str">
        <f>VLOOKUP(A95,'Customer-details'!$A$1:$C$1001,2,FALSE)</f>
        <v>Member</v>
      </c>
      <c r="M95" s="31" t="str">
        <f>VLOOKUP(A95,'Customer-details'!$A$1:$C$1001,3,FALSE)</f>
        <v>Male</v>
      </c>
      <c r="N95" s="31" t="str">
        <f>VLOOKUP(A95,'Product-details'!$A$1:$B$1001,2,FALSE)</f>
        <v>Health and beauty</v>
      </c>
      <c r="O95" s="31" t="str">
        <f>VLOOKUP(A95,'City-details'!$A$1:$C$1001,3,FALSE)</f>
        <v>Mandalay</v>
      </c>
      <c r="P95" s="31" t="str">
        <f>VLOOKUP(A95,'City-details'!$A$1:$C$1001,2,FALSE)</f>
        <v>B</v>
      </c>
      <c r="Q95" s="31" t="str">
        <f t="shared" si="3"/>
        <v>Mar</v>
      </c>
      <c r="R95" s="34" t="str">
        <f t="shared" si="4"/>
        <v>Tue</v>
      </c>
      <c r="S95">
        <f t="shared" si="5"/>
        <v>10</v>
      </c>
      <c r="T95" t="str" cm="1">
        <f t="array" ref="T95">_xlfn.IFS(S95&lt;=12,"Morning",S95&lt;=16,"Afternoon",S95&lt;=21,"Evening",S95&lt;=24,"Night")</f>
        <v>Morning</v>
      </c>
    </row>
    <row r="96" spans="1:20" x14ac:dyDescent="0.25">
      <c r="A96" s="23" t="s">
        <v>130</v>
      </c>
      <c r="B96" s="19">
        <v>89.75</v>
      </c>
      <c r="C96" s="20">
        <v>1</v>
      </c>
      <c r="D96" s="19">
        <v>4.4874999999999998</v>
      </c>
      <c r="E96" s="19">
        <v>94.237499999999997</v>
      </c>
      <c r="F96" s="21">
        <v>43502</v>
      </c>
      <c r="G96" s="22">
        <v>4.4638888888888903</v>
      </c>
      <c r="H96" s="23" t="s">
        <v>33</v>
      </c>
      <c r="I96" s="19">
        <v>89.75</v>
      </c>
      <c r="J96" s="24">
        <v>4.7619047620000003</v>
      </c>
      <c r="K96" s="25">
        <v>6.6</v>
      </c>
      <c r="L96" s="23" t="str">
        <f>VLOOKUP(A96,'Customer-details'!$A$1:$C$1001,2,FALSE)</f>
        <v>Normal</v>
      </c>
      <c r="M96" s="23" t="str">
        <f>VLOOKUP(A96,'Customer-details'!$A$1:$C$1001,3,FALSE)</f>
        <v>Male</v>
      </c>
      <c r="N96" s="23" t="str">
        <f>VLOOKUP(A96,'Product-details'!$A$1:$B$1001,2,FALSE)</f>
        <v>Health and beauty</v>
      </c>
      <c r="O96" s="23" t="str">
        <f>VLOOKUP(A96,'City-details'!$A$1:$C$1001,3,FALSE)</f>
        <v>Naypyitaw</v>
      </c>
      <c r="P96" s="23" t="str">
        <f>VLOOKUP(A96,'City-details'!$A$1:$C$1001,2,FALSE)</f>
        <v>C</v>
      </c>
      <c r="Q96" s="23" t="str">
        <f t="shared" si="3"/>
        <v>Feb</v>
      </c>
      <c r="R96" s="26" t="str">
        <f t="shared" si="4"/>
        <v>Wed</v>
      </c>
      <c r="S96">
        <f t="shared" si="5"/>
        <v>11</v>
      </c>
      <c r="T96" t="str" cm="1">
        <f t="array" ref="T96">_xlfn.IFS(S96&lt;=12,"Morning",S96&lt;=16,"Afternoon",S96&lt;=21,"Evening",S96&lt;=24,"Night")</f>
        <v>Morning</v>
      </c>
    </row>
    <row r="97" spans="1:20" x14ac:dyDescent="0.25">
      <c r="A97" s="31" t="s">
        <v>131</v>
      </c>
      <c r="B97" s="27">
        <v>97.16</v>
      </c>
      <c r="C97" s="28">
        <v>1</v>
      </c>
      <c r="D97" s="27">
        <v>4.8579999999999997</v>
      </c>
      <c r="E97" s="27">
        <v>102.018</v>
      </c>
      <c r="F97" s="29">
        <v>43532</v>
      </c>
      <c r="G97" s="30">
        <v>4.50555555555556</v>
      </c>
      <c r="H97" s="31" t="s">
        <v>23</v>
      </c>
      <c r="I97" s="27">
        <v>97.16</v>
      </c>
      <c r="J97" s="32">
        <v>4.7619047620000003</v>
      </c>
      <c r="K97" s="33">
        <v>7.2</v>
      </c>
      <c r="L97" s="31" t="str">
        <f>VLOOKUP(A97,'Customer-details'!$A$1:$C$1001,2,FALSE)</f>
        <v>Normal</v>
      </c>
      <c r="M97" s="31" t="str">
        <f>VLOOKUP(A97,'Customer-details'!$A$1:$C$1001,3,FALSE)</f>
        <v>Male</v>
      </c>
      <c r="N97" s="31" t="str">
        <f>VLOOKUP(A97,'Product-details'!$A$1:$B$1001,2,FALSE)</f>
        <v>Electronic accessories</v>
      </c>
      <c r="O97" s="31" t="str">
        <f>VLOOKUP(A97,'City-details'!$A$1:$C$1001,3,FALSE)</f>
        <v>Yangon</v>
      </c>
      <c r="P97" s="31" t="str">
        <f>VLOOKUP(A97,'City-details'!$A$1:$C$1001,2,FALSE)</f>
        <v>A</v>
      </c>
      <c r="Q97" s="31" t="str">
        <f t="shared" si="3"/>
        <v>Mar</v>
      </c>
      <c r="R97" s="34" t="str">
        <f t="shared" si="4"/>
        <v>Fri</v>
      </c>
      <c r="S97">
        <f t="shared" si="5"/>
        <v>12</v>
      </c>
      <c r="T97" t="str" cm="1">
        <f t="array" ref="T97">_xlfn.IFS(S97&lt;=12,"Morning",S97&lt;=16,"Afternoon",S97&lt;=21,"Evening",S97&lt;=24,"Night")</f>
        <v>Morning</v>
      </c>
    </row>
    <row r="98" spans="1:20" x14ac:dyDescent="0.25">
      <c r="A98" s="23" t="s">
        <v>132</v>
      </c>
      <c r="B98" s="19">
        <v>87.87</v>
      </c>
      <c r="C98" s="20">
        <v>10</v>
      </c>
      <c r="D98" s="19">
        <v>43.935000000000002</v>
      </c>
      <c r="E98" s="19">
        <v>922.63499999999999</v>
      </c>
      <c r="F98" s="21">
        <v>43553</v>
      </c>
      <c r="G98" s="22">
        <v>4.5472222222222198</v>
      </c>
      <c r="H98" s="23" t="s">
        <v>23</v>
      </c>
      <c r="I98" s="19">
        <v>878.7</v>
      </c>
      <c r="J98" s="24">
        <v>4.7619047620000003</v>
      </c>
      <c r="K98" s="25">
        <v>5.0999999999999996</v>
      </c>
      <c r="L98" s="23" t="str">
        <f>VLOOKUP(A98,'Customer-details'!$A$1:$C$1001,2,FALSE)</f>
        <v>Normal</v>
      </c>
      <c r="M98" s="23" t="str">
        <f>VLOOKUP(A98,'Customer-details'!$A$1:$C$1001,3,FALSE)</f>
        <v>Male</v>
      </c>
      <c r="N98" s="23" t="str">
        <f>VLOOKUP(A98,'Product-details'!$A$1:$B$1001,2,FALSE)</f>
        <v>Health and beauty</v>
      </c>
      <c r="O98" s="23" t="str">
        <f>VLOOKUP(A98,'City-details'!$A$1:$C$1001,3,FALSE)</f>
        <v>Mandalay</v>
      </c>
      <c r="P98" s="23" t="str">
        <f>VLOOKUP(A98,'City-details'!$A$1:$C$1001,2,FALSE)</f>
        <v>B</v>
      </c>
      <c r="Q98" s="23" t="str">
        <f t="shared" si="3"/>
        <v>Mar</v>
      </c>
      <c r="R98" s="26" t="str">
        <f t="shared" si="4"/>
        <v>Fri</v>
      </c>
      <c r="S98">
        <f t="shared" si="5"/>
        <v>13</v>
      </c>
      <c r="T98" t="str" cm="1">
        <f t="array" ref="T98">_xlfn.IFS(S98&lt;=12,"Morning",S98&lt;=16,"Afternoon",S98&lt;=21,"Evening",S98&lt;=24,"Night")</f>
        <v>Afternoon</v>
      </c>
    </row>
    <row r="99" spans="1:20" x14ac:dyDescent="0.25">
      <c r="A99" s="31" t="s">
        <v>133</v>
      </c>
      <c r="B99" s="27">
        <v>12.45</v>
      </c>
      <c r="C99" s="28">
        <v>6</v>
      </c>
      <c r="D99" s="27">
        <v>3.7349999999999999</v>
      </c>
      <c r="E99" s="27">
        <v>78.435000000000002</v>
      </c>
      <c r="F99" s="29">
        <v>43505</v>
      </c>
      <c r="G99" s="30">
        <v>4.5888888888888903</v>
      </c>
      <c r="H99" s="31" t="s">
        <v>29</v>
      </c>
      <c r="I99" s="27">
        <v>74.7</v>
      </c>
      <c r="J99" s="32">
        <v>4.7619047620000003</v>
      </c>
      <c r="K99" s="33">
        <v>4.0999999999999996</v>
      </c>
      <c r="L99" s="31" t="str">
        <f>VLOOKUP(A99,'Customer-details'!$A$1:$C$1001,2,FALSE)</f>
        <v>Normal</v>
      </c>
      <c r="M99" s="31" t="str">
        <f>VLOOKUP(A99,'Customer-details'!$A$1:$C$1001,3,FALSE)</f>
        <v>Female</v>
      </c>
      <c r="N99" s="31" t="str">
        <f>VLOOKUP(A99,'Product-details'!$A$1:$B$1001,2,FALSE)</f>
        <v>Electronic accessories</v>
      </c>
      <c r="O99" s="31" t="str">
        <f>VLOOKUP(A99,'City-details'!$A$1:$C$1001,3,FALSE)</f>
        <v>Naypyitaw</v>
      </c>
      <c r="P99" s="31" t="str">
        <f>VLOOKUP(A99,'City-details'!$A$1:$C$1001,2,FALSE)</f>
        <v>C</v>
      </c>
      <c r="Q99" s="31" t="str">
        <f t="shared" si="3"/>
        <v>Feb</v>
      </c>
      <c r="R99" s="34" t="str">
        <f t="shared" si="4"/>
        <v>Sat</v>
      </c>
      <c r="S99">
        <f t="shared" si="5"/>
        <v>14</v>
      </c>
      <c r="T99" t="str" cm="1">
        <f t="array" ref="T99">_xlfn.IFS(S99&lt;=12,"Morning",S99&lt;=16,"Afternoon",S99&lt;=21,"Evening",S99&lt;=24,"Night")</f>
        <v>Afternoon</v>
      </c>
    </row>
    <row r="100" spans="1:20" x14ac:dyDescent="0.25">
      <c r="A100" s="23" t="s">
        <v>134</v>
      </c>
      <c r="B100" s="19">
        <v>52.75</v>
      </c>
      <c r="C100" s="20">
        <v>3</v>
      </c>
      <c r="D100" s="19">
        <v>7.9124999999999996</v>
      </c>
      <c r="E100" s="19">
        <v>166.16249999999999</v>
      </c>
      <c r="F100" s="21">
        <v>43547</v>
      </c>
      <c r="G100" s="22">
        <v>4.63055555555556</v>
      </c>
      <c r="H100" s="23" t="s">
        <v>23</v>
      </c>
      <c r="I100" s="19">
        <v>158.25</v>
      </c>
      <c r="J100" s="24">
        <v>4.7619047620000003</v>
      </c>
      <c r="K100" s="25">
        <v>9.3000000000000007</v>
      </c>
      <c r="L100" s="23" t="str">
        <f>VLOOKUP(A100,'Customer-details'!$A$1:$C$1001,2,FALSE)</f>
        <v>Normal</v>
      </c>
      <c r="M100" s="23" t="str">
        <f>VLOOKUP(A100,'Customer-details'!$A$1:$C$1001,3,FALSE)</f>
        <v>Male</v>
      </c>
      <c r="N100" s="23" t="str">
        <f>VLOOKUP(A100,'Product-details'!$A$1:$B$1001,2,FALSE)</f>
        <v>Food and beverages</v>
      </c>
      <c r="O100" s="23" t="str">
        <f>VLOOKUP(A100,'City-details'!$A$1:$C$1001,3,FALSE)</f>
        <v>Yangon</v>
      </c>
      <c r="P100" s="23" t="str">
        <f>VLOOKUP(A100,'City-details'!$A$1:$C$1001,2,FALSE)</f>
        <v>A</v>
      </c>
      <c r="Q100" s="23" t="str">
        <f t="shared" si="3"/>
        <v>Mar</v>
      </c>
      <c r="R100" s="26" t="str">
        <f t="shared" si="4"/>
        <v>Sat</v>
      </c>
      <c r="S100">
        <f t="shared" si="5"/>
        <v>15</v>
      </c>
      <c r="T100" t="str" cm="1">
        <f t="array" ref="T100">_xlfn.IFS(S100&lt;=12,"Morning",S100&lt;=16,"Afternoon",S100&lt;=21,"Evening",S100&lt;=24,"Night")</f>
        <v>Afternoon</v>
      </c>
    </row>
    <row r="101" spans="1:20" x14ac:dyDescent="0.25">
      <c r="A101" s="31" t="s">
        <v>135</v>
      </c>
      <c r="B101" s="27">
        <v>82.7</v>
      </c>
      <c r="C101" s="28">
        <v>6</v>
      </c>
      <c r="D101" s="27">
        <v>24.81</v>
      </c>
      <c r="E101" s="27">
        <v>521.01</v>
      </c>
      <c r="F101" s="29">
        <v>43529</v>
      </c>
      <c r="G101" s="30">
        <v>4.6722222222222198</v>
      </c>
      <c r="H101" s="31" t="s">
        <v>29</v>
      </c>
      <c r="I101" s="27">
        <v>496.2</v>
      </c>
      <c r="J101" s="32">
        <v>4.7619047620000003</v>
      </c>
      <c r="K101" s="33">
        <v>7.4</v>
      </c>
      <c r="L101" s="31" t="str">
        <f>VLOOKUP(A101,'Customer-details'!$A$1:$C$1001,2,FALSE)</f>
        <v>Normal</v>
      </c>
      <c r="M101" s="31" t="str">
        <f>VLOOKUP(A101,'Customer-details'!$A$1:$C$1001,3,FALSE)</f>
        <v>Male</v>
      </c>
      <c r="N101" s="31" t="str">
        <f>VLOOKUP(A101,'Product-details'!$A$1:$B$1001,2,FALSE)</f>
        <v>Home and lifestyle</v>
      </c>
      <c r="O101" s="31" t="str">
        <f>VLOOKUP(A101,'City-details'!$A$1:$C$1001,3,FALSE)</f>
        <v>Mandalay</v>
      </c>
      <c r="P101" s="31" t="str">
        <f>VLOOKUP(A101,'City-details'!$A$1:$C$1001,2,FALSE)</f>
        <v>B</v>
      </c>
      <c r="Q101" s="31" t="str">
        <f t="shared" si="3"/>
        <v>Mar</v>
      </c>
      <c r="R101" s="34" t="str">
        <f t="shared" si="4"/>
        <v>Tue</v>
      </c>
      <c r="S101">
        <f t="shared" si="5"/>
        <v>16</v>
      </c>
      <c r="T101" t="str" cm="1">
        <f t="array" ref="T101">_xlfn.IFS(S101&lt;=12,"Morning",S101&lt;=16,"Afternoon",S101&lt;=21,"Evening",S101&lt;=24,"Night")</f>
        <v>Afternoon</v>
      </c>
    </row>
    <row r="102" spans="1:20" x14ac:dyDescent="0.25">
      <c r="A102" s="23" t="s">
        <v>136</v>
      </c>
      <c r="B102" s="19">
        <v>48.71</v>
      </c>
      <c r="C102" s="20">
        <v>1</v>
      </c>
      <c r="D102" s="19">
        <v>2.4355000000000002</v>
      </c>
      <c r="E102" s="19">
        <v>51.145499999999998</v>
      </c>
      <c r="F102" s="21">
        <v>43550</v>
      </c>
      <c r="G102" s="22">
        <v>4.7138888888888903</v>
      </c>
      <c r="H102" s="23" t="s">
        <v>29</v>
      </c>
      <c r="I102" s="19">
        <v>48.71</v>
      </c>
      <c r="J102" s="24">
        <v>4.7619047620000003</v>
      </c>
      <c r="K102" s="25">
        <v>4.0999999999999996</v>
      </c>
      <c r="L102" s="23" t="str">
        <f>VLOOKUP(A102,'Customer-details'!$A$1:$C$1001,2,FALSE)</f>
        <v>Member</v>
      </c>
      <c r="M102" s="23" t="str">
        <f>VLOOKUP(A102,'Customer-details'!$A$1:$C$1001,3,FALSE)</f>
        <v>Male</v>
      </c>
      <c r="N102" s="23" t="str">
        <f>VLOOKUP(A102,'Product-details'!$A$1:$B$1001,2,FALSE)</f>
        <v>Fashion accessories</v>
      </c>
      <c r="O102" s="23" t="str">
        <f>VLOOKUP(A102,'City-details'!$A$1:$C$1001,3,FALSE)</f>
        <v>Naypyitaw</v>
      </c>
      <c r="P102" s="23" t="str">
        <f>VLOOKUP(A102,'City-details'!$A$1:$C$1001,2,FALSE)</f>
        <v>C</v>
      </c>
      <c r="Q102" s="23" t="str">
        <f t="shared" si="3"/>
        <v>Mar</v>
      </c>
      <c r="R102" s="26" t="str">
        <f t="shared" si="4"/>
        <v>Tue</v>
      </c>
      <c r="S102">
        <f t="shared" si="5"/>
        <v>17</v>
      </c>
      <c r="T102" t="str" cm="1">
        <f t="array" ref="T102">_xlfn.IFS(S102&lt;=12,"Morning",S102&lt;=16,"Afternoon",S102&lt;=21,"Evening",S102&lt;=24,"Night")</f>
        <v>Evening</v>
      </c>
    </row>
    <row r="103" spans="1:20" x14ac:dyDescent="0.25">
      <c r="A103" s="31" t="s">
        <v>137</v>
      </c>
      <c r="B103" s="27">
        <v>78.55</v>
      </c>
      <c r="C103" s="28">
        <v>9</v>
      </c>
      <c r="D103" s="27">
        <v>35.347499999999997</v>
      </c>
      <c r="E103" s="27">
        <v>742.29750000000001</v>
      </c>
      <c r="F103" s="29">
        <v>43525</v>
      </c>
      <c r="G103" s="30">
        <v>4.75555555555556</v>
      </c>
      <c r="H103" s="31" t="s">
        <v>29</v>
      </c>
      <c r="I103" s="27">
        <v>706.95</v>
      </c>
      <c r="J103" s="32">
        <v>4.7619047620000003</v>
      </c>
      <c r="K103" s="33">
        <v>7.2</v>
      </c>
      <c r="L103" s="31" t="str">
        <f>VLOOKUP(A103,'Customer-details'!$A$1:$C$1001,2,FALSE)</f>
        <v>Normal</v>
      </c>
      <c r="M103" s="31" t="str">
        <f>VLOOKUP(A103,'Customer-details'!$A$1:$C$1001,3,FALSE)</f>
        <v>Male</v>
      </c>
      <c r="N103" s="31" t="str">
        <f>VLOOKUP(A103,'Product-details'!$A$1:$B$1001,2,FALSE)</f>
        <v>Fashion accessories</v>
      </c>
      <c r="O103" s="31" t="str">
        <f>VLOOKUP(A103,'City-details'!$A$1:$C$1001,3,FALSE)</f>
        <v>Naypyitaw</v>
      </c>
      <c r="P103" s="31" t="str">
        <f>VLOOKUP(A103,'City-details'!$A$1:$C$1001,2,FALSE)</f>
        <v>C</v>
      </c>
      <c r="Q103" s="31" t="str">
        <f t="shared" si="3"/>
        <v>Mar</v>
      </c>
      <c r="R103" s="34" t="str">
        <f t="shared" si="4"/>
        <v>Fri</v>
      </c>
      <c r="S103">
        <f t="shared" si="5"/>
        <v>18</v>
      </c>
      <c r="T103" t="str" cm="1">
        <f t="array" ref="T103">_xlfn.IFS(S103&lt;=12,"Morning",S103&lt;=16,"Afternoon",S103&lt;=21,"Evening",S103&lt;=24,"Night")</f>
        <v>Evening</v>
      </c>
    </row>
    <row r="104" spans="1:20" x14ac:dyDescent="0.25">
      <c r="A104" s="23" t="s">
        <v>138</v>
      </c>
      <c r="B104" s="19">
        <v>23.07</v>
      </c>
      <c r="C104" s="20">
        <v>9</v>
      </c>
      <c r="D104" s="19">
        <v>10.381500000000001</v>
      </c>
      <c r="E104" s="19">
        <v>218.01150000000001</v>
      </c>
      <c r="F104" s="21">
        <v>43497</v>
      </c>
      <c r="G104" s="22">
        <v>4.7972222222222198</v>
      </c>
      <c r="H104" s="23" t="s">
        <v>29</v>
      </c>
      <c r="I104" s="19">
        <v>207.63</v>
      </c>
      <c r="J104" s="24">
        <v>4.7619047620000003</v>
      </c>
      <c r="K104" s="25">
        <v>4.9000000000000004</v>
      </c>
      <c r="L104" s="23" t="str">
        <f>VLOOKUP(A104,'Customer-details'!$A$1:$C$1001,2,FALSE)</f>
        <v>Normal</v>
      </c>
      <c r="M104" s="23" t="str">
        <f>VLOOKUP(A104,'Customer-details'!$A$1:$C$1001,3,FALSE)</f>
        <v>Female</v>
      </c>
      <c r="N104" s="23" t="str">
        <f>VLOOKUP(A104,'Product-details'!$A$1:$B$1001,2,FALSE)</f>
        <v>Electronic accessories</v>
      </c>
      <c r="O104" s="23" t="str">
        <f>VLOOKUP(A104,'City-details'!$A$1:$C$1001,3,FALSE)</f>
        <v>Naypyitaw</v>
      </c>
      <c r="P104" s="23" t="str">
        <f>VLOOKUP(A104,'City-details'!$A$1:$C$1001,2,FALSE)</f>
        <v>C</v>
      </c>
      <c r="Q104" s="23" t="str">
        <f t="shared" si="3"/>
        <v>Feb</v>
      </c>
      <c r="R104" s="26" t="str">
        <f t="shared" si="4"/>
        <v>Fri</v>
      </c>
      <c r="S104">
        <f t="shared" si="5"/>
        <v>19</v>
      </c>
      <c r="T104" t="str" cm="1">
        <f t="array" ref="T104">_xlfn.IFS(S104&lt;=12,"Morning",S104&lt;=16,"Afternoon",S104&lt;=21,"Evening",S104&lt;=24,"Night")</f>
        <v>Evening</v>
      </c>
    </row>
    <row r="105" spans="1:20" x14ac:dyDescent="0.25">
      <c r="A105" s="31" t="s">
        <v>139</v>
      </c>
      <c r="B105" s="27">
        <v>58.26</v>
      </c>
      <c r="C105" s="28">
        <v>6</v>
      </c>
      <c r="D105" s="27">
        <v>17.478000000000002</v>
      </c>
      <c r="E105" s="27">
        <v>367.03800000000001</v>
      </c>
      <c r="F105" s="29">
        <v>43552</v>
      </c>
      <c r="G105" s="30">
        <v>4.8388888888888903</v>
      </c>
      <c r="H105" s="31" t="s">
        <v>29</v>
      </c>
      <c r="I105" s="27">
        <v>349.56</v>
      </c>
      <c r="J105" s="32">
        <v>4.7619047620000003</v>
      </c>
      <c r="K105" s="33">
        <v>9.9</v>
      </c>
      <c r="L105" s="31" t="str">
        <f>VLOOKUP(A105,'Customer-details'!$A$1:$C$1001,2,FALSE)</f>
        <v>Normal</v>
      </c>
      <c r="M105" s="31" t="str">
        <f>VLOOKUP(A105,'Customer-details'!$A$1:$C$1001,3,FALSE)</f>
        <v>Male</v>
      </c>
      <c r="N105" s="31" t="str">
        <f>VLOOKUP(A105,'Product-details'!$A$1:$B$1001,2,FALSE)</f>
        <v>Food and beverages</v>
      </c>
      <c r="O105" s="31" t="str">
        <f>VLOOKUP(A105,'City-details'!$A$1:$C$1001,3,FALSE)</f>
        <v>Yangon</v>
      </c>
      <c r="P105" s="31" t="str">
        <f>VLOOKUP(A105,'City-details'!$A$1:$C$1001,2,FALSE)</f>
        <v>A</v>
      </c>
      <c r="Q105" s="31" t="str">
        <f t="shared" si="3"/>
        <v>Mar</v>
      </c>
      <c r="R105" s="34" t="str">
        <f t="shared" si="4"/>
        <v>Thu</v>
      </c>
      <c r="S105">
        <f t="shared" si="5"/>
        <v>20</v>
      </c>
      <c r="T105" t="str" cm="1">
        <f t="array" ref="T105">_xlfn.IFS(S105&lt;=12,"Morning",S105&lt;=16,"Afternoon",S105&lt;=21,"Evening",S105&lt;=24,"Night")</f>
        <v>Evening</v>
      </c>
    </row>
    <row r="106" spans="1:20" x14ac:dyDescent="0.25">
      <c r="A106" s="23" t="s">
        <v>140</v>
      </c>
      <c r="B106" s="19">
        <v>30.35</v>
      </c>
      <c r="C106" s="20">
        <v>7</v>
      </c>
      <c r="D106" s="19">
        <v>10.6225</v>
      </c>
      <c r="E106" s="19">
        <v>223.07249999999999</v>
      </c>
      <c r="F106" s="21">
        <v>43543</v>
      </c>
      <c r="G106" s="22">
        <v>4.88055555555556</v>
      </c>
      <c r="H106" s="23" t="s">
        <v>29</v>
      </c>
      <c r="I106" s="19">
        <v>212.45</v>
      </c>
      <c r="J106" s="24">
        <v>4.7619047620000003</v>
      </c>
      <c r="K106" s="25">
        <v>8</v>
      </c>
      <c r="L106" s="23" t="str">
        <f>VLOOKUP(A106,'Customer-details'!$A$1:$C$1001,2,FALSE)</f>
        <v>Normal</v>
      </c>
      <c r="M106" s="23" t="str">
        <f>VLOOKUP(A106,'Customer-details'!$A$1:$C$1001,3,FALSE)</f>
        <v>Male</v>
      </c>
      <c r="N106" s="23" t="str">
        <f>VLOOKUP(A106,'Product-details'!$A$1:$B$1001,2,FALSE)</f>
        <v>Health and beauty</v>
      </c>
      <c r="O106" s="23" t="str">
        <f>VLOOKUP(A106,'City-details'!$A$1:$C$1001,3,FALSE)</f>
        <v>Mandalay</v>
      </c>
      <c r="P106" s="23" t="str">
        <f>VLOOKUP(A106,'City-details'!$A$1:$C$1001,2,FALSE)</f>
        <v>B</v>
      </c>
      <c r="Q106" s="23" t="str">
        <f t="shared" si="3"/>
        <v>Mar</v>
      </c>
      <c r="R106" s="26" t="str">
        <f t="shared" si="4"/>
        <v>Tue</v>
      </c>
      <c r="S106">
        <f t="shared" si="5"/>
        <v>21</v>
      </c>
      <c r="T106" t="str" cm="1">
        <f t="array" ref="T106">_xlfn.IFS(S106&lt;=12,"Morning",S106&lt;=16,"Afternoon",S106&lt;=21,"Evening",S106&lt;=24,"Night")</f>
        <v>Evening</v>
      </c>
    </row>
    <row r="107" spans="1:20" x14ac:dyDescent="0.25">
      <c r="A107" s="31" t="s">
        <v>141</v>
      </c>
      <c r="B107" s="27">
        <v>88.67</v>
      </c>
      <c r="C107" s="28">
        <v>10</v>
      </c>
      <c r="D107" s="27">
        <v>44.335000000000001</v>
      </c>
      <c r="E107" s="27">
        <v>931.03499999999997</v>
      </c>
      <c r="F107" s="29">
        <v>43477</v>
      </c>
      <c r="G107" s="30">
        <v>4.9222222222222198</v>
      </c>
      <c r="H107" s="31" t="s">
        <v>23</v>
      </c>
      <c r="I107" s="27">
        <v>886.7</v>
      </c>
      <c r="J107" s="32">
        <v>4.7619047620000003</v>
      </c>
      <c r="K107" s="33">
        <v>7.3</v>
      </c>
      <c r="L107" s="31" t="str">
        <f>VLOOKUP(A107,'Customer-details'!$A$1:$C$1001,2,FALSE)</f>
        <v>Member</v>
      </c>
      <c r="M107" s="31" t="str">
        <f>VLOOKUP(A107,'Customer-details'!$A$1:$C$1001,3,FALSE)</f>
        <v>Male</v>
      </c>
      <c r="N107" s="31" t="str">
        <f>VLOOKUP(A107,'Product-details'!$A$1:$B$1001,2,FALSE)</f>
        <v>Electronic accessories</v>
      </c>
      <c r="O107" s="31" t="str">
        <f>VLOOKUP(A107,'City-details'!$A$1:$C$1001,3,FALSE)</f>
        <v>Yangon</v>
      </c>
      <c r="P107" s="31" t="str">
        <f>VLOOKUP(A107,'City-details'!$A$1:$C$1001,2,FALSE)</f>
        <v>A</v>
      </c>
      <c r="Q107" s="31" t="str">
        <f t="shared" si="3"/>
        <v>Jan</v>
      </c>
      <c r="R107" s="34" t="str">
        <f t="shared" si="4"/>
        <v>Sat</v>
      </c>
      <c r="S107">
        <f t="shared" si="5"/>
        <v>22</v>
      </c>
      <c r="T107" t="str" cm="1">
        <f t="array" ref="T107">_xlfn.IFS(S107&lt;=12,"Morning",S107&lt;=16,"Afternoon",S107&lt;=21,"Evening",S107&lt;=24,"Night")</f>
        <v>Night</v>
      </c>
    </row>
    <row r="108" spans="1:20" x14ac:dyDescent="0.25">
      <c r="A108" s="23" t="s">
        <v>142</v>
      </c>
      <c r="B108" s="19">
        <v>27.38</v>
      </c>
      <c r="C108" s="20">
        <v>6</v>
      </c>
      <c r="D108" s="19">
        <v>8.2140000000000004</v>
      </c>
      <c r="E108" s="19">
        <v>172.494</v>
      </c>
      <c r="F108" s="21">
        <v>43470</v>
      </c>
      <c r="G108" s="22">
        <v>4.9638888888888903</v>
      </c>
      <c r="H108" s="23" t="s">
        <v>33</v>
      </c>
      <c r="I108" s="19">
        <v>164.28</v>
      </c>
      <c r="J108" s="24">
        <v>4.7619047620000003</v>
      </c>
      <c r="K108" s="25">
        <v>7.9</v>
      </c>
      <c r="L108" s="23" t="str">
        <f>VLOOKUP(A108,'Customer-details'!$A$1:$C$1001,2,FALSE)</f>
        <v>Normal</v>
      </c>
      <c r="M108" s="23" t="str">
        <f>VLOOKUP(A108,'Customer-details'!$A$1:$C$1001,3,FALSE)</f>
        <v>Male</v>
      </c>
      <c r="N108" s="23" t="str">
        <f>VLOOKUP(A108,'Product-details'!$A$1:$B$1001,2,FALSE)</f>
        <v>Fashion accessories</v>
      </c>
      <c r="O108" s="23" t="str">
        <f>VLOOKUP(A108,'City-details'!$A$1:$C$1001,3,FALSE)</f>
        <v>Naypyitaw</v>
      </c>
      <c r="P108" s="23" t="str">
        <f>VLOOKUP(A108,'City-details'!$A$1:$C$1001,2,FALSE)</f>
        <v>C</v>
      </c>
      <c r="Q108" s="23" t="str">
        <f t="shared" si="3"/>
        <v>Jan</v>
      </c>
      <c r="R108" s="26" t="str">
        <f t="shared" si="4"/>
        <v>Sat</v>
      </c>
      <c r="S108">
        <f t="shared" si="5"/>
        <v>23</v>
      </c>
      <c r="T108" t="str" cm="1">
        <f t="array" ref="T108">_xlfn.IFS(S108&lt;=12,"Morning",S108&lt;=16,"Afternoon",S108&lt;=21,"Evening",S108&lt;=24,"Night")</f>
        <v>Night</v>
      </c>
    </row>
    <row r="109" spans="1:20" x14ac:dyDescent="0.25">
      <c r="A109" s="31" t="s">
        <v>143</v>
      </c>
      <c r="B109" s="27">
        <v>62.13</v>
      </c>
      <c r="C109" s="28">
        <v>6</v>
      </c>
      <c r="D109" s="27">
        <v>18.638999999999999</v>
      </c>
      <c r="E109" s="27">
        <v>391.41899999999998</v>
      </c>
      <c r="F109" s="29">
        <v>43546</v>
      </c>
      <c r="G109" s="30">
        <v>5.00555555555556</v>
      </c>
      <c r="H109" s="31" t="s">
        <v>29</v>
      </c>
      <c r="I109" s="27">
        <v>372.78</v>
      </c>
      <c r="J109" s="32">
        <v>4.7619047620000003</v>
      </c>
      <c r="K109" s="33">
        <v>7.4</v>
      </c>
      <c r="L109" s="31" t="str">
        <f>VLOOKUP(A109,'Customer-details'!$A$1:$C$1001,2,FALSE)</f>
        <v>Normal</v>
      </c>
      <c r="M109" s="31" t="str">
        <f>VLOOKUP(A109,'Customer-details'!$A$1:$C$1001,3,FALSE)</f>
        <v>Male</v>
      </c>
      <c r="N109" s="31" t="str">
        <f>VLOOKUP(A109,'Product-details'!$A$1:$B$1001,2,FALSE)</f>
        <v>Sports and travel</v>
      </c>
      <c r="O109" s="31" t="str">
        <f>VLOOKUP(A109,'City-details'!$A$1:$C$1001,3,FALSE)</f>
        <v>Yangon</v>
      </c>
      <c r="P109" s="31" t="str">
        <f>VLOOKUP(A109,'City-details'!$A$1:$C$1001,2,FALSE)</f>
        <v>A</v>
      </c>
      <c r="Q109" s="31" t="str">
        <f t="shared" si="3"/>
        <v>Mar</v>
      </c>
      <c r="R109" s="34" t="str">
        <f t="shared" si="4"/>
        <v>Fri</v>
      </c>
      <c r="S109">
        <f t="shared" si="5"/>
        <v>0</v>
      </c>
      <c r="T109" t="str" cm="1">
        <f t="array" ref="T109">_xlfn.IFS(S109&lt;=12,"Morning",S109&lt;=16,"Afternoon",S109&lt;=21,"Evening",S109&lt;=24,"Night")</f>
        <v>Morning</v>
      </c>
    </row>
    <row r="110" spans="1:20" x14ac:dyDescent="0.25">
      <c r="A110" s="23" t="s">
        <v>144</v>
      </c>
      <c r="B110" s="19">
        <v>33.979999999999997</v>
      </c>
      <c r="C110" s="20">
        <v>9</v>
      </c>
      <c r="D110" s="19">
        <v>15.291</v>
      </c>
      <c r="E110" s="19">
        <v>321.11099999999999</v>
      </c>
      <c r="F110" s="21">
        <v>43548</v>
      </c>
      <c r="G110" s="22">
        <v>5.0472222222222198</v>
      </c>
      <c r="H110" s="23" t="s">
        <v>29</v>
      </c>
      <c r="I110" s="19">
        <v>305.82</v>
      </c>
      <c r="J110" s="24">
        <v>4.7619047620000003</v>
      </c>
      <c r="K110" s="25">
        <v>4.2</v>
      </c>
      <c r="L110" s="23" t="str">
        <f>VLOOKUP(A110,'Customer-details'!$A$1:$C$1001,2,FALSE)</f>
        <v>Normal</v>
      </c>
      <c r="M110" s="23" t="str">
        <f>VLOOKUP(A110,'Customer-details'!$A$1:$C$1001,3,FALSE)</f>
        <v>Female</v>
      </c>
      <c r="N110" s="23" t="str">
        <f>VLOOKUP(A110,'Product-details'!$A$1:$B$1001,2,FALSE)</f>
        <v>Food and beverages</v>
      </c>
      <c r="O110" s="23" t="str">
        <f>VLOOKUP(A110,'City-details'!$A$1:$C$1001,3,FALSE)</f>
        <v>Naypyitaw</v>
      </c>
      <c r="P110" s="23" t="str">
        <f>VLOOKUP(A110,'City-details'!$A$1:$C$1001,2,FALSE)</f>
        <v>C</v>
      </c>
      <c r="Q110" s="23" t="str">
        <f t="shared" si="3"/>
        <v>Mar</v>
      </c>
      <c r="R110" s="26" t="str">
        <f t="shared" si="4"/>
        <v>Sun</v>
      </c>
      <c r="S110">
        <f t="shared" si="5"/>
        <v>1</v>
      </c>
      <c r="T110" t="str" cm="1">
        <f t="array" ref="T110">_xlfn.IFS(S110&lt;=12,"Morning",S110&lt;=16,"Afternoon",S110&lt;=21,"Evening",S110&lt;=24,"Night")</f>
        <v>Morning</v>
      </c>
    </row>
    <row r="111" spans="1:20" x14ac:dyDescent="0.25">
      <c r="A111" s="31" t="s">
        <v>145</v>
      </c>
      <c r="B111" s="27">
        <v>81.97</v>
      </c>
      <c r="C111" s="28">
        <v>10</v>
      </c>
      <c r="D111" s="27">
        <v>40.984999999999999</v>
      </c>
      <c r="E111" s="27">
        <v>860.68499999999995</v>
      </c>
      <c r="F111" s="29">
        <v>43527</v>
      </c>
      <c r="G111" s="30">
        <v>5.0888888888888903</v>
      </c>
      <c r="H111" s="31" t="s">
        <v>29</v>
      </c>
      <c r="I111" s="27">
        <v>819.7</v>
      </c>
      <c r="J111" s="32">
        <v>4.7619047620000003</v>
      </c>
      <c r="K111" s="33">
        <v>9.1999999999999993</v>
      </c>
      <c r="L111" s="31" t="str">
        <f>VLOOKUP(A111,'Customer-details'!$A$1:$C$1001,2,FALSE)</f>
        <v>Member</v>
      </c>
      <c r="M111" s="31" t="str">
        <f>VLOOKUP(A111,'Customer-details'!$A$1:$C$1001,3,FALSE)</f>
        <v>Male</v>
      </c>
      <c r="N111" s="31" t="str">
        <f>VLOOKUP(A111,'Product-details'!$A$1:$B$1001,2,FALSE)</f>
        <v>Electronic accessories</v>
      </c>
      <c r="O111" s="31" t="str">
        <f>VLOOKUP(A111,'City-details'!$A$1:$C$1001,3,FALSE)</f>
        <v>Naypyitaw</v>
      </c>
      <c r="P111" s="31" t="str">
        <f>VLOOKUP(A111,'City-details'!$A$1:$C$1001,2,FALSE)</f>
        <v>C</v>
      </c>
      <c r="Q111" s="31" t="str">
        <f t="shared" si="3"/>
        <v>Mar</v>
      </c>
      <c r="R111" s="34" t="str">
        <f t="shared" si="4"/>
        <v>Sun</v>
      </c>
      <c r="S111">
        <f t="shared" si="5"/>
        <v>2</v>
      </c>
      <c r="T111" t="str" cm="1">
        <f t="array" ref="T111">_xlfn.IFS(S111&lt;=12,"Morning",S111&lt;=16,"Afternoon",S111&lt;=21,"Evening",S111&lt;=24,"Night")</f>
        <v>Morning</v>
      </c>
    </row>
    <row r="112" spans="1:20" x14ac:dyDescent="0.25">
      <c r="A112" s="23" t="s">
        <v>146</v>
      </c>
      <c r="B112" s="19">
        <v>16.489999999999998</v>
      </c>
      <c r="C112" s="20">
        <v>2</v>
      </c>
      <c r="D112" s="19">
        <v>1.649</v>
      </c>
      <c r="E112" s="19">
        <v>34.628999999999998</v>
      </c>
      <c r="F112" s="21">
        <v>43501</v>
      </c>
      <c r="G112" s="22">
        <v>5.13055555555556</v>
      </c>
      <c r="H112" s="23" t="s">
        <v>23</v>
      </c>
      <c r="I112" s="19">
        <v>32.979999999999997</v>
      </c>
      <c r="J112" s="24">
        <v>4.7619047620000003</v>
      </c>
      <c r="K112" s="25">
        <v>4.5999999999999996</v>
      </c>
      <c r="L112" s="23" t="str">
        <f>VLOOKUP(A112,'Customer-details'!$A$1:$C$1001,2,FALSE)</f>
        <v>Member</v>
      </c>
      <c r="M112" s="23" t="str">
        <f>VLOOKUP(A112,'Customer-details'!$A$1:$C$1001,3,FALSE)</f>
        <v>Female</v>
      </c>
      <c r="N112" s="23" t="str">
        <f>VLOOKUP(A112,'Product-details'!$A$1:$B$1001,2,FALSE)</f>
        <v>Sports and travel</v>
      </c>
      <c r="O112" s="23" t="str">
        <f>VLOOKUP(A112,'City-details'!$A$1:$C$1001,3,FALSE)</f>
        <v>Mandalay</v>
      </c>
      <c r="P112" s="23" t="str">
        <f>VLOOKUP(A112,'City-details'!$A$1:$C$1001,2,FALSE)</f>
        <v>B</v>
      </c>
      <c r="Q112" s="23" t="str">
        <f t="shared" si="3"/>
        <v>Feb</v>
      </c>
      <c r="R112" s="26" t="str">
        <f t="shared" si="4"/>
        <v>Tue</v>
      </c>
      <c r="S112">
        <f t="shared" si="5"/>
        <v>3</v>
      </c>
      <c r="T112" t="str" cm="1">
        <f t="array" ref="T112">_xlfn.IFS(S112&lt;=12,"Morning",S112&lt;=16,"Afternoon",S112&lt;=21,"Evening",S112&lt;=24,"Night")</f>
        <v>Morning</v>
      </c>
    </row>
    <row r="113" spans="1:20" x14ac:dyDescent="0.25">
      <c r="A113" s="31" t="s">
        <v>147</v>
      </c>
      <c r="B113" s="27">
        <v>98.21</v>
      </c>
      <c r="C113" s="28">
        <v>3</v>
      </c>
      <c r="D113" s="27">
        <v>14.7315</v>
      </c>
      <c r="E113" s="27">
        <v>309.36149999999998</v>
      </c>
      <c r="F113" s="29">
        <v>43501</v>
      </c>
      <c r="G113" s="30">
        <v>5.1722222222222198</v>
      </c>
      <c r="H113" s="31" t="s">
        <v>33</v>
      </c>
      <c r="I113" s="27">
        <v>294.63</v>
      </c>
      <c r="J113" s="32">
        <v>4.7619047620000003</v>
      </c>
      <c r="K113" s="33">
        <v>7.8</v>
      </c>
      <c r="L113" s="31" t="str">
        <f>VLOOKUP(A113,'Customer-details'!$A$1:$C$1001,2,FALSE)</f>
        <v>Member</v>
      </c>
      <c r="M113" s="31" t="str">
        <f>VLOOKUP(A113,'Customer-details'!$A$1:$C$1001,3,FALSE)</f>
        <v>Female</v>
      </c>
      <c r="N113" s="31" t="str">
        <f>VLOOKUP(A113,'Product-details'!$A$1:$B$1001,2,FALSE)</f>
        <v>Health and beauty</v>
      </c>
      <c r="O113" s="31" t="str">
        <f>VLOOKUP(A113,'City-details'!$A$1:$C$1001,3,FALSE)</f>
        <v>Naypyitaw</v>
      </c>
      <c r="P113" s="31" t="str">
        <f>VLOOKUP(A113,'City-details'!$A$1:$C$1001,2,FALSE)</f>
        <v>C</v>
      </c>
      <c r="Q113" s="31" t="str">
        <f t="shared" si="3"/>
        <v>Feb</v>
      </c>
      <c r="R113" s="34" t="str">
        <f t="shared" si="4"/>
        <v>Tue</v>
      </c>
      <c r="S113">
        <f t="shared" si="5"/>
        <v>4</v>
      </c>
      <c r="T113" t="str" cm="1">
        <f t="array" ref="T113">_xlfn.IFS(S113&lt;=12,"Morning",S113&lt;=16,"Afternoon",S113&lt;=21,"Evening",S113&lt;=24,"Night")</f>
        <v>Morning</v>
      </c>
    </row>
    <row r="114" spans="1:20" x14ac:dyDescent="0.25">
      <c r="A114" s="23" t="s">
        <v>148</v>
      </c>
      <c r="B114" s="19">
        <v>72.84</v>
      </c>
      <c r="C114" s="20">
        <v>7</v>
      </c>
      <c r="D114" s="19">
        <v>25.494</v>
      </c>
      <c r="E114" s="19">
        <v>535.37400000000002</v>
      </c>
      <c r="F114" s="21">
        <v>43511</v>
      </c>
      <c r="G114" s="22">
        <v>5.2138888888888903</v>
      </c>
      <c r="H114" s="23" t="s">
        <v>29</v>
      </c>
      <c r="I114" s="19">
        <v>509.88</v>
      </c>
      <c r="J114" s="24">
        <v>4.7619047620000003</v>
      </c>
      <c r="K114" s="25">
        <v>8.4</v>
      </c>
      <c r="L114" s="23" t="str">
        <f>VLOOKUP(A114,'Customer-details'!$A$1:$C$1001,2,FALSE)</f>
        <v>Normal</v>
      </c>
      <c r="M114" s="23" t="str">
        <f>VLOOKUP(A114,'Customer-details'!$A$1:$C$1001,3,FALSE)</f>
        <v>Female</v>
      </c>
      <c r="N114" s="23" t="str">
        <f>VLOOKUP(A114,'Product-details'!$A$1:$B$1001,2,FALSE)</f>
        <v>Fashion accessories</v>
      </c>
      <c r="O114" s="23" t="str">
        <f>VLOOKUP(A114,'City-details'!$A$1:$C$1001,3,FALSE)</f>
        <v>Mandalay</v>
      </c>
      <c r="P114" s="23" t="str">
        <f>VLOOKUP(A114,'City-details'!$A$1:$C$1001,2,FALSE)</f>
        <v>B</v>
      </c>
      <c r="Q114" s="23" t="str">
        <f t="shared" si="3"/>
        <v>Feb</v>
      </c>
      <c r="R114" s="26" t="str">
        <f t="shared" si="4"/>
        <v>Fri</v>
      </c>
      <c r="S114">
        <f t="shared" si="5"/>
        <v>5</v>
      </c>
      <c r="T114" t="str" cm="1">
        <f t="array" ref="T114">_xlfn.IFS(S114&lt;=12,"Morning",S114&lt;=16,"Afternoon",S114&lt;=21,"Evening",S114&lt;=24,"Night")</f>
        <v>Morning</v>
      </c>
    </row>
    <row r="115" spans="1:20" x14ac:dyDescent="0.25">
      <c r="A115" s="31" t="s">
        <v>149</v>
      </c>
      <c r="B115" s="27">
        <v>58.07</v>
      </c>
      <c r="C115" s="28">
        <v>9</v>
      </c>
      <c r="D115" s="27">
        <v>26.131499999999999</v>
      </c>
      <c r="E115" s="27">
        <v>548.76149999999996</v>
      </c>
      <c r="F115" s="29">
        <v>43484</v>
      </c>
      <c r="G115" s="30">
        <v>5.25555555555556</v>
      </c>
      <c r="H115" s="31" t="s">
        <v>23</v>
      </c>
      <c r="I115" s="27">
        <v>522.63</v>
      </c>
      <c r="J115" s="32">
        <v>4.7619047620000003</v>
      </c>
      <c r="K115" s="33">
        <v>4.3</v>
      </c>
      <c r="L115" s="31" t="str">
        <f>VLOOKUP(A115,'Customer-details'!$A$1:$C$1001,2,FALSE)</f>
        <v>Member</v>
      </c>
      <c r="M115" s="31" t="str">
        <f>VLOOKUP(A115,'Customer-details'!$A$1:$C$1001,3,FALSE)</f>
        <v>Male</v>
      </c>
      <c r="N115" s="31" t="str">
        <f>VLOOKUP(A115,'Product-details'!$A$1:$B$1001,2,FALSE)</f>
        <v>Home and lifestyle</v>
      </c>
      <c r="O115" s="31" t="str">
        <f>VLOOKUP(A115,'City-details'!$A$1:$C$1001,3,FALSE)</f>
        <v>Yangon</v>
      </c>
      <c r="P115" s="31" t="str">
        <f>VLOOKUP(A115,'City-details'!$A$1:$C$1001,2,FALSE)</f>
        <v>A</v>
      </c>
      <c r="Q115" s="31" t="str">
        <f t="shared" si="3"/>
        <v>Jan</v>
      </c>
      <c r="R115" s="34" t="str">
        <f t="shared" si="4"/>
        <v>Sat</v>
      </c>
      <c r="S115">
        <f t="shared" si="5"/>
        <v>6</v>
      </c>
      <c r="T115" t="str" cm="1">
        <f t="array" ref="T115">_xlfn.IFS(S115&lt;=12,"Morning",S115&lt;=16,"Afternoon",S115&lt;=21,"Evening",S115&lt;=24,"Night")</f>
        <v>Morning</v>
      </c>
    </row>
    <row r="116" spans="1:20" x14ac:dyDescent="0.25">
      <c r="A116" s="23" t="s">
        <v>150</v>
      </c>
      <c r="B116" s="19">
        <v>80.790000000000006</v>
      </c>
      <c r="C116" s="20">
        <v>9</v>
      </c>
      <c r="D116" s="19">
        <v>36.355499999999999</v>
      </c>
      <c r="E116" s="19">
        <v>763.46550000000002</v>
      </c>
      <c r="F116" s="21">
        <v>43497</v>
      </c>
      <c r="G116" s="22">
        <v>5.2972222222222198</v>
      </c>
      <c r="H116" s="23" t="s">
        <v>33</v>
      </c>
      <c r="I116" s="19">
        <v>727.11</v>
      </c>
      <c r="J116" s="24">
        <v>4.7619047620000003</v>
      </c>
      <c r="K116" s="25">
        <v>9.5</v>
      </c>
      <c r="L116" s="23" t="str">
        <f>VLOOKUP(A116,'Customer-details'!$A$1:$C$1001,2,FALSE)</f>
        <v>Member</v>
      </c>
      <c r="M116" s="23" t="str">
        <f>VLOOKUP(A116,'Customer-details'!$A$1:$C$1001,3,FALSE)</f>
        <v>Female</v>
      </c>
      <c r="N116" s="23" t="str">
        <f>VLOOKUP(A116,'Product-details'!$A$1:$B$1001,2,FALSE)</f>
        <v>Home and lifestyle</v>
      </c>
      <c r="O116" s="23" t="str">
        <f>VLOOKUP(A116,'City-details'!$A$1:$C$1001,3,FALSE)</f>
        <v>Naypyitaw</v>
      </c>
      <c r="P116" s="23" t="str">
        <f>VLOOKUP(A116,'City-details'!$A$1:$C$1001,2,FALSE)</f>
        <v>C</v>
      </c>
      <c r="Q116" s="23" t="str">
        <f t="shared" si="3"/>
        <v>Feb</v>
      </c>
      <c r="R116" s="26" t="str">
        <f t="shared" si="4"/>
        <v>Fri</v>
      </c>
      <c r="S116">
        <f t="shared" si="5"/>
        <v>7</v>
      </c>
      <c r="T116" t="str" cm="1">
        <f t="array" ref="T116">_xlfn.IFS(S116&lt;=12,"Morning",S116&lt;=16,"Afternoon",S116&lt;=21,"Evening",S116&lt;=24,"Night")</f>
        <v>Morning</v>
      </c>
    </row>
    <row r="117" spans="1:20" x14ac:dyDescent="0.25">
      <c r="A117" s="31" t="s">
        <v>151</v>
      </c>
      <c r="B117" s="27">
        <v>27.02</v>
      </c>
      <c r="C117" s="28">
        <v>3</v>
      </c>
      <c r="D117" s="27">
        <v>4.0529999999999999</v>
      </c>
      <c r="E117" s="27">
        <v>85.113</v>
      </c>
      <c r="F117" s="29">
        <v>43526</v>
      </c>
      <c r="G117" s="30">
        <v>5.3388888888888903</v>
      </c>
      <c r="H117" s="31" t="s">
        <v>33</v>
      </c>
      <c r="I117" s="27">
        <v>81.06</v>
      </c>
      <c r="J117" s="32">
        <v>4.7619047620000003</v>
      </c>
      <c r="K117" s="33">
        <v>7.1</v>
      </c>
      <c r="L117" s="31" t="str">
        <f>VLOOKUP(A117,'Customer-details'!$A$1:$C$1001,2,FALSE)</f>
        <v>Normal</v>
      </c>
      <c r="M117" s="31" t="str">
        <f>VLOOKUP(A117,'Customer-details'!$A$1:$C$1001,3,FALSE)</f>
        <v>Female</v>
      </c>
      <c r="N117" s="31" t="str">
        <f>VLOOKUP(A117,'Product-details'!$A$1:$B$1001,2,FALSE)</f>
        <v>Fashion accessories</v>
      </c>
      <c r="O117" s="31" t="str">
        <f>VLOOKUP(A117,'City-details'!$A$1:$C$1001,3,FALSE)</f>
        <v>Naypyitaw</v>
      </c>
      <c r="P117" s="31" t="str">
        <f>VLOOKUP(A117,'City-details'!$A$1:$C$1001,2,FALSE)</f>
        <v>C</v>
      </c>
      <c r="Q117" s="31" t="str">
        <f t="shared" si="3"/>
        <v>Mar</v>
      </c>
      <c r="R117" s="34" t="str">
        <f t="shared" si="4"/>
        <v>Sat</v>
      </c>
      <c r="S117">
        <f t="shared" si="5"/>
        <v>8</v>
      </c>
      <c r="T117" t="str" cm="1">
        <f t="array" ref="T117">_xlfn.IFS(S117&lt;=12,"Morning",S117&lt;=16,"Afternoon",S117&lt;=21,"Evening",S117&lt;=24,"Night")</f>
        <v>Morning</v>
      </c>
    </row>
    <row r="118" spans="1:20" x14ac:dyDescent="0.25">
      <c r="A118" s="23" t="s">
        <v>152</v>
      </c>
      <c r="B118" s="19">
        <v>21.94</v>
      </c>
      <c r="C118" s="20">
        <v>5</v>
      </c>
      <c r="D118" s="19">
        <v>5.4850000000000003</v>
      </c>
      <c r="E118" s="19">
        <v>115.185</v>
      </c>
      <c r="F118" s="21">
        <v>43529</v>
      </c>
      <c r="G118" s="22">
        <v>5.38055555555556</v>
      </c>
      <c r="H118" s="23" t="s">
        <v>23</v>
      </c>
      <c r="I118" s="19">
        <v>109.7</v>
      </c>
      <c r="J118" s="24">
        <v>4.7619047620000003</v>
      </c>
      <c r="K118" s="25">
        <v>5.3</v>
      </c>
      <c r="L118" s="23" t="str">
        <f>VLOOKUP(A118,'Customer-details'!$A$1:$C$1001,2,FALSE)</f>
        <v>Member</v>
      </c>
      <c r="M118" s="23" t="str">
        <f>VLOOKUP(A118,'Customer-details'!$A$1:$C$1001,3,FALSE)</f>
        <v>Male</v>
      </c>
      <c r="N118" s="23" t="str">
        <f>VLOOKUP(A118,'Product-details'!$A$1:$B$1001,2,FALSE)</f>
        <v>Fashion accessories</v>
      </c>
      <c r="O118" s="23" t="str">
        <f>VLOOKUP(A118,'City-details'!$A$1:$C$1001,3,FALSE)</f>
        <v>Mandalay</v>
      </c>
      <c r="P118" s="23" t="str">
        <f>VLOOKUP(A118,'City-details'!$A$1:$C$1001,2,FALSE)</f>
        <v>B</v>
      </c>
      <c r="Q118" s="23" t="str">
        <f t="shared" si="3"/>
        <v>Mar</v>
      </c>
      <c r="R118" s="26" t="str">
        <f t="shared" si="4"/>
        <v>Tue</v>
      </c>
      <c r="S118">
        <f t="shared" si="5"/>
        <v>9</v>
      </c>
      <c r="T118" t="str" cm="1">
        <f t="array" ref="T118">_xlfn.IFS(S118&lt;=12,"Morning",S118&lt;=16,"Afternoon",S118&lt;=21,"Evening",S118&lt;=24,"Night")</f>
        <v>Morning</v>
      </c>
    </row>
    <row r="119" spans="1:20" x14ac:dyDescent="0.25">
      <c r="A119" s="31" t="s">
        <v>153</v>
      </c>
      <c r="B119" s="27">
        <v>51.36</v>
      </c>
      <c r="C119" s="28">
        <v>1</v>
      </c>
      <c r="D119" s="27">
        <v>2.5680000000000001</v>
      </c>
      <c r="E119" s="27">
        <v>53.927999999999997</v>
      </c>
      <c r="F119" s="29">
        <v>43481</v>
      </c>
      <c r="G119" s="30">
        <v>5.4222222222222198</v>
      </c>
      <c r="H119" s="31" t="s">
        <v>23</v>
      </c>
      <c r="I119" s="27">
        <v>51.36</v>
      </c>
      <c r="J119" s="32">
        <v>4.7619047620000003</v>
      </c>
      <c r="K119" s="33">
        <v>5.2</v>
      </c>
      <c r="L119" s="31" t="str">
        <f>VLOOKUP(A119,'Customer-details'!$A$1:$C$1001,2,FALSE)</f>
        <v>Member</v>
      </c>
      <c r="M119" s="31" t="str">
        <f>VLOOKUP(A119,'Customer-details'!$A$1:$C$1001,3,FALSE)</f>
        <v>Male</v>
      </c>
      <c r="N119" s="31" t="str">
        <f>VLOOKUP(A119,'Product-details'!$A$1:$B$1001,2,FALSE)</f>
        <v>Fashion accessories</v>
      </c>
      <c r="O119" s="31" t="str">
        <f>VLOOKUP(A119,'City-details'!$A$1:$C$1001,3,FALSE)</f>
        <v>Mandalay</v>
      </c>
      <c r="P119" s="31" t="str">
        <f>VLOOKUP(A119,'City-details'!$A$1:$C$1001,2,FALSE)</f>
        <v>B</v>
      </c>
      <c r="Q119" s="31" t="str">
        <f t="shared" si="3"/>
        <v>Jan</v>
      </c>
      <c r="R119" s="34" t="str">
        <f t="shared" si="4"/>
        <v>Wed</v>
      </c>
      <c r="S119">
        <f t="shared" si="5"/>
        <v>10</v>
      </c>
      <c r="T119" t="str" cm="1">
        <f t="array" ref="T119">_xlfn.IFS(S119&lt;=12,"Morning",S119&lt;=16,"Afternoon",S119&lt;=21,"Evening",S119&lt;=24,"Night")</f>
        <v>Morning</v>
      </c>
    </row>
    <row r="120" spans="1:20" x14ac:dyDescent="0.25">
      <c r="A120" s="23" t="s">
        <v>154</v>
      </c>
      <c r="B120" s="19">
        <v>10.96</v>
      </c>
      <c r="C120" s="20">
        <v>10</v>
      </c>
      <c r="D120" s="19">
        <v>5.48</v>
      </c>
      <c r="E120" s="19">
        <v>115.08</v>
      </c>
      <c r="F120" s="21">
        <v>43498</v>
      </c>
      <c r="G120" s="22">
        <v>5.4638888888888903</v>
      </c>
      <c r="H120" s="23" t="s">
        <v>23</v>
      </c>
      <c r="I120" s="19">
        <v>109.6</v>
      </c>
      <c r="J120" s="24">
        <v>4.7619047620000003</v>
      </c>
      <c r="K120" s="25">
        <v>6</v>
      </c>
      <c r="L120" s="23" t="str">
        <f>VLOOKUP(A120,'Customer-details'!$A$1:$C$1001,2,FALSE)</f>
        <v>Normal</v>
      </c>
      <c r="M120" s="23" t="str">
        <f>VLOOKUP(A120,'Customer-details'!$A$1:$C$1001,3,FALSE)</f>
        <v>Female</v>
      </c>
      <c r="N120" s="23" t="str">
        <f>VLOOKUP(A120,'Product-details'!$A$1:$B$1001,2,FALSE)</f>
        <v>Food and beverages</v>
      </c>
      <c r="O120" s="23" t="str">
        <f>VLOOKUP(A120,'City-details'!$A$1:$C$1001,3,FALSE)</f>
        <v>Yangon</v>
      </c>
      <c r="P120" s="23" t="str">
        <f>VLOOKUP(A120,'City-details'!$A$1:$C$1001,2,FALSE)</f>
        <v>A</v>
      </c>
      <c r="Q120" s="23" t="str">
        <f t="shared" si="3"/>
        <v>Feb</v>
      </c>
      <c r="R120" s="26" t="str">
        <f t="shared" si="4"/>
        <v>Sat</v>
      </c>
      <c r="S120">
        <f t="shared" si="5"/>
        <v>11</v>
      </c>
      <c r="T120" t="str" cm="1">
        <f t="array" ref="T120">_xlfn.IFS(S120&lt;=12,"Morning",S120&lt;=16,"Afternoon",S120&lt;=21,"Evening",S120&lt;=24,"Night")</f>
        <v>Morning</v>
      </c>
    </row>
    <row r="121" spans="1:20" x14ac:dyDescent="0.25">
      <c r="A121" s="31" t="s">
        <v>155</v>
      </c>
      <c r="B121" s="27">
        <v>53.44</v>
      </c>
      <c r="C121" s="28">
        <v>2</v>
      </c>
      <c r="D121" s="27">
        <v>5.3440000000000003</v>
      </c>
      <c r="E121" s="27">
        <v>112.224</v>
      </c>
      <c r="F121" s="29">
        <v>43485</v>
      </c>
      <c r="G121" s="30">
        <v>5.50555555555556</v>
      </c>
      <c r="H121" s="31" t="s">
        <v>23</v>
      </c>
      <c r="I121" s="27">
        <v>106.88</v>
      </c>
      <c r="J121" s="32">
        <v>4.7619047620000003</v>
      </c>
      <c r="K121" s="33">
        <v>4.0999999999999996</v>
      </c>
      <c r="L121" s="31" t="str">
        <f>VLOOKUP(A121,'Customer-details'!$A$1:$C$1001,2,FALSE)</f>
        <v>Normal</v>
      </c>
      <c r="M121" s="31" t="str">
        <f>VLOOKUP(A121,'Customer-details'!$A$1:$C$1001,3,FALSE)</f>
        <v>Male</v>
      </c>
      <c r="N121" s="31" t="str">
        <f>VLOOKUP(A121,'Product-details'!$A$1:$B$1001,2,FALSE)</f>
        <v>Home and lifestyle</v>
      </c>
      <c r="O121" s="31" t="str">
        <f>VLOOKUP(A121,'City-details'!$A$1:$C$1001,3,FALSE)</f>
        <v>Mandalay</v>
      </c>
      <c r="P121" s="31" t="str">
        <f>VLOOKUP(A121,'City-details'!$A$1:$C$1001,2,FALSE)</f>
        <v>B</v>
      </c>
      <c r="Q121" s="31" t="str">
        <f t="shared" si="3"/>
        <v>Jan</v>
      </c>
      <c r="R121" s="34" t="str">
        <f t="shared" si="4"/>
        <v>Sun</v>
      </c>
      <c r="S121">
        <f t="shared" si="5"/>
        <v>12</v>
      </c>
      <c r="T121" t="str" cm="1">
        <f t="array" ref="T121">_xlfn.IFS(S121&lt;=12,"Morning",S121&lt;=16,"Afternoon",S121&lt;=21,"Evening",S121&lt;=24,"Night")</f>
        <v>Morning</v>
      </c>
    </row>
    <row r="122" spans="1:20" x14ac:dyDescent="0.25">
      <c r="A122" s="23" t="s">
        <v>156</v>
      </c>
      <c r="B122" s="19">
        <v>99.56</v>
      </c>
      <c r="C122" s="20">
        <v>8</v>
      </c>
      <c r="D122" s="19">
        <v>39.823999999999998</v>
      </c>
      <c r="E122" s="19">
        <v>836.30399999999997</v>
      </c>
      <c r="F122" s="21">
        <v>43510</v>
      </c>
      <c r="G122" s="22">
        <v>5.5472222222222198</v>
      </c>
      <c r="H122" s="23" t="s">
        <v>33</v>
      </c>
      <c r="I122" s="19">
        <v>796.48</v>
      </c>
      <c r="J122" s="24">
        <v>4.7619047620000003</v>
      </c>
      <c r="K122" s="25">
        <v>5.2</v>
      </c>
      <c r="L122" s="23" t="str">
        <f>VLOOKUP(A122,'Customer-details'!$A$1:$C$1001,2,FALSE)</f>
        <v>Normal</v>
      </c>
      <c r="M122" s="23" t="str">
        <f>VLOOKUP(A122,'Customer-details'!$A$1:$C$1001,3,FALSE)</f>
        <v>Female</v>
      </c>
      <c r="N122" s="23" t="str">
        <f>VLOOKUP(A122,'Product-details'!$A$1:$B$1001,2,FALSE)</f>
        <v>Electronic accessories</v>
      </c>
      <c r="O122" s="23" t="str">
        <f>VLOOKUP(A122,'City-details'!$A$1:$C$1001,3,FALSE)</f>
        <v>Yangon</v>
      </c>
      <c r="P122" s="23" t="str">
        <f>VLOOKUP(A122,'City-details'!$A$1:$C$1001,2,FALSE)</f>
        <v>A</v>
      </c>
      <c r="Q122" s="23" t="str">
        <f t="shared" si="3"/>
        <v>Feb</v>
      </c>
      <c r="R122" s="26" t="str">
        <f t="shared" si="4"/>
        <v>Thu</v>
      </c>
      <c r="S122">
        <f t="shared" si="5"/>
        <v>13</v>
      </c>
      <c r="T122" t="str" cm="1">
        <f t="array" ref="T122">_xlfn.IFS(S122&lt;=12,"Morning",S122&lt;=16,"Afternoon",S122&lt;=21,"Evening",S122&lt;=24,"Night")</f>
        <v>Afternoon</v>
      </c>
    </row>
    <row r="123" spans="1:20" x14ac:dyDescent="0.25">
      <c r="A123" s="31" t="s">
        <v>157</v>
      </c>
      <c r="B123" s="27">
        <v>57.12</v>
      </c>
      <c r="C123" s="28">
        <v>7</v>
      </c>
      <c r="D123" s="27">
        <v>19.992000000000001</v>
      </c>
      <c r="E123" s="27">
        <v>419.83199999999999</v>
      </c>
      <c r="F123" s="29">
        <v>43477</v>
      </c>
      <c r="G123" s="30">
        <v>5.5888888888888903</v>
      </c>
      <c r="H123" s="31" t="s">
        <v>33</v>
      </c>
      <c r="I123" s="27">
        <v>399.84</v>
      </c>
      <c r="J123" s="32">
        <v>4.7619047620000003</v>
      </c>
      <c r="K123" s="33">
        <v>6.5</v>
      </c>
      <c r="L123" s="31" t="str">
        <f>VLOOKUP(A123,'Customer-details'!$A$1:$C$1001,2,FALSE)</f>
        <v>Member</v>
      </c>
      <c r="M123" s="31" t="str">
        <f>VLOOKUP(A123,'Customer-details'!$A$1:$C$1001,3,FALSE)</f>
        <v>Male</v>
      </c>
      <c r="N123" s="31" t="str">
        <f>VLOOKUP(A123,'Product-details'!$A$1:$B$1001,2,FALSE)</f>
        <v>Sports and travel</v>
      </c>
      <c r="O123" s="31" t="str">
        <f>VLOOKUP(A123,'City-details'!$A$1:$C$1001,3,FALSE)</f>
        <v>Naypyitaw</v>
      </c>
      <c r="P123" s="31" t="str">
        <f>VLOOKUP(A123,'City-details'!$A$1:$C$1001,2,FALSE)</f>
        <v>C</v>
      </c>
      <c r="Q123" s="31" t="str">
        <f t="shared" si="3"/>
        <v>Jan</v>
      </c>
      <c r="R123" s="34" t="str">
        <f t="shared" si="4"/>
        <v>Sat</v>
      </c>
      <c r="S123">
        <f t="shared" si="5"/>
        <v>14</v>
      </c>
      <c r="T123" t="str" cm="1">
        <f t="array" ref="T123">_xlfn.IFS(S123&lt;=12,"Morning",S123&lt;=16,"Afternoon",S123&lt;=21,"Evening",S123&lt;=24,"Night")</f>
        <v>Afternoon</v>
      </c>
    </row>
    <row r="124" spans="1:20" x14ac:dyDescent="0.25">
      <c r="A124" s="23" t="s">
        <v>158</v>
      </c>
      <c r="B124" s="19">
        <v>99.96</v>
      </c>
      <c r="C124" s="20">
        <v>9</v>
      </c>
      <c r="D124" s="19">
        <v>44.981999999999999</v>
      </c>
      <c r="E124" s="19">
        <v>944.62199999999996</v>
      </c>
      <c r="F124" s="21">
        <v>43533</v>
      </c>
      <c r="G124" s="22">
        <v>5.63055555555556</v>
      </c>
      <c r="H124" s="23" t="s">
        <v>33</v>
      </c>
      <c r="I124" s="19">
        <v>899.64</v>
      </c>
      <c r="J124" s="24">
        <v>4.7619047620000003</v>
      </c>
      <c r="K124" s="25">
        <v>4.2</v>
      </c>
      <c r="L124" s="23" t="str">
        <f>VLOOKUP(A124,'Customer-details'!$A$1:$C$1001,2,FALSE)</f>
        <v>Member</v>
      </c>
      <c r="M124" s="23" t="str">
        <f>VLOOKUP(A124,'Customer-details'!$A$1:$C$1001,3,FALSE)</f>
        <v>Male</v>
      </c>
      <c r="N124" s="23" t="str">
        <f>VLOOKUP(A124,'Product-details'!$A$1:$B$1001,2,FALSE)</f>
        <v>Sports and travel</v>
      </c>
      <c r="O124" s="23" t="str">
        <f>VLOOKUP(A124,'City-details'!$A$1:$C$1001,3,FALSE)</f>
        <v>Mandalay</v>
      </c>
      <c r="P124" s="23" t="str">
        <f>VLOOKUP(A124,'City-details'!$A$1:$C$1001,2,FALSE)</f>
        <v>B</v>
      </c>
      <c r="Q124" s="23" t="str">
        <f t="shared" si="3"/>
        <v>Mar</v>
      </c>
      <c r="R124" s="26" t="str">
        <f t="shared" si="4"/>
        <v>Sat</v>
      </c>
      <c r="S124">
        <f t="shared" si="5"/>
        <v>15</v>
      </c>
      <c r="T124" t="str" cm="1">
        <f t="array" ref="T124">_xlfn.IFS(S124&lt;=12,"Morning",S124&lt;=16,"Afternoon",S124&lt;=21,"Evening",S124&lt;=24,"Night")</f>
        <v>Afternoon</v>
      </c>
    </row>
    <row r="125" spans="1:20" x14ac:dyDescent="0.25">
      <c r="A125" s="31" t="s">
        <v>159</v>
      </c>
      <c r="B125" s="27">
        <v>63.91</v>
      </c>
      <c r="C125" s="28">
        <v>8</v>
      </c>
      <c r="D125" s="27">
        <v>25.564</v>
      </c>
      <c r="E125" s="27">
        <v>536.84400000000005</v>
      </c>
      <c r="F125" s="29">
        <v>43537</v>
      </c>
      <c r="G125" s="30">
        <v>5.6722222222222198</v>
      </c>
      <c r="H125" s="31" t="s">
        <v>33</v>
      </c>
      <c r="I125" s="27">
        <v>511.28</v>
      </c>
      <c r="J125" s="32">
        <v>4.7619047620000003</v>
      </c>
      <c r="K125" s="33">
        <v>4.5999999999999996</v>
      </c>
      <c r="L125" s="31" t="str">
        <f>VLOOKUP(A125,'Customer-details'!$A$1:$C$1001,2,FALSE)</f>
        <v>Member</v>
      </c>
      <c r="M125" s="31" t="str">
        <f>VLOOKUP(A125,'Customer-details'!$A$1:$C$1001,3,FALSE)</f>
        <v>Male</v>
      </c>
      <c r="N125" s="31" t="str">
        <f>VLOOKUP(A125,'Product-details'!$A$1:$B$1001,2,FALSE)</f>
        <v>Home and lifestyle</v>
      </c>
      <c r="O125" s="31" t="str">
        <f>VLOOKUP(A125,'City-details'!$A$1:$C$1001,3,FALSE)</f>
        <v>Naypyitaw</v>
      </c>
      <c r="P125" s="31" t="str">
        <f>VLOOKUP(A125,'City-details'!$A$1:$C$1001,2,FALSE)</f>
        <v>C</v>
      </c>
      <c r="Q125" s="31" t="str">
        <f t="shared" si="3"/>
        <v>Mar</v>
      </c>
      <c r="R125" s="34" t="str">
        <f t="shared" si="4"/>
        <v>Wed</v>
      </c>
      <c r="S125">
        <f t="shared" si="5"/>
        <v>16</v>
      </c>
      <c r="T125" t="str" cm="1">
        <f t="array" ref="T125">_xlfn.IFS(S125&lt;=12,"Morning",S125&lt;=16,"Afternoon",S125&lt;=21,"Evening",S125&lt;=24,"Night")</f>
        <v>Afternoon</v>
      </c>
    </row>
    <row r="126" spans="1:20" x14ac:dyDescent="0.25">
      <c r="A126" s="23" t="s">
        <v>160</v>
      </c>
      <c r="B126" s="19">
        <v>56.47</v>
      </c>
      <c r="C126" s="20">
        <v>8</v>
      </c>
      <c r="D126" s="19">
        <v>22.588000000000001</v>
      </c>
      <c r="E126" s="19">
        <v>474.34800000000001</v>
      </c>
      <c r="F126" s="21">
        <v>43533</v>
      </c>
      <c r="G126" s="22">
        <v>5.7138888888888903</v>
      </c>
      <c r="H126" s="23" t="s">
        <v>23</v>
      </c>
      <c r="I126" s="19">
        <v>451.76</v>
      </c>
      <c r="J126" s="24">
        <v>4.7619047620000003</v>
      </c>
      <c r="K126" s="25">
        <v>7.3</v>
      </c>
      <c r="L126" s="23" t="str">
        <f>VLOOKUP(A126,'Customer-details'!$A$1:$C$1001,2,FALSE)</f>
        <v>Member</v>
      </c>
      <c r="M126" s="23" t="str">
        <f>VLOOKUP(A126,'Customer-details'!$A$1:$C$1001,3,FALSE)</f>
        <v>Female</v>
      </c>
      <c r="N126" s="23" t="str">
        <f>VLOOKUP(A126,'Product-details'!$A$1:$B$1001,2,FALSE)</f>
        <v>Fashion accessories</v>
      </c>
      <c r="O126" s="23" t="str">
        <f>VLOOKUP(A126,'City-details'!$A$1:$C$1001,3,FALSE)</f>
        <v>Mandalay</v>
      </c>
      <c r="P126" s="23" t="str">
        <f>VLOOKUP(A126,'City-details'!$A$1:$C$1001,2,FALSE)</f>
        <v>B</v>
      </c>
      <c r="Q126" s="23" t="str">
        <f t="shared" si="3"/>
        <v>Mar</v>
      </c>
      <c r="R126" s="26" t="str">
        <f t="shared" si="4"/>
        <v>Sat</v>
      </c>
      <c r="S126">
        <f t="shared" si="5"/>
        <v>17</v>
      </c>
      <c r="T126" t="str" cm="1">
        <f t="array" ref="T126">_xlfn.IFS(S126&lt;=12,"Morning",S126&lt;=16,"Afternoon",S126&lt;=21,"Evening",S126&lt;=24,"Night")</f>
        <v>Evening</v>
      </c>
    </row>
    <row r="127" spans="1:20" x14ac:dyDescent="0.25">
      <c r="A127" s="31" t="s">
        <v>161</v>
      </c>
      <c r="B127" s="27">
        <v>93.69</v>
      </c>
      <c r="C127" s="28">
        <v>7</v>
      </c>
      <c r="D127" s="27">
        <v>32.791499999999999</v>
      </c>
      <c r="E127" s="27">
        <v>688.62149999999997</v>
      </c>
      <c r="F127" s="29">
        <v>43534</v>
      </c>
      <c r="G127" s="30">
        <v>5.75555555555556</v>
      </c>
      <c r="H127" s="31" t="s">
        <v>33</v>
      </c>
      <c r="I127" s="27">
        <v>655.83</v>
      </c>
      <c r="J127" s="32">
        <v>4.7619047620000003</v>
      </c>
      <c r="K127" s="33">
        <v>4.5</v>
      </c>
      <c r="L127" s="31" t="str">
        <f>VLOOKUP(A127,'Customer-details'!$A$1:$C$1001,2,FALSE)</f>
        <v>Normal</v>
      </c>
      <c r="M127" s="31" t="str">
        <f>VLOOKUP(A127,'Customer-details'!$A$1:$C$1001,3,FALSE)</f>
        <v>Female</v>
      </c>
      <c r="N127" s="31" t="str">
        <f>VLOOKUP(A127,'Product-details'!$A$1:$B$1001,2,FALSE)</f>
        <v>Home and lifestyle</v>
      </c>
      <c r="O127" s="31" t="str">
        <f>VLOOKUP(A127,'City-details'!$A$1:$C$1001,3,FALSE)</f>
        <v>Yangon</v>
      </c>
      <c r="P127" s="31" t="str">
        <f>VLOOKUP(A127,'City-details'!$A$1:$C$1001,2,FALSE)</f>
        <v>A</v>
      </c>
      <c r="Q127" s="31" t="str">
        <f t="shared" si="3"/>
        <v>Mar</v>
      </c>
      <c r="R127" s="34" t="str">
        <f t="shared" si="4"/>
        <v>Sun</v>
      </c>
      <c r="S127">
        <f t="shared" si="5"/>
        <v>18</v>
      </c>
      <c r="T127" t="str" cm="1">
        <f t="array" ref="T127">_xlfn.IFS(S127&lt;=12,"Morning",S127&lt;=16,"Afternoon",S127&lt;=21,"Evening",S127&lt;=24,"Night")</f>
        <v>Evening</v>
      </c>
    </row>
    <row r="128" spans="1:20" x14ac:dyDescent="0.25">
      <c r="A128" s="23" t="s">
        <v>162</v>
      </c>
      <c r="B128" s="19">
        <v>32.25</v>
      </c>
      <c r="C128" s="20">
        <v>5</v>
      </c>
      <c r="D128" s="19">
        <v>8.0625</v>
      </c>
      <c r="E128" s="19">
        <v>169.3125</v>
      </c>
      <c r="F128" s="21">
        <v>43492</v>
      </c>
      <c r="G128" s="22">
        <v>5.7972222222222198</v>
      </c>
      <c r="H128" s="23" t="s">
        <v>29</v>
      </c>
      <c r="I128" s="19">
        <v>161.25</v>
      </c>
      <c r="J128" s="24">
        <v>4.7619047620000003</v>
      </c>
      <c r="K128" s="25">
        <v>9</v>
      </c>
      <c r="L128" s="23" t="str">
        <f>VLOOKUP(A128,'Customer-details'!$A$1:$C$1001,2,FALSE)</f>
        <v>Normal</v>
      </c>
      <c r="M128" s="23" t="str">
        <f>VLOOKUP(A128,'Customer-details'!$A$1:$C$1001,3,FALSE)</f>
        <v>Female</v>
      </c>
      <c r="N128" s="23" t="str">
        <f>VLOOKUP(A128,'Product-details'!$A$1:$B$1001,2,FALSE)</f>
        <v>Sports and travel</v>
      </c>
      <c r="O128" s="23" t="str">
        <f>VLOOKUP(A128,'City-details'!$A$1:$C$1001,3,FALSE)</f>
        <v>Yangon</v>
      </c>
      <c r="P128" s="23" t="str">
        <f>VLOOKUP(A128,'City-details'!$A$1:$C$1001,2,FALSE)</f>
        <v>A</v>
      </c>
      <c r="Q128" s="23" t="str">
        <f t="shared" si="3"/>
        <v>Jan</v>
      </c>
      <c r="R128" s="26" t="str">
        <f t="shared" si="4"/>
        <v>Sun</v>
      </c>
      <c r="S128">
        <f t="shared" si="5"/>
        <v>19</v>
      </c>
      <c r="T128" t="str" cm="1">
        <f t="array" ref="T128">_xlfn.IFS(S128&lt;=12,"Morning",S128&lt;=16,"Afternoon",S128&lt;=21,"Evening",S128&lt;=24,"Night")</f>
        <v>Evening</v>
      </c>
    </row>
    <row r="129" spans="1:20" x14ac:dyDescent="0.25">
      <c r="A129" s="31" t="s">
        <v>163</v>
      </c>
      <c r="B129" s="27">
        <v>31.73</v>
      </c>
      <c r="C129" s="28">
        <v>9</v>
      </c>
      <c r="D129" s="27">
        <v>14.278499999999999</v>
      </c>
      <c r="E129" s="27">
        <v>299.8485</v>
      </c>
      <c r="F129" s="29">
        <v>43473</v>
      </c>
      <c r="G129" s="30">
        <v>5.8388888888888903</v>
      </c>
      <c r="H129" s="31" t="s">
        <v>33</v>
      </c>
      <c r="I129" s="27">
        <v>285.57</v>
      </c>
      <c r="J129" s="32">
        <v>4.7619047620000003</v>
      </c>
      <c r="K129" s="33">
        <v>5.9</v>
      </c>
      <c r="L129" s="31" t="str">
        <f>VLOOKUP(A129,'Customer-details'!$A$1:$C$1001,2,FALSE)</f>
        <v>Normal</v>
      </c>
      <c r="M129" s="31" t="str">
        <f>VLOOKUP(A129,'Customer-details'!$A$1:$C$1001,3,FALSE)</f>
        <v>Female</v>
      </c>
      <c r="N129" s="31" t="str">
        <f>VLOOKUP(A129,'Product-details'!$A$1:$B$1001,2,FALSE)</f>
        <v>Fashion accessories</v>
      </c>
      <c r="O129" s="31" t="str">
        <f>VLOOKUP(A129,'City-details'!$A$1:$C$1001,3,FALSE)</f>
        <v>Naypyitaw</v>
      </c>
      <c r="P129" s="31" t="str">
        <f>VLOOKUP(A129,'City-details'!$A$1:$C$1001,2,FALSE)</f>
        <v>C</v>
      </c>
      <c r="Q129" s="31" t="str">
        <f t="shared" si="3"/>
        <v>Jan</v>
      </c>
      <c r="R129" s="34" t="str">
        <f t="shared" si="4"/>
        <v>Tue</v>
      </c>
      <c r="S129">
        <f t="shared" si="5"/>
        <v>20</v>
      </c>
      <c r="T129" t="str" cm="1">
        <f t="array" ref="T129">_xlfn.IFS(S129&lt;=12,"Morning",S129&lt;=16,"Afternoon",S129&lt;=21,"Evening",S129&lt;=24,"Night")</f>
        <v>Evening</v>
      </c>
    </row>
    <row r="130" spans="1:20" x14ac:dyDescent="0.25">
      <c r="A130" s="23" t="s">
        <v>164</v>
      </c>
      <c r="B130" s="19">
        <v>68.540000000000006</v>
      </c>
      <c r="C130" s="20">
        <v>8</v>
      </c>
      <c r="D130" s="19">
        <v>27.416</v>
      </c>
      <c r="E130" s="19">
        <v>575.73599999999999</v>
      </c>
      <c r="F130" s="21">
        <v>43473</v>
      </c>
      <c r="G130" s="22">
        <v>5.88055555555556</v>
      </c>
      <c r="H130" s="23" t="s">
        <v>23</v>
      </c>
      <c r="I130" s="19">
        <v>548.32000000000005</v>
      </c>
      <c r="J130" s="24">
        <v>4.7619047620000003</v>
      </c>
      <c r="K130" s="25">
        <v>8.5</v>
      </c>
      <c r="L130" s="23" t="str">
        <f>VLOOKUP(A130,'Customer-details'!$A$1:$C$1001,2,FALSE)</f>
        <v>Member</v>
      </c>
      <c r="M130" s="23" t="str">
        <f>VLOOKUP(A130,'Customer-details'!$A$1:$C$1001,3,FALSE)</f>
        <v>Female</v>
      </c>
      <c r="N130" s="23" t="str">
        <f>VLOOKUP(A130,'Product-details'!$A$1:$B$1001,2,FALSE)</f>
        <v>Food and beverages</v>
      </c>
      <c r="O130" s="23" t="str">
        <f>VLOOKUP(A130,'City-details'!$A$1:$C$1001,3,FALSE)</f>
        <v>Naypyitaw</v>
      </c>
      <c r="P130" s="23" t="str">
        <f>VLOOKUP(A130,'City-details'!$A$1:$C$1001,2,FALSE)</f>
        <v>C</v>
      </c>
      <c r="Q130" s="23" t="str">
        <f t="shared" si="3"/>
        <v>Jan</v>
      </c>
      <c r="R130" s="26" t="str">
        <f t="shared" si="4"/>
        <v>Tue</v>
      </c>
      <c r="S130">
        <f t="shared" si="5"/>
        <v>21</v>
      </c>
      <c r="T130" t="str" cm="1">
        <f t="array" ref="T130">_xlfn.IFS(S130&lt;=12,"Morning",S130&lt;=16,"Afternoon",S130&lt;=21,"Evening",S130&lt;=24,"Night")</f>
        <v>Evening</v>
      </c>
    </row>
    <row r="131" spans="1:20" x14ac:dyDescent="0.25">
      <c r="A131" s="31" t="s">
        <v>165</v>
      </c>
      <c r="B131" s="27">
        <v>90.28</v>
      </c>
      <c r="C131" s="28">
        <v>9</v>
      </c>
      <c r="D131" s="27">
        <v>40.625999999999998</v>
      </c>
      <c r="E131" s="27">
        <v>853.14599999999996</v>
      </c>
      <c r="F131" s="29">
        <v>43504</v>
      </c>
      <c r="G131" s="30">
        <v>5.9222222222222198</v>
      </c>
      <c r="H131" s="31" t="s">
        <v>23</v>
      </c>
      <c r="I131" s="27">
        <v>812.52</v>
      </c>
      <c r="J131" s="32">
        <v>4.7619047620000003</v>
      </c>
      <c r="K131" s="33">
        <v>7.2</v>
      </c>
      <c r="L131" s="31" t="str">
        <f>VLOOKUP(A131,'Customer-details'!$A$1:$C$1001,2,FALSE)</f>
        <v>Normal</v>
      </c>
      <c r="M131" s="31" t="str">
        <f>VLOOKUP(A131,'Customer-details'!$A$1:$C$1001,3,FALSE)</f>
        <v>Female</v>
      </c>
      <c r="N131" s="31" t="str">
        <f>VLOOKUP(A131,'Product-details'!$A$1:$B$1001,2,FALSE)</f>
        <v>Sports and travel</v>
      </c>
      <c r="O131" s="31" t="str">
        <f>VLOOKUP(A131,'City-details'!$A$1:$C$1001,3,FALSE)</f>
        <v>Mandalay</v>
      </c>
      <c r="P131" s="31" t="str">
        <f>VLOOKUP(A131,'City-details'!$A$1:$C$1001,2,FALSE)</f>
        <v>B</v>
      </c>
      <c r="Q131" s="31" t="str">
        <f t="shared" ref="Q131:Q194" si="6">TEXT(F131,"mmm")</f>
        <v>Feb</v>
      </c>
      <c r="R131" s="34" t="str">
        <f t="shared" ref="R131:R194" si="7">TEXT(F131,"ddd")</f>
        <v>Fri</v>
      </c>
      <c r="S131">
        <f t="shared" ref="S131:S194" si="8">HOUR(G131)</f>
        <v>22</v>
      </c>
      <c r="T131" t="str" cm="1">
        <f t="array" ref="T131">_xlfn.IFS(S131&lt;=12,"Morning",S131&lt;=16,"Afternoon",S131&lt;=21,"Evening",S131&lt;=24,"Night")</f>
        <v>Night</v>
      </c>
    </row>
    <row r="132" spans="1:20" x14ac:dyDescent="0.25">
      <c r="A132" s="23" t="s">
        <v>166</v>
      </c>
      <c r="B132" s="19">
        <v>39.619999999999997</v>
      </c>
      <c r="C132" s="20">
        <v>7</v>
      </c>
      <c r="D132" s="19">
        <v>13.867000000000001</v>
      </c>
      <c r="E132" s="19">
        <v>291.20699999999999</v>
      </c>
      <c r="F132" s="21">
        <v>43490</v>
      </c>
      <c r="G132" s="22">
        <v>5.9638888888888903</v>
      </c>
      <c r="H132" s="23" t="s">
        <v>29</v>
      </c>
      <c r="I132" s="19">
        <v>277.33999999999997</v>
      </c>
      <c r="J132" s="24">
        <v>4.7619047620000003</v>
      </c>
      <c r="K132" s="25">
        <v>7.5</v>
      </c>
      <c r="L132" s="23" t="str">
        <f>VLOOKUP(A132,'Customer-details'!$A$1:$C$1001,2,FALSE)</f>
        <v>Normal</v>
      </c>
      <c r="M132" s="23" t="str">
        <f>VLOOKUP(A132,'Customer-details'!$A$1:$C$1001,3,FALSE)</f>
        <v>Female</v>
      </c>
      <c r="N132" s="23" t="str">
        <f>VLOOKUP(A132,'Product-details'!$A$1:$B$1001,2,FALSE)</f>
        <v>Fashion accessories</v>
      </c>
      <c r="O132" s="23" t="str">
        <f>VLOOKUP(A132,'City-details'!$A$1:$C$1001,3,FALSE)</f>
        <v>Mandalay</v>
      </c>
      <c r="P132" s="23" t="str">
        <f>VLOOKUP(A132,'City-details'!$A$1:$C$1001,2,FALSE)</f>
        <v>B</v>
      </c>
      <c r="Q132" s="23" t="str">
        <f t="shared" si="6"/>
        <v>Jan</v>
      </c>
      <c r="R132" s="26" t="str">
        <f t="shared" si="7"/>
        <v>Fri</v>
      </c>
      <c r="S132">
        <f t="shared" si="8"/>
        <v>23</v>
      </c>
      <c r="T132" t="str" cm="1">
        <f t="array" ref="T132">_xlfn.IFS(S132&lt;=12,"Morning",S132&lt;=16,"Afternoon",S132&lt;=21,"Evening",S132&lt;=24,"Night")</f>
        <v>Night</v>
      </c>
    </row>
    <row r="133" spans="1:20" x14ac:dyDescent="0.25">
      <c r="A133" s="31" t="s">
        <v>167</v>
      </c>
      <c r="B133" s="27">
        <v>92.13</v>
      </c>
      <c r="C133" s="28">
        <v>6</v>
      </c>
      <c r="D133" s="27">
        <v>27.638999999999999</v>
      </c>
      <c r="E133" s="27">
        <v>580.41899999999998</v>
      </c>
      <c r="F133" s="29">
        <v>43530</v>
      </c>
      <c r="G133" s="30">
        <v>6.00555555555556</v>
      </c>
      <c r="H133" s="31" t="s">
        <v>29</v>
      </c>
      <c r="I133" s="27">
        <v>552.78</v>
      </c>
      <c r="J133" s="32">
        <v>4.7619047620000003</v>
      </c>
      <c r="K133" s="33">
        <v>8.3000000000000007</v>
      </c>
      <c r="L133" s="31" t="str">
        <f>VLOOKUP(A133,'Customer-details'!$A$1:$C$1001,2,FALSE)</f>
        <v>Member</v>
      </c>
      <c r="M133" s="31" t="str">
        <f>VLOOKUP(A133,'Customer-details'!$A$1:$C$1001,3,FALSE)</f>
        <v>Female</v>
      </c>
      <c r="N133" s="31" t="str">
        <f>VLOOKUP(A133,'Product-details'!$A$1:$B$1001,2,FALSE)</f>
        <v>Sports and travel</v>
      </c>
      <c r="O133" s="31" t="str">
        <f>VLOOKUP(A133,'City-details'!$A$1:$C$1001,3,FALSE)</f>
        <v>Yangon</v>
      </c>
      <c r="P133" s="31" t="str">
        <f>VLOOKUP(A133,'City-details'!$A$1:$C$1001,2,FALSE)</f>
        <v>A</v>
      </c>
      <c r="Q133" s="31" t="str">
        <f t="shared" si="6"/>
        <v>Mar</v>
      </c>
      <c r="R133" s="34" t="str">
        <f t="shared" si="7"/>
        <v>Wed</v>
      </c>
      <c r="S133">
        <f t="shared" si="8"/>
        <v>0</v>
      </c>
      <c r="T133" t="str" cm="1">
        <f t="array" ref="T133">_xlfn.IFS(S133&lt;=12,"Morning",S133&lt;=16,"Afternoon",S133&lt;=21,"Evening",S133&lt;=24,"Night")</f>
        <v>Morning</v>
      </c>
    </row>
    <row r="134" spans="1:20" x14ac:dyDescent="0.25">
      <c r="A134" s="23" t="s">
        <v>168</v>
      </c>
      <c r="B134" s="19">
        <v>34.840000000000003</v>
      </c>
      <c r="C134" s="20">
        <v>4</v>
      </c>
      <c r="D134" s="19">
        <v>6.968</v>
      </c>
      <c r="E134" s="19">
        <v>146.328</v>
      </c>
      <c r="F134" s="21">
        <v>43506</v>
      </c>
      <c r="G134" s="22">
        <v>6.0472222222222198</v>
      </c>
      <c r="H134" s="23" t="s">
        <v>29</v>
      </c>
      <c r="I134" s="19">
        <v>139.36000000000001</v>
      </c>
      <c r="J134" s="24">
        <v>4.7619047620000003</v>
      </c>
      <c r="K134" s="25">
        <v>7.4</v>
      </c>
      <c r="L134" s="23" t="str">
        <f>VLOOKUP(A134,'Customer-details'!$A$1:$C$1001,2,FALSE)</f>
        <v>Normal</v>
      </c>
      <c r="M134" s="23" t="str">
        <f>VLOOKUP(A134,'Customer-details'!$A$1:$C$1001,3,FALSE)</f>
        <v>Female</v>
      </c>
      <c r="N134" s="23" t="str">
        <f>VLOOKUP(A134,'Product-details'!$A$1:$B$1001,2,FALSE)</f>
        <v>Sports and travel</v>
      </c>
      <c r="O134" s="23" t="str">
        <f>VLOOKUP(A134,'City-details'!$A$1:$C$1001,3,FALSE)</f>
        <v>Mandalay</v>
      </c>
      <c r="P134" s="23" t="str">
        <f>VLOOKUP(A134,'City-details'!$A$1:$C$1001,2,FALSE)</f>
        <v>B</v>
      </c>
      <c r="Q134" s="23" t="str">
        <f t="shared" si="6"/>
        <v>Feb</v>
      </c>
      <c r="R134" s="26" t="str">
        <f t="shared" si="7"/>
        <v>Sun</v>
      </c>
      <c r="S134">
        <f t="shared" si="8"/>
        <v>1</v>
      </c>
      <c r="T134" t="str" cm="1">
        <f t="array" ref="T134">_xlfn.IFS(S134&lt;=12,"Morning",S134&lt;=16,"Afternoon",S134&lt;=21,"Evening",S134&lt;=24,"Night")</f>
        <v>Morning</v>
      </c>
    </row>
    <row r="135" spans="1:20" x14ac:dyDescent="0.25">
      <c r="A135" s="31" t="s">
        <v>169</v>
      </c>
      <c r="B135" s="27">
        <v>87.45</v>
      </c>
      <c r="C135" s="28">
        <v>6</v>
      </c>
      <c r="D135" s="27">
        <v>26.234999999999999</v>
      </c>
      <c r="E135" s="27">
        <v>550.93499999999995</v>
      </c>
      <c r="F135" s="29">
        <v>43513</v>
      </c>
      <c r="G135" s="30">
        <v>6.0888888888888903</v>
      </c>
      <c r="H135" s="31" t="s">
        <v>33</v>
      </c>
      <c r="I135" s="27">
        <v>524.70000000000005</v>
      </c>
      <c r="J135" s="32">
        <v>4.7619047620000003</v>
      </c>
      <c r="K135" s="33">
        <v>8.8000000000000007</v>
      </c>
      <c r="L135" s="31" t="str">
        <f>VLOOKUP(A135,'Customer-details'!$A$1:$C$1001,2,FALSE)</f>
        <v>Member</v>
      </c>
      <c r="M135" s="31" t="str">
        <f>VLOOKUP(A135,'Customer-details'!$A$1:$C$1001,3,FALSE)</f>
        <v>Male</v>
      </c>
      <c r="N135" s="31" t="str">
        <f>VLOOKUP(A135,'Product-details'!$A$1:$B$1001,2,FALSE)</f>
        <v>Electronic accessories</v>
      </c>
      <c r="O135" s="31" t="str">
        <f>VLOOKUP(A135,'City-details'!$A$1:$C$1001,3,FALSE)</f>
        <v>Mandalay</v>
      </c>
      <c r="P135" s="31" t="str">
        <f>VLOOKUP(A135,'City-details'!$A$1:$C$1001,2,FALSE)</f>
        <v>B</v>
      </c>
      <c r="Q135" s="31" t="str">
        <f t="shared" si="6"/>
        <v>Feb</v>
      </c>
      <c r="R135" s="34" t="str">
        <f t="shared" si="7"/>
        <v>Sun</v>
      </c>
      <c r="S135">
        <f t="shared" si="8"/>
        <v>2</v>
      </c>
      <c r="T135" t="str" cm="1">
        <f t="array" ref="T135">_xlfn.IFS(S135&lt;=12,"Morning",S135&lt;=16,"Afternoon",S135&lt;=21,"Evening",S135&lt;=24,"Night")</f>
        <v>Morning</v>
      </c>
    </row>
    <row r="136" spans="1:20" x14ac:dyDescent="0.25">
      <c r="A136" s="23" t="s">
        <v>170</v>
      </c>
      <c r="B136" s="19">
        <v>81.3</v>
      </c>
      <c r="C136" s="20">
        <v>6</v>
      </c>
      <c r="D136" s="19">
        <v>24.39</v>
      </c>
      <c r="E136" s="19">
        <v>512.19000000000005</v>
      </c>
      <c r="F136" s="21">
        <v>43532</v>
      </c>
      <c r="G136" s="22">
        <v>6.13055555555556</v>
      </c>
      <c r="H136" s="23" t="s">
        <v>23</v>
      </c>
      <c r="I136" s="19">
        <v>487.8</v>
      </c>
      <c r="J136" s="24">
        <v>4.7619047620000003</v>
      </c>
      <c r="K136" s="25">
        <v>5.3</v>
      </c>
      <c r="L136" s="23" t="str">
        <f>VLOOKUP(A136,'Customer-details'!$A$1:$C$1001,2,FALSE)</f>
        <v>Normal</v>
      </c>
      <c r="M136" s="23" t="str">
        <f>VLOOKUP(A136,'Customer-details'!$A$1:$C$1001,3,FALSE)</f>
        <v>Female</v>
      </c>
      <c r="N136" s="23" t="str">
        <f>VLOOKUP(A136,'Product-details'!$A$1:$B$1001,2,FALSE)</f>
        <v>Health and beauty</v>
      </c>
      <c r="O136" s="23" t="str">
        <f>VLOOKUP(A136,'City-details'!$A$1:$C$1001,3,FALSE)</f>
        <v>Naypyitaw</v>
      </c>
      <c r="P136" s="23" t="str">
        <f>VLOOKUP(A136,'City-details'!$A$1:$C$1001,2,FALSE)</f>
        <v>C</v>
      </c>
      <c r="Q136" s="23" t="str">
        <f t="shared" si="6"/>
        <v>Mar</v>
      </c>
      <c r="R136" s="26" t="str">
        <f t="shared" si="7"/>
        <v>Fri</v>
      </c>
      <c r="S136">
        <f t="shared" si="8"/>
        <v>3</v>
      </c>
      <c r="T136" t="str" cm="1">
        <f t="array" ref="T136">_xlfn.IFS(S136&lt;=12,"Morning",S136&lt;=16,"Afternoon",S136&lt;=21,"Evening",S136&lt;=24,"Night")</f>
        <v>Morning</v>
      </c>
    </row>
    <row r="137" spans="1:20" x14ac:dyDescent="0.25">
      <c r="A137" s="31" t="s">
        <v>171</v>
      </c>
      <c r="B137" s="27">
        <v>90.22</v>
      </c>
      <c r="C137" s="28">
        <v>3</v>
      </c>
      <c r="D137" s="27">
        <v>13.532999999999999</v>
      </c>
      <c r="E137" s="27">
        <v>284.19299999999998</v>
      </c>
      <c r="F137" s="29">
        <v>43514</v>
      </c>
      <c r="G137" s="30">
        <v>6.1722222222222198</v>
      </c>
      <c r="H137" s="31" t="s">
        <v>29</v>
      </c>
      <c r="I137" s="27">
        <v>270.66000000000003</v>
      </c>
      <c r="J137" s="32">
        <v>4.7619047620000003</v>
      </c>
      <c r="K137" s="33">
        <v>6.2</v>
      </c>
      <c r="L137" s="31" t="str">
        <f>VLOOKUP(A137,'Customer-details'!$A$1:$C$1001,2,FALSE)</f>
        <v>Normal</v>
      </c>
      <c r="M137" s="31" t="str">
        <f>VLOOKUP(A137,'Customer-details'!$A$1:$C$1001,3,FALSE)</f>
        <v>Male</v>
      </c>
      <c r="N137" s="31" t="str">
        <f>VLOOKUP(A137,'Product-details'!$A$1:$B$1001,2,FALSE)</f>
        <v>Fashion accessories</v>
      </c>
      <c r="O137" s="31" t="str">
        <f>VLOOKUP(A137,'City-details'!$A$1:$C$1001,3,FALSE)</f>
        <v>Naypyitaw</v>
      </c>
      <c r="P137" s="31" t="str">
        <f>VLOOKUP(A137,'City-details'!$A$1:$C$1001,2,FALSE)</f>
        <v>C</v>
      </c>
      <c r="Q137" s="31" t="str">
        <f t="shared" si="6"/>
        <v>Feb</v>
      </c>
      <c r="R137" s="34" t="str">
        <f t="shared" si="7"/>
        <v>Mon</v>
      </c>
      <c r="S137">
        <f t="shared" si="8"/>
        <v>4</v>
      </c>
      <c r="T137" t="str" cm="1">
        <f t="array" ref="T137">_xlfn.IFS(S137&lt;=12,"Morning",S137&lt;=16,"Afternoon",S137&lt;=21,"Evening",S137&lt;=24,"Night")</f>
        <v>Morning</v>
      </c>
    </row>
    <row r="138" spans="1:20" x14ac:dyDescent="0.25">
      <c r="A138" s="23" t="s">
        <v>172</v>
      </c>
      <c r="B138" s="19">
        <v>26.31</v>
      </c>
      <c r="C138" s="20">
        <v>5</v>
      </c>
      <c r="D138" s="19">
        <v>6.5774999999999997</v>
      </c>
      <c r="E138" s="19">
        <v>138.1275</v>
      </c>
      <c r="F138" s="21">
        <v>43483</v>
      </c>
      <c r="G138" s="22">
        <v>6.2138888888888903</v>
      </c>
      <c r="H138" s="23" t="s">
        <v>33</v>
      </c>
      <c r="I138" s="19">
        <v>131.55000000000001</v>
      </c>
      <c r="J138" s="24">
        <v>4.7619047620000003</v>
      </c>
      <c r="K138" s="25">
        <v>8.8000000000000007</v>
      </c>
      <c r="L138" s="23" t="str">
        <f>VLOOKUP(A138,'Customer-details'!$A$1:$C$1001,2,FALSE)</f>
        <v>Normal</v>
      </c>
      <c r="M138" s="23" t="str">
        <f>VLOOKUP(A138,'Customer-details'!$A$1:$C$1001,3,FALSE)</f>
        <v>Female</v>
      </c>
      <c r="N138" s="23" t="str">
        <f>VLOOKUP(A138,'Product-details'!$A$1:$B$1001,2,FALSE)</f>
        <v>Electronic accessories</v>
      </c>
      <c r="O138" s="23" t="str">
        <f>VLOOKUP(A138,'City-details'!$A$1:$C$1001,3,FALSE)</f>
        <v>Yangon</v>
      </c>
      <c r="P138" s="23" t="str">
        <f>VLOOKUP(A138,'City-details'!$A$1:$C$1001,2,FALSE)</f>
        <v>A</v>
      </c>
      <c r="Q138" s="23" t="str">
        <f t="shared" si="6"/>
        <v>Jan</v>
      </c>
      <c r="R138" s="26" t="str">
        <f t="shared" si="7"/>
        <v>Fri</v>
      </c>
      <c r="S138">
        <f t="shared" si="8"/>
        <v>5</v>
      </c>
      <c r="T138" t="str" cm="1">
        <f t="array" ref="T138">_xlfn.IFS(S138&lt;=12,"Morning",S138&lt;=16,"Afternoon",S138&lt;=21,"Evening",S138&lt;=24,"Night")</f>
        <v>Morning</v>
      </c>
    </row>
    <row r="139" spans="1:20" x14ac:dyDescent="0.25">
      <c r="A139" s="31" t="s">
        <v>173</v>
      </c>
      <c r="B139" s="27">
        <v>34.42</v>
      </c>
      <c r="C139" s="28">
        <v>6</v>
      </c>
      <c r="D139" s="27">
        <v>10.326000000000001</v>
      </c>
      <c r="E139" s="27">
        <v>216.846</v>
      </c>
      <c r="F139" s="29">
        <v>43514</v>
      </c>
      <c r="G139" s="30">
        <v>6.25555555555556</v>
      </c>
      <c r="H139" s="31" t="s">
        <v>29</v>
      </c>
      <c r="I139" s="27">
        <v>206.52</v>
      </c>
      <c r="J139" s="32">
        <v>4.7619047620000003</v>
      </c>
      <c r="K139" s="33">
        <v>9.8000000000000007</v>
      </c>
      <c r="L139" s="31" t="str">
        <f>VLOOKUP(A139,'Customer-details'!$A$1:$C$1001,2,FALSE)</f>
        <v>Member</v>
      </c>
      <c r="M139" s="31" t="str">
        <f>VLOOKUP(A139,'Customer-details'!$A$1:$C$1001,3,FALSE)</f>
        <v>Female</v>
      </c>
      <c r="N139" s="31" t="str">
        <f>VLOOKUP(A139,'Product-details'!$A$1:$B$1001,2,FALSE)</f>
        <v>Home and lifestyle</v>
      </c>
      <c r="O139" s="31" t="str">
        <f>VLOOKUP(A139,'City-details'!$A$1:$C$1001,3,FALSE)</f>
        <v>Yangon</v>
      </c>
      <c r="P139" s="31" t="str">
        <f>VLOOKUP(A139,'City-details'!$A$1:$C$1001,2,FALSE)</f>
        <v>A</v>
      </c>
      <c r="Q139" s="31" t="str">
        <f t="shared" si="6"/>
        <v>Feb</v>
      </c>
      <c r="R139" s="34" t="str">
        <f t="shared" si="7"/>
        <v>Mon</v>
      </c>
      <c r="S139">
        <f t="shared" si="8"/>
        <v>6</v>
      </c>
      <c r="T139" t="str" cm="1">
        <f t="array" ref="T139">_xlfn.IFS(S139&lt;=12,"Morning",S139&lt;=16,"Afternoon",S139&lt;=21,"Evening",S139&lt;=24,"Night")</f>
        <v>Morning</v>
      </c>
    </row>
    <row r="140" spans="1:20" x14ac:dyDescent="0.25">
      <c r="A140" s="23" t="s">
        <v>174</v>
      </c>
      <c r="B140" s="19">
        <v>51.91</v>
      </c>
      <c r="C140" s="20">
        <v>10</v>
      </c>
      <c r="D140" s="19">
        <v>25.954999999999998</v>
      </c>
      <c r="E140" s="19">
        <v>545.05499999999995</v>
      </c>
      <c r="F140" s="21">
        <v>43512</v>
      </c>
      <c r="G140" s="22">
        <v>6.2972222222222198</v>
      </c>
      <c r="H140" s="23" t="s">
        <v>29</v>
      </c>
      <c r="I140" s="19">
        <v>519.1</v>
      </c>
      <c r="J140" s="24">
        <v>4.7619047620000003</v>
      </c>
      <c r="K140" s="25">
        <v>8.1999999999999993</v>
      </c>
      <c r="L140" s="23" t="str">
        <f>VLOOKUP(A140,'Customer-details'!$A$1:$C$1001,2,FALSE)</f>
        <v>Normal</v>
      </c>
      <c r="M140" s="23" t="str">
        <f>VLOOKUP(A140,'Customer-details'!$A$1:$C$1001,3,FALSE)</f>
        <v>Male</v>
      </c>
      <c r="N140" s="23" t="str">
        <f>VLOOKUP(A140,'Product-details'!$A$1:$B$1001,2,FALSE)</f>
        <v>Sports and travel</v>
      </c>
      <c r="O140" s="23" t="str">
        <f>VLOOKUP(A140,'City-details'!$A$1:$C$1001,3,FALSE)</f>
        <v>Mandalay</v>
      </c>
      <c r="P140" s="23" t="str">
        <f>VLOOKUP(A140,'City-details'!$A$1:$C$1001,2,FALSE)</f>
        <v>B</v>
      </c>
      <c r="Q140" s="23" t="str">
        <f t="shared" si="6"/>
        <v>Feb</v>
      </c>
      <c r="R140" s="26" t="str">
        <f t="shared" si="7"/>
        <v>Sat</v>
      </c>
      <c r="S140">
        <f t="shared" si="8"/>
        <v>7</v>
      </c>
      <c r="T140" t="str" cm="1">
        <f t="array" ref="T140">_xlfn.IFS(S140&lt;=12,"Morning",S140&lt;=16,"Afternoon",S140&lt;=21,"Evening",S140&lt;=24,"Night")</f>
        <v>Morning</v>
      </c>
    </row>
    <row r="141" spans="1:20" x14ac:dyDescent="0.25">
      <c r="A141" s="31" t="s">
        <v>175</v>
      </c>
      <c r="B141" s="27">
        <v>72.5</v>
      </c>
      <c r="C141" s="28">
        <v>8</v>
      </c>
      <c r="D141" s="27">
        <v>29</v>
      </c>
      <c r="E141" s="27">
        <v>609</v>
      </c>
      <c r="F141" s="29">
        <v>43540</v>
      </c>
      <c r="G141" s="30">
        <v>6.3388888888888903</v>
      </c>
      <c r="H141" s="31" t="s">
        <v>23</v>
      </c>
      <c r="I141" s="27">
        <v>580</v>
      </c>
      <c r="J141" s="32">
        <v>4.7619047620000003</v>
      </c>
      <c r="K141" s="33">
        <v>9.1999999999999993</v>
      </c>
      <c r="L141" s="31" t="str">
        <f>VLOOKUP(A141,'Customer-details'!$A$1:$C$1001,2,FALSE)</f>
        <v>Normal</v>
      </c>
      <c r="M141" s="31" t="str">
        <f>VLOOKUP(A141,'Customer-details'!$A$1:$C$1001,3,FALSE)</f>
        <v>Male</v>
      </c>
      <c r="N141" s="31" t="str">
        <f>VLOOKUP(A141,'Product-details'!$A$1:$B$1001,2,FALSE)</f>
        <v>Sports and travel</v>
      </c>
      <c r="O141" s="31" t="str">
        <f>VLOOKUP(A141,'City-details'!$A$1:$C$1001,3,FALSE)</f>
        <v>Yangon</v>
      </c>
      <c r="P141" s="31" t="str">
        <f>VLOOKUP(A141,'City-details'!$A$1:$C$1001,2,FALSE)</f>
        <v>A</v>
      </c>
      <c r="Q141" s="31" t="str">
        <f t="shared" si="6"/>
        <v>Mar</v>
      </c>
      <c r="R141" s="34" t="str">
        <f t="shared" si="7"/>
        <v>Sat</v>
      </c>
      <c r="S141">
        <f t="shared" si="8"/>
        <v>8</v>
      </c>
      <c r="T141" t="str" cm="1">
        <f t="array" ref="T141">_xlfn.IFS(S141&lt;=12,"Morning",S141&lt;=16,"Afternoon",S141&lt;=21,"Evening",S141&lt;=24,"Night")</f>
        <v>Morning</v>
      </c>
    </row>
    <row r="142" spans="1:20" x14ac:dyDescent="0.25">
      <c r="A142" s="23" t="s">
        <v>176</v>
      </c>
      <c r="B142" s="19">
        <v>89.8</v>
      </c>
      <c r="C142" s="20">
        <v>10</v>
      </c>
      <c r="D142" s="19">
        <v>44.9</v>
      </c>
      <c r="E142" s="19">
        <v>942.9</v>
      </c>
      <c r="F142" s="21">
        <v>43488</v>
      </c>
      <c r="G142" s="22">
        <v>6.38055555555556</v>
      </c>
      <c r="H142" s="23" t="s">
        <v>33</v>
      </c>
      <c r="I142" s="19">
        <v>898</v>
      </c>
      <c r="J142" s="24">
        <v>4.7619047620000003</v>
      </c>
      <c r="K142" s="25">
        <v>5.4</v>
      </c>
      <c r="L142" s="23" t="str">
        <f>VLOOKUP(A142,'Customer-details'!$A$1:$C$1001,2,FALSE)</f>
        <v>Member</v>
      </c>
      <c r="M142" s="23" t="str">
        <f>VLOOKUP(A142,'Customer-details'!$A$1:$C$1001,3,FALSE)</f>
        <v>Female</v>
      </c>
      <c r="N142" s="23" t="str">
        <f>VLOOKUP(A142,'Product-details'!$A$1:$B$1001,2,FALSE)</f>
        <v>Sports and travel</v>
      </c>
      <c r="O142" s="23" t="str">
        <f>VLOOKUP(A142,'City-details'!$A$1:$C$1001,3,FALSE)</f>
        <v>Naypyitaw</v>
      </c>
      <c r="P142" s="23" t="str">
        <f>VLOOKUP(A142,'City-details'!$A$1:$C$1001,2,FALSE)</f>
        <v>C</v>
      </c>
      <c r="Q142" s="23" t="str">
        <f t="shared" si="6"/>
        <v>Jan</v>
      </c>
      <c r="R142" s="26" t="str">
        <f t="shared" si="7"/>
        <v>Wed</v>
      </c>
      <c r="S142">
        <f t="shared" si="8"/>
        <v>9</v>
      </c>
      <c r="T142" t="str" cm="1">
        <f t="array" ref="T142">_xlfn.IFS(S142&lt;=12,"Morning",S142&lt;=16,"Afternoon",S142&lt;=21,"Evening",S142&lt;=24,"Night")</f>
        <v>Morning</v>
      </c>
    </row>
    <row r="143" spans="1:20" x14ac:dyDescent="0.25">
      <c r="A143" s="31" t="s">
        <v>177</v>
      </c>
      <c r="B143" s="27">
        <v>90.5</v>
      </c>
      <c r="C143" s="28">
        <v>10</v>
      </c>
      <c r="D143" s="27">
        <v>45.25</v>
      </c>
      <c r="E143" s="27">
        <v>950.25</v>
      </c>
      <c r="F143" s="29">
        <v>43490</v>
      </c>
      <c r="G143" s="30">
        <v>6.4222222222222198</v>
      </c>
      <c r="H143" s="31" t="s">
        <v>29</v>
      </c>
      <c r="I143" s="27">
        <v>905</v>
      </c>
      <c r="J143" s="32">
        <v>4.7619047620000003</v>
      </c>
      <c r="K143" s="33">
        <v>8.1</v>
      </c>
      <c r="L143" s="31" t="str">
        <f>VLOOKUP(A143,'Customer-details'!$A$1:$C$1001,2,FALSE)</f>
        <v>Member</v>
      </c>
      <c r="M143" s="31" t="str">
        <f>VLOOKUP(A143,'Customer-details'!$A$1:$C$1001,3,FALSE)</f>
        <v>Male</v>
      </c>
      <c r="N143" s="31" t="str">
        <f>VLOOKUP(A143,'Product-details'!$A$1:$B$1001,2,FALSE)</f>
        <v>Health and beauty</v>
      </c>
      <c r="O143" s="31" t="str">
        <f>VLOOKUP(A143,'City-details'!$A$1:$C$1001,3,FALSE)</f>
        <v>Naypyitaw</v>
      </c>
      <c r="P143" s="31" t="str">
        <f>VLOOKUP(A143,'City-details'!$A$1:$C$1001,2,FALSE)</f>
        <v>C</v>
      </c>
      <c r="Q143" s="31" t="str">
        <f t="shared" si="6"/>
        <v>Jan</v>
      </c>
      <c r="R143" s="34" t="str">
        <f t="shared" si="7"/>
        <v>Fri</v>
      </c>
      <c r="S143">
        <f t="shared" si="8"/>
        <v>10</v>
      </c>
      <c r="T143" t="str" cm="1">
        <f t="array" ref="T143">_xlfn.IFS(S143&lt;=12,"Morning",S143&lt;=16,"Afternoon",S143&lt;=21,"Evening",S143&lt;=24,"Night")</f>
        <v>Morning</v>
      </c>
    </row>
    <row r="144" spans="1:20" x14ac:dyDescent="0.25">
      <c r="A144" s="23" t="s">
        <v>178</v>
      </c>
      <c r="B144" s="19">
        <v>68.599999999999994</v>
      </c>
      <c r="C144" s="20">
        <v>10</v>
      </c>
      <c r="D144" s="19">
        <v>34.299999999999997</v>
      </c>
      <c r="E144" s="19">
        <v>720.3</v>
      </c>
      <c r="F144" s="21">
        <v>43501</v>
      </c>
      <c r="G144" s="22">
        <v>6.4638888888888903</v>
      </c>
      <c r="H144" s="23" t="s">
        <v>29</v>
      </c>
      <c r="I144" s="19">
        <v>686</v>
      </c>
      <c r="J144" s="24">
        <v>4.7619047620000003</v>
      </c>
      <c r="K144" s="25">
        <v>9.1</v>
      </c>
      <c r="L144" s="23" t="str">
        <f>VLOOKUP(A144,'Customer-details'!$A$1:$C$1001,2,FALSE)</f>
        <v>Member</v>
      </c>
      <c r="M144" s="23" t="str">
        <f>VLOOKUP(A144,'Customer-details'!$A$1:$C$1001,3,FALSE)</f>
        <v>Female</v>
      </c>
      <c r="N144" s="23" t="str">
        <f>VLOOKUP(A144,'Product-details'!$A$1:$B$1001,2,FALSE)</f>
        <v>Health and beauty</v>
      </c>
      <c r="O144" s="23" t="str">
        <f>VLOOKUP(A144,'City-details'!$A$1:$C$1001,3,FALSE)</f>
        <v>Naypyitaw</v>
      </c>
      <c r="P144" s="23" t="str">
        <f>VLOOKUP(A144,'City-details'!$A$1:$C$1001,2,FALSE)</f>
        <v>C</v>
      </c>
      <c r="Q144" s="23" t="str">
        <f t="shared" si="6"/>
        <v>Feb</v>
      </c>
      <c r="R144" s="26" t="str">
        <f t="shared" si="7"/>
        <v>Tue</v>
      </c>
      <c r="S144">
        <f t="shared" si="8"/>
        <v>11</v>
      </c>
      <c r="T144" t="str" cm="1">
        <f t="array" ref="T144">_xlfn.IFS(S144&lt;=12,"Morning",S144&lt;=16,"Afternoon",S144&lt;=21,"Evening",S144&lt;=24,"Night")</f>
        <v>Morning</v>
      </c>
    </row>
    <row r="145" spans="1:20" x14ac:dyDescent="0.25">
      <c r="A145" s="31" t="s">
        <v>179</v>
      </c>
      <c r="B145" s="27">
        <v>30.41</v>
      </c>
      <c r="C145" s="28">
        <v>1</v>
      </c>
      <c r="D145" s="27">
        <v>1.5205</v>
      </c>
      <c r="E145" s="27">
        <v>31.930499999999999</v>
      </c>
      <c r="F145" s="29">
        <v>43518</v>
      </c>
      <c r="G145" s="30">
        <v>6.50555555555556</v>
      </c>
      <c r="H145" s="31" t="s">
        <v>33</v>
      </c>
      <c r="I145" s="27">
        <v>30.41</v>
      </c>
      <c r="J145" s="32">
        <v>4.7619047620000003</v>
      </c>
      <c r="K145" s="33">
        <v>8.4</v>
      </c>
      <c r="L145" s="31" t="str">
        <f>VLOOKUP(A145,'Customer-details'!$A$1:$C$1001,2,FALSE)</f>
        <v>Member</v>
      </c>
      <c r="M145" s="31" t="str">
        <f>VLOOKUP(A145,'Customer-details'!$A$1:$C$1001,3,FALSE)</f>
        <v>Female</v>
      </c>
      <c r="N145" s="31" t="str">
        <f>VLOOKUP(A145,'Product-details'!$A$1:$B$1001,2,FALSE)</f>
        <v>Food and beverages</v>
      </c>
      <c r="O145" s="31" t="str">
        <f>VLOOKUP(A145,'City-details'!$A$1:$C$1001,3,FALSE)</f>
        <v>Naypyitaw</v>
      </c>
      <c r="P145" s="31" t="str">
        <f>VLOOKUP(A145,'City-details'!$A$1:$C$1001,2,FALSE)</f>
        <v>C</v>
      </c>
      <c r="Q145" s="31" t="str">
        <f t="shared" si="6"/>
        <v>Feb</v>
      </c>
      <c r="R145" s="34" t="str">
        <f t="shared" si="7"/>
        <v>Fri</v>
      </c>
      <c r="S145">
        <f t="shared" si="8"/>
        <v>12</v>
      </c>
      <c r="T145" t="str" cm="1">
        <f t="array" ref="T145">_xlfn.IFS(S145&lt;=12,"Morning",S145&lt;=16,"Afternoon",S145&lt;=21,"Evening",S145&lt;=24,"Night")</f>
        <v>Morning</v>
      </c>
    </row>
    <row r="146" spans="1:20" x14ac:dyDescent="0.25">
      <c r="A146" s="23" t="s">
        <v>180</v>
      </c>
      <c r="B146" s="19">
        <v>77.95</v>
      </c>
      <c r="C146" s="20">
        <v>6</v>
      </c>
      <c r="D146" s="19">
        <v>23.385000000000002</v>
      </c>
      <c r="E146" s="19">
        <v>491.08499999999998</v>
      </c>
      <c r="F146" s="21">
        <v>43486</v>
      </c>
      <c r="G146" s="22">
        <v>6.5472222222222198</v>
      </c>
      <c r="H146" s="23" t="s">
        <v>23</v>
      </c>
      <c r="I146" s="19">
        <v>467.7</v>
      </c>
      <c r="J146" s="24">
        <v>4.7619047620000003</v>
      </c>
      <c r="K146" s="25">
        <v>8</v>
      </c>
      <c r="L146" s="23" t="str">
        <f>VLOOKUP(A146,'Customer-details'!$A$1:$C$1001,2,FALSE)</f>
        <v>Normal</v>
      </c>
      <c r="M146" s="23" t="str">
        <f>VLOOKUP(A146,'Customer-details'!$A$1:$C$1001,3,FALSE)</f>
        <v>Female</v>
      </c>
      <c r="N146" s="23" t="str">
        <f>VLOOKUP(A146,'Product-details'!$A$1:$B$1001,2,FALSE)</f>
        <v>Home and lifestyle</v>
      </c>
      <c r="O146" s="23" t="str">
        <f>VLOOKUP(A146,'City-details'!$A$1:$C$1001,3,FALSE)</f>
        <v>Yangon</v>
      </c>
      <c r="P146" s="23" t="str">
        <f>VLOOKUP(A146,'City-details'!$A$1:$C$1001,2,FALSE)</f>
        <v>A</v>
      </c>
      <c r="Q146" s="23" t="str">
        <f t="shared" si="6"/>
        <v>Jan</v>
      </c>
      <c r="R146" s="26" t="str">
        <f t="shared" si="7"/>
        <v>Mon</v>
      </c>
      <c r="S146">
        <f t="shared" si="8"/>
        <v>13</v>
      </c>
      <c r="T146" t="str" cm="1">
        <f t="array" ref="T146">_xlfn.IFS(S146&lt;=12,"Morning",S146&lt;=16,"Afternoon",S146&lt;=21,"Evening",S146&lt;=24,"Night")</f>
        <v>Afternoon</v>
      </c>
    </row>
    <row r="147" spans="1:20" x14ac:dyDescent="0.25">
      <c r="A147" s="31" t="s">
        <v>181</v>
      </c>
      <c r="B147" s="27">
        <v>46.26</v>
      </c>
      <c r="C147" s="28">
        <v>6</v>
      </c>
      <c r="D147" s="27">
        <v>13.878</v>
      </c>
      <c r="E147" s="27">
        <v>291.43799999999999</v>
      </c>
      <c r="F147" s="29">
        <v>43532</v>
      </c>
      <c r="G147" s="30">
        <v>6.5888888888888903</v>
      </c>
      <c r="H147" s="31" t="s">
        <v>33</v>
      </c>
      <c r="I147" s="27">
        <v>277.56</v>
      </c>
      <c r="J147" s="32">
        <v>4.7619047620000003</v>
      </c>
      <c r="K147" s="33">
        <v>9.5</v>
      </c>
      <c r="L147" s="31" t="str">
        <f>VLOOKUP(A147,'Customer-details'!$A$1:$C$1001,2,FALSE)</f>
        <v>Normal</v>
      </c>
      <c r="M147" s="31" t="str">
        <f>VLOOKUP(A147,'Customer-details'!$A$1:$C$1001,3,FALSE)</f>
        <v>Female</v>
      </c>
      <c r="N147" s="31" t="str">
        <f>VLOOKUP(A147,'Product-details'!$A$1:$B$1001,2,FALSE)</f>
        <v>Health and beauty</v>
      </c>
      <c r="O147" s="31" t="str">
        <f>VLOOKUP(A147,'City-details'!$A$1:$C$1001,3,FALSE)</f>
        <v>Naypyitaw</v>
      </c>
      <c r="P147" s="31" t="str">
        <f>VLOOKUP(A147,'City-details'!$A$1:$C$1001,2,FALSE)</f>
        <v>C</v>
      </c>
      <c r="Q147" s="31" t="str">
        <f t="shared" si="6"/>
        <v>Mar</v>
      </c>
      <c r="R147" s="34" t="str">
        <f t="shared" si="7"/>
        <v>Fri</v>
      </c>
      <c r="S147">
        <f t="shared" si="8"/>
        <v>14</v>
      </c>
      <c r="T147" t="str" cm="1">
        <f t="array" ref="T147">_xlfn.IFS(S147&lt;=12,"Morning",S147&lt;=16,"Afternoon",S147&lt;=21,"Evening",S147&lt;=24,"Night")</f>
        <v>Afternoon</v>
      </c>
    </row>
    <row r="148" spans="1:20" x14ac:dyDescent="0.25">
      <c r="A148" s="23" t="s">
        <v>182</v>
      </c>
      <c r="B148" s="19">
        <v>30.14</v>
      </c>
      <c r="C148" s="20">
        <v>10</v>
      </c>
      <c r="D148" s="19">
        <v>15.07</v>
      </c>
      <c r="E148" s="19">
        <v>316.47000000000003</v>
      </c>
      <c r="F148" s="21">
        <v>43506</v>
      </c>
      <c r="G148" s="22">
        <v>6.63055555555556</v>
      </c>
      <c r="H148" s="23" t="s">
        <v>23</v>
      </c>
      <c r="I148" s="19">
        <v>301.39999999999998</v>
      </c>
      <c r="J148" s="24">
        <v>4.7619047620000003</v>
      </c>
      <c r="K148" s="25">
        <v>9.1999999999999993</v>
      </c>
      <c r="L148" s="23" t="str">
        <f>VLOOKUP(A148,'Customer-details'!$A$1:$C$1001,2,FALSE)</f>
        <v>Member</v>
      </c>
      <c r="M148" s="23" t="str">
        <f>VLOOKUP(A148,'Customer-details'!$A$1:$C$1001,3,FALSE)</f>
        <v>Female</v>
      </c>
      <c r="N148" s="23" t="str">
        <f>VLOOKUP(A148,'Product-details'!$A$1:$B$1001,2,FALSE)</f>
        <v>Fashion accessories</v>
      </c>
      <c r="O148" s="23" t="str">
        <f>VLOOKUP(A148,'City-details'!$A$1:$C$1001,3,FALSE)</f>
        <v>Yangon</v>
      </c>
      <c r="P148" s="23" t="str">
        <f>VLOOKUP(A148,'City-details'!$A$1:$C$1001,2,FALSE)</f>
        <v>A</v>
      </c>
      <c r="Q148" s="23" t="str">
        <f t="shared" si="6"/>
        <v>Feb</v>
      </c>
      <c r="R148" s="26" t="str">
        <f t="shared" si="7"/>
        <v>Sun</v>
      </c>
      <c r="S148">
        <f t="shared" si="8"/>
        <v>15</v>
      </c>
      <c r="T148" t="str" cm="1">
        <f t="array" ref="T148">_xlfn.IFS(S148&lt;=12,"Morning",S148&lt;=16,"Afternoon",S148&lt;=21,"Evening",S148&lt;=24,"Night")</f>
        <v>Afternoon</v>
      </c>
    </row>
    <row r="149" spans="1:20" x14ac:dyDescent="0.25">
      <c r="A149" s="31" t="s">
        <v>183</v>
      </c>
      <c r="B149" s="27">
        <v>66.14</v>
      </c>
      <c r="C149" s="28">
        <v>4</v>
      </c>
      <c r="D149" s="27">
        <v>13.228</v>
      </c>
      <c r="E149" s="27">
        <v>277.78800000000001</v>
      </c>
      <c r="F149" s="29">
        <v>43543</v>
      </c>
      <c r="G149" s="30">
        <v>6.6722222222222198</v>
      </c>
      <c r="H149" s="31" t="s">
        <v>33</v>
      </c>
      <c r="I149" s="27">
        <v>264.56</v>
      </c>
      <c r="J149" s="32">
        <v>4.7619047620000003</v>
      </c>
      <c r="K149" s="33">
        <v>5.6</v>
      </c>
      <c r="L149" s="31" t="str">
        <f>VLOOKUP(A149,'Customer-details'!$A$1:$C$1001,2,FALSE)</f>
        <v>Normal</v>
      </c>
      <c r="M149" s="31" t="str">
        <f>VLOOKUP(A149,'Customer-details'!$A$1:$C$1001,3,FALSE)</f>
        <v>Male</v>
      </c>
      <c r="N149" s="31" t="str">
        <f>VLOOKUP(A149,'Product-details'!$A$1:$B$1001,2,FALSE)</f>
        <v>Health and beauty</v>
      </c>
      <c r="O149" s="31" t="str">
        <f>VLOOKUP(A149,'City-details'!$A$1:$C$1001,3,FALSE)</f>
        <v>Naypyitaw</v>
      </c>
      <c r="P149" s="31" t="str">
        <f>VLOOKUP(A149,'City-details'!$A$1:$C$1001,2,FALSE)</f>
        <v>C</v>
      </c>
      <c r="Q149" s="31" t="str">
        <f t="shared" si="6"/>
        <v>Mar</v>
      </c>
      <c r="R149" s="34" t="str">
        <f t="shared" si="7"/>
        <v>Tue</v>
      </c>
      <c r="S149">
        <f t="shared" si="8"/>
        <v>16</v>
      </c>
      <c r="T149" t="str" cm="1">
        <f t="array" ref="T149">_xlfn.IFS(S149&lt;=12,"Morning",S149&lt;=16,"Afternoon",S149&lt;=21,"Evening",S149&lt;=24,"Night")</f>
        <v>Afternoon</v>
      </c>
    </row>
    <row r="150" spans="1:20" x14ac:dyDescent="0.25">
      <c r="A150" s="23" t="s">
        <v>184</v>
      </c>
      <c r="B150" s="19">
        <v>71.86</v>
      </c>
      <c r="C150" s="20">
        <v>8</v>
      </c>
      <c r="D150" s="19">
        <v>28.744</v>
      </c>
      <c r="E150" s="19">
        <v>603.62400000000002</v>
      </c>
      <c r="F150" s="21">
        <v>43530</v>
      </c>
      <c r="G150" s="22">
        <v>6.7138888888888903</v>
      </c>
      <c r="H150" s="23" t="s">
        <v>33</v>
      </c>
      <c r="I150" s="19">
        <v>574.88</v>
      </c>
      <c r="J150" s="24">
        <v>4.7619047620000003</v>
      </c>
      <c r="K150" s="25">
        <v>6.2</v>
      </c>
      <c r="L150" s="23" t="str">
        <f>VLOOKUP(A150,'Customer-details'!$A$1:$C$1001,2,FALSE)</f>
        <v>Member</v>
      </c>
      <c r="M150" s="23" t="str">
        <f>VLOOKUP(A150,'Customer-details'!$A$1:$C$1001,3,FALSE)</f>
        <v>Male</v>
      </c>
      <c r="N150" s="23" t="str">
        <f>VLOOKUP(A150,'Product-details'!$A$1:$B$1001,2,FALSE)</f>
        <v>Home and lifestyle</v>
      </c>
      <c r="O150" s="23" t="str">
        <f>VLOOKUP(A150,'City-details'!$A$1:$C$1001,3,FALSE)</f>
        <v>Mandalay</v>
      </c>
      <c r="P150" s="23" t="str">
        <f>VLOOKUP(A150,'City-details'!$A$1:$C$1001,2,FALSE)</f>
        <v>B</v>
      </c>
      <c r="Q150" s="23" t="str">
        <f t="shared" si="6"/>
        <v>Mar</v>
      </c>
      <c r="R150" s="26" t="str">
        <f t="shared" si="7"/>
        <v>Wed</v>
      </c>
      <c r="S150">
        <f t="shared" si="8"/>
        <v>17</v>
      </c>
      <c r="T150" t="str" cm="1">
        <f t="array" ref="T150">_xlfn.IFS(S150&lt;=12,"Morning",S150&lt;=16,"Afternoon",S150&lt;=21,"Evening",S150&lt;=24,"Night")</f>
        <v>Evening</v>
      </c>
    </row>
    <row r="151" spans="1:20" x14ac:dyDescent="0.25">
      <c r="A151" s="31" t="s">
        <v>185</v>
      </c>
      <c r="B151" s="27">
        <v>32.46</v>
      </c>
      <c r="C151" s="28">
        <v>8</v>
      </c>
      <c r="D151" s="27">
        <v>12.984</v>
      </c>
      <c r="E151" s="27">
        <v>272.66399999999999</v>
      </c>
      <c r="F151" s="29">
        <v>43551</v>
      </c>
      <c r="G151" s="30">
        <v>6.75555555555556</v>
      </c>
      <c r="H151" s="31" t="s">
        <v>33</v>
      </c>
      <c r="I151" s="27">
        <v>259.68</v>
      </c>
      <c r="J151" s="32">
        <v>4.7619047620000003</v>
      </c>
      <c r="K151" s="33">
        <v>4.9000000000000004</v>
      </c>
      <c r="L151" s="31" t="str">
        <f>VLOOKUP(A151,'Customer-details'!$A$1:$C$1001,2,FALSE)</f>
        <v>Normal</v>
      </c>
      <c r="M151" s="31" t="str">
        <f>VLOOKUP(A151,'Customer-details'!$A$1:$C$1001,3,FALSE)</f>
        <v>Male</v>
      </c>
      <c r="N151" s="31" t="str">
        <f>VLOOKUP(A151,'Product-details'!$A$1:$B$1001,2,FALSE)</f>
        <v>Health and beauty</v>
      </c>
      <c r="O151" s="31" t="str">
        <f>VLOOKUP(A151,'City-details'!$A$1:$C$1001,3,FALSE)</f>
        <v>Yangon</v>
      </c>
      <c r="P151" s="31" t="str">
        <f>VLOOKUP(A151,'City-details'!$A$1:$C$1001,2,FALSE)</f>
        <v>A</v>
      </c>
      <c r="Q151" s="31" t="str">
        <f t="shared" si="6"/>
        <v>Mar</v>
      </c>
      <c r="R151" s="34" t="str">
        <f t="shared" si="7"/>
        <v>Wed</v>
      </c>
      <c r="S151">
        <f t="shared" si="8"/>
        <v>18</v>
      </c>
      <c r="T151" t="str" cm="1">
        <f t="array" ref="T151">_xlfn.IFS(S151&lt;=12,"Morning",S151&lt;=16,"Afternoon",S151&lt;=21,"Evening",S151&lt;=24,"Night")</f>
        <v>Evening</v>
      </c>
    </row>
    <row r="152" spans="1:20" x14ac:dyDescent="0.25">
      <c r="A152" s="23" t="s">
        <v>186</v>
      </c>
      <c r="B152" s="19">
        <v>91.54</v>
      </c>
      <c r="C152" s="20">
        <v>4</v>
      </c>
      <c r="D152" s="19">
        <v>18.308</v>
      </c>
      <c r="E152" s="19">
        <v>384.46800000000002</v>
      </c>
      <c r="F152" s="21">
        <v>43547</v>
      </c>
      <c r="G152" s="22">
        <v>6.7972222222222198</v>
      </c>
      <c r="H152" s="23" t="s">
        <v>33</v>
      </c>
      <c r="I152" s="19">
        <v>366.16</v>
      </c>
      <c r="J152" s="24">
        <v>4.7619047620000003</v>
      </c>
      <c r="K152" s="25">
        <v>4.8</v>
      </c>
      <c r="L152" s="23" t="str">
        <f>VLOOKUP(A152,'Customer-details'!$A$1:$C$1001,2,FALSE)</f>
        <v>Member</v>
      </c>
      <c r="M152" s="23" t="str">
        <f>VLOOKUP(A152,'Customer-details'!$A$1:$C$1001,3,FALSE)</f>
        <v>Female</v>
      </c>
      <c r="N152" s="23" t="str">
        <f>VLOOKUP(A152,'Product-details'!$A$1:$B$1001,2,FALSE)</f>
        <v>Fashion accessories</v>
      </c>
      <c r="O152" s="23" t="str">
        <f>VLOOKUP(A152,'City-details'!$A$1:$C$1001,3,FALSE)</f>
        <v>Mandalay</v>
      </c>
      <c r="P152" s="23" t="str">
        <f>VLOOKUP(A152,'City-details'!$A$1:$C$1001,2,FALSE)</f>
        <v>B</v>
      </c>
      <c r="Q152" s="23" t="str">
        <f t="shared" si="6"/>
        <v>Mar</v>
      </c>
      <c r="R152" s="26" t="str">
        <f t="shared" si="7"/>
        <v>Sat</v>
      </c>
      <c r="S152">
        <f t="shared" si="8"/>
        <v>19</v>
      </c>
      <c r="T152" t="str" cm="1">
        <f t="array" ref="T152">_xlfn.IFS(S152&lt;=12,"Morning",S152&lt;=16,"Afternoon",S152&lt;=21,"Evening",S152&lt;=24,"Night")</f>
        <v>Evening</v>
      </c>
    </row>
    <row r="153" spans="1:20" x14ac:dyDescent="0.25">
      <c r="A153" s="31" t="s">
        <v>187</v>
      </c>
      <c r="B153" s="27">
        <v>34.56</v>
      </c>
      <c r="C153" s="28">
        <v>7</v>
      </c>
      <c r="D153" s="27">
        <v>12.096</v>
      </c>
      <c r="E153" s="27">
        <v>254.01599999999999</v>
      </c>
      <c r="F153" s="29">
        <v>43535</v>
      </c>
      <c r="G153" s="30">
        <v>6.8388888888888903</v>
      </c>
      <c r="H153" s="31" t="s">
        <v>33</v>
      </c>
      <c r="I153" s="27">
        <v>241.92</v>
      </c>
      <c r="J153" s="32">
        <v>4.7619047620000003</v>
      </c>
      <c r="K153" s="33">
        <v>7.3</v>
      </c>
      <c r="L153" s="31" t="str">
        <f>VLOOKUP(A153,'Customer-details'!$A$1:$C$1001,2,FALSE)</f>
        <v>Member</v>
      </c>
      <c r="M153" s="31" t="str">
        <f>VLOOKUP(A153,'Customer-details'!$A$1:$C$1001,3,FALSE)</f>
        <v>Male</v>
      </c>
      <c r="N153" s="31" t="str">
        <f>VLOOKUP(A153,'Product-details'!$A$1:$B$1001,2,FALSE)</f>
        <v>Sports and travel</v>
      </c>
      <c r="O153" s="31" t="str">
        <f>VLOOKUP(A153,'City-details'!$A$1:$C$1001,3,FALSE)</f>
        <v>Naypyitaw</v>
      </c>
      <c r="P153" s="31" t="str">
        <f>VLOOKUP(A153,'City-details'!$A$1:$C$1001,2,FALSE)</f>
        <v>C</v>
      </c>
      <c r="Q153" s="31" t="str">
        <f t="shared" si="6"/>
        <v>Mar</v>
      </c>
      <c r="R153" s="34" t="str">
        <f t="shared" si="7"/>
        <v>Mon</v>
      </c>
      <c r="S153">
        <f t="shared" si="8"/>
        <v>20</v>
      </c>
      <c r="T153" t="str" cm="1">
        <f t="array" ref="T153">_xlfn.IFS(S153&lt;=12,"Morning",S153&lt;=16,"Afternoon",S153&lt;=21,"Evening",S153&lt;=24,"Night")</f>
        <v>Evening</v>
      </c>
    </row>
    <row r="154" spans="1:20" x14ac:dyDescent="0.25">
      <c r="A154" s="23" t="s">
        <v>188</v>
      </c>
      <c r="B154" s="19">
        <v>83.24</v>
      </c>
      <c r="C154" s="20">
        <v>9</v>
      </c>
      <c r="D154" s="19">
        <v>37.457999999999998</v>
      </c>
      <c r="E154" s="19">
        <v>786.61800000000005</v>
      </c>
      <c r="F154" s="21">
        <v>43494</v>
      </c>
      <c r="G154" s="22">
        <v>6.88055555555556</v>
      </c>
      <c r="H154" s="23" t="s">
        <v>33</v>
      </c>
      <c r="I154" s="19">
        <v>749.16</v>
      </c>
      <c r="J154" s="24">
        <v>4.7619047620000003</v>
      </c>
      <c r="K154" s="25">
        <v>7.4</v>
      </c>
      <c r="L154" s="23" t="str">
        <f>VLOOKUP(A154,'Customer-details'!$A$1:$C$1001,2,FALSE)</f>
        <v>Normal</v>
      </c>
      <c r="M154" s="23" t="str">
        <f>VLOOKUP(A154,'Customer-details'!$A$1:$C$1001,3,FALSE)</f>
        <v>Male</v>
      </c>
      <c r="N154" s="23" t="str">
        <f>VLOOKUP(A154,'Product-details'!$A$1:$B$1001,2,FALSE)</f>
        <v>Fashion accessories</v>
      </c>
      <c r="O154" s="23" t="str">
        <f>VLOOKUP(A154,'City-details'!$A$1:$C$1001,3,FALSE)</f>
        <v>Yangon</v>
      </c>
      <c r="P154" s="23" t="str">
        <f>VLOOKUP(A154,'City-details'!$A$1:$C$1001,2,FALSE)</f>
        <v>A</v>
      </c>
      <c r="Q154" s="23" t="str">
        <f t="shared" si="6"/>
        <v>Jan</v>
      </c>
      <c r="R154" s="26" t="str">
        <f t="shared" si="7"/>
        <v>Tue</v>
      </c>
      <c r="S154">
        <f t="shared" si="8"/>
        <v>21</v>
      </c>
      <c r="T154" t="str" cm="1">
        <f t="array" ref="T154">_xlfn.IFS(S154&lt;=12,"Morning",S154&lt;=16,"Afternoon",S154&lt;=21,"Evening",S154&lt;=24,"Night")</f>
        <v>Evening</v>
      </c>
    </row>
    <row r="155" spans="1:20" x14ac:dyDescent="0.25">
      <c r="A155" s="31" t="s">
        <v>189</v>
      </c>
      <c r="B155" s="27">
        <v>16.48</v>
      </c>
      <c r="C155" s="28">
        <v>6</v>
      </c>
      <c r="D155" s="27">
        <v>4.944</v>
      </c>
      <c r="E155" s="27">
        <v>103.824</v>
      </c>
      <c r="F155" s="29">
        <v>43503</v>
      </c>
      <c r="G155" s="30">
        <v>6.9222222222222198</v>
      </c>
      <c r="H155" s="31" t="s">
        <v>23</v>
      </c>
      <c r="I155" s="27">
        <v>98.88</v>
      </c>
      <c r="J155" s="32">
        <v>4.7619047620000003</v>
      </c>
      <c r="K155" s="33">
        <v>9.9</v>
      </c>
      <c r="L155" s="31" t="str">
        <f>VLOOKUP(A155,'Customer-details'!$A$1:$C$1001,2,FALSE)</f>
        <v>Normal</v>
      </c>
      <c r="M155" s="31" t="str">
        <f>VLOOKUP(A155,'Customer-details'!$A$1:$C$1001,3,FALSE)</f>
        <v>Female</v>
      </c>
      <c r="N155" s="31" t="str">
        <f>VLOOKUP(A155,'Product-details'!$A$1:$B$1001,2,FALSE)</f>
        <v>Food and beverages</v>
      </c>
      <c r="O155" s="31" t="str">
        <f>VLOOKUP(A155,'City-details'!$A$1:$C$1001,3,FALSE)</f>
        <v>Naypyitaw</v>
      </c>
      <c r="P155" s="31" t="str">
        <f>VLOOKUP(A155,'City-details'!$A$1:$C$1001,2,FALSE)</f>
        <v>C</v>
      </c>
      <c r="Q155" s="31" t="str">
        <f t="shared" si="6"/>
        <v>Feb</v>
      </c>
      <c r="R155" s="34" t="str">
        <f t="shared" si="7"/>
        <v>Thu</v>
      </c>
      <c r="S155">
        <f t="shared" si="8"/>
        <v>22</v>
      </c>
      <c r="T155" t="str" cm="1">
        <f t="array" ref="T155">_xlfn.IFS(S155&lt;=12,"Morning",S155&lt;=16,"Afternoon",S155&lt;=21,"Evening",S155&lt;=24,"Night")</f>
        <v>Night</v>
      </c>
    </row>
    <row r="156" spans="1:20" x14ac:dyDescent="0.25">
      <c r="A156" s="23" t="s">
        <v>190</v>
      </c>
      <c r="B156" s="19">
        <v>80.97</v>
      </c>
      <c r="C156" s="20">
        <v>8</v>
      </c>
      <c r="D156" s="19">
        <v>32.387999999999998</v>
      </c>
      <c r="E156" s="19">
        <v>680.14800000000002</v>
      </c>
      <c r="F156" s="21">
        <v>43493</v>
      </c>
      <c r="G156" s="22">
        <v>6.9638888888888903</v>
      </c>
      <c r="H156" s="23" t="s">
        <v>29</v>
      </c>
      <c r="I156" s="19">
        <v>647.76</v>
      </c>
      <c r="J156" s="24">
        <v>4.7619047620000003</v>
      </c>
      <c r="K156" s="25">
        <v>9.3000000000000007</v>
      </c>
      <c r="L156" s="23" t="str">
        <f>VLOOKUP(A156,'Customer-details'!$A$1:$C$1001,2,FALSE)</f>
        <v>Normal</v>
      </c>
      <c r="M156" s="23" t="str">
        <f>VLOOKUP(A156,'Customer-details'!$A$1:$C$1001,3,FALSE)</f>
        <v>Female</v>
      </c>
      <c r="N156" s="23" t="str">
        <f>VLOOKUP(A156,'Product-details'!$A$1:$B$1001,2,FALSE)</f>
        <v>Sports and travel</v>
      </c>
      <c r="O156" s="23" t="str">
        <f>VLOOKUP(A156,'City-details'!$A$1:$C$1001,3,FALSE)</f>
        <v>Naypyitaw</v>
      </c>
      <c r="P156" s="23" t="str">
        <f>VLOOKUP(A156,'City-details'!$A$1:$C$1001,2,FALSE)</f>
        <v>C</v>
      </c>
      <c r="Q156" s="23" t="str">
        <f t="shared" si="6"/>
        <v>Jan</v>
      </c>
      <c r="R156" s="26" t="str">
        <f t="shared" si="7"/>
        <v>Mon</v>
      </c>
      <c r="S156">
        <f t="shared" si="8"/>
        <v>23</v>
      </c>
      <c r="T156" t="str" cm="1">
        <f t="array" ref="T156">_xlfn.IFS(S156&lt;=12,"Morning",S156&lt;=16,"Afternoon",S156&lt;=21,"Evening",S156&lt;=24,"Night")</f>
        <v>Night</v>
      </c>
    </row>
    <row r="157" spans="1:20" x14ac:dyDescent="0.25">
      <c r="A157" s="31" t="s">
        <v>191</v>
      </c>
      <c r="B157" s="27">
        <v>92.29</v>
      </c>
      <c r="C157" s="28">
        <v>5</v>
      </c>
      <c r="D157" s="27">
        <v>23.072500000000002</v>
      </c>
      <c r="E157" s="27">
        <v>484.52249999999998</v>
      </c>
      <c r="F157" s="29">
        <v>43516</v>
      </c>
      <c r="G157" s="30">
        <v>7.00555555555556</v>
      </c>
      <c r="H157" s="31" t="s">
        <v>33</v>
      </c>
      <c r="I157" s="27">
        <v>461.45</v>
      </c>
      <c r="J157" s="32">
        <v>4.7619047620000003</v>
      </c>
      <c r="K157" s="33">
        <v>9</v>
      </c>
      <c r="L157" s="31" t="str">
        <f>VLOOKUP(A157,'Customer-details'!$A$1:$C$1001,2,FALSE)</f>
        <v>Member</v>
      </c>
      <c r="M157" s="31" t="str">
        <f>VLOOKUP(A157,'Customer-details'!$A$1:$C$1001,3,FALSE)</f>
        <v>Male</v>
      </c>
      <c r="N157" s="31" t="str">
        <f>VLOOKUP(A157,'Product-details'!$A$1:$B$1001,2,FALSE)</f>
        <v>Food and beverages</v>
      </c>
      <c r="O157" s="31" t="str">
        <f>VLOOKUP(A157,'City-details'!$A$1:$C$1001,3,FALSE)</f>
        <v>Yangon</v>
      </c>
      <c r="P157" s="31" t="str">
        <f>VLOOKUP(A157,'City-details'!$A$1:$C$1001,2,FALSE)</f>
        <v>A</v>
      </c>
      <c r="Q157" s="31" t="str">
        <f t="shared" si="6"/>
        <v>Feb</v>
      </c>
      <c r="R157" s="34" t="str">
        <f t="shared" si="7"/>
        <v>Wed</v>
      </c>
      <c r="S157">
        <f t="shared" si="8"/>
        <v>0</v>
      </c>
      <c r="T157" t="str" cm="1">
        <f t="array" ref="T157">_xlfn.IFS(S157&lt;=12,"Morning",S157&lt;=16,"Afternoon",S157&lt;=21,"Evening",S157&lt;=24,"Night")</f>
        <v>Morning</v>
      </c>
    </row>
    <row r="158" spans="1:20" x14ac:dyDescent="0.25">
      <c r="A158" s="23" t="s">
        <v>192</v>
      </c>
      <c r="B158" s="19">
        <v>72.17</v>
      </c>
      <c r="C158" s="20">
        <v>1</v>
      </c>
      <c r="D158" s="19">
        <v>3.6084999999999998</v>
      </c>
      <c r="E158" s="19">
        <v>75.778499999999994</v>
      </c>
      <c r="F158" s="21">
        <v>43469</v>
      </c>
      <c r="G158" s="22">
        <v>7.0472222222222198</v>
      </c>
      <c r="H158" s="23" t="s">
        <v>29</v>
      </c>
      <c r="I158" s="19">
        <v>72.17</v>
      </c>
      <c r="J158" s="24">
        <v>4.7619047620000003</v>
      </c>
      <c r="K158" s="25">
        <v>6.1</v>
      </c>
      <c r="L158" s="23" t="str">
        <f>VLOOKUP(A158,'Customer-details'!$A$1:$C$1001,2,FALSE)</f>
        <v>Member</v>
      </c>
      <c r="M158" s="23" t="str">
        <f>VLOOKUP(A158,'Customer-details'!$A$1:$C$1001,3,FALSE)</f>
        <v>Male</v>
      </c>
      <c r="N158" s="23" t="str">
        <f>VLOOKUP(A158,'Product-details'!$A$1:$B$1001,2,FALSE)</f>
        <v>Electronic accessories</v>
      </c>
      <c r="O158" s="23" t="str">
        <f>VLOOKUP(A158,'City-details'!$A$1:$C$1001,3,FALSE)</f>
        <v>Mandalay</v>
      </c>
      <c r="P158" s="23" t="str">
        <f>VLOOKUP(A158,'City-details'!$A$1:$C$1001,2,FALSE)</f>
        <v>B</v>
      </c>
      <c r="Q158" s="23" t="str">
        <f t="shared" si="6"/>
        <v>Jan</v>
      </c>
      <c r="R158" s="26" t="str">
        <f t="shared" si="7"/>
        <v>Fri</v>
      </c>
      <c r="S158">
        <f t="shared" si="8"/>
        <v>1</v>
      </c>
      <c r="T158" t="str" cm="1">
        <f t="array" ref="T158">_xlfn.IFS(S158&lt;=12,"Morning",S158&lt;=16,"Afternoon",S158&lt;=21,"Evening",S158&lt;=24,"Night")</f>
        <v>Morning</v>
      </c>
    </row>
    <row r="159" spans="1:20" x14ac:dyDescent="0.25">
      <c r="A159" s="31" t="s">
        <v>193</v>
      </c>
      <c r="B159" s="27">
        <v>50.28</v>
      </c>
      <c r="C159" s="28">
        <v>5</v>
      </c>
      <c r="D159" s="27">
        <v>12.57</v>
      </c>
      <c r="E159" s="27">
        <v>263.97000000000003</v>
      </c>
      <c r="F159" s="29">
        <v>43531</v>
      </c>
      <c r="G159" s="30">
        <v>7.0888888888888903</v>
      </c>
      <c r="H159" s="31" t="s">
        <v>23</v>
      </c>
      <c r="I159" s="27">
        <v>251.4</v>
      </c>
      <c r="J159" s="32">
        <v>4.7619047620000003</v>
      </c>
      <c r="K159" s="33">
        <v>9.6999999999999993</v>
      </c>
      <c r="L159" s="31" t="str">
        <f>VLOOKUP(A159,'Customer-details'!$A$1:$C$1001,2,FALSE)</f>
        <v>Normal</v>
      </c>
      <c r="M159" s="31" t="str">
        <f>VLOOKUP(A159,'Customer-details'!$A$1:$C$1001,3,FALSE)</f>
        <v>Male</v>
      </c>
      <c r="N159" s="31" t="str">
        <f>VLOOKUP(A159,'Product-details'!$A$1:$B$1001,2,FALSE)</f>
        <v>Home and lifestyle</v>
      </c>
      <c r="O159" s="31" t="str">
        <f>VLOOKUP(A159,'City-details'!$A$1:$C$1001,3,FALSE)</f>
        <v>Mandalay</v>
      </c>
      <c r="P159" s="31" t="str">
        <f>VLOOKUP(A159,'City-details'!$A$1:$C$1001,2,FALSE)</f>
        <v>B</v>
      </c>
      <c r="Q159" s="31" t="str">
        <f t="shared" si="6"/>
        <v>Mar</v>
      </c>
      <c r="R159" s="34" t="str">
        <f t="shared" si="7"/>
        <v>Thu</v>
      </c>
      <c r="S159">
        <f t="shared" si="8"/>
        <v>2</v>
      </c>
      <c r="T159" t="str" cm="1">
        <f t="array" ref="T159">_xlfn.IFS(S159&lt;=12,"Morning",S159&lt;=16,"Afternoon",S159&lt;=21,"Evening",S159&lt;=24,"Night")</f>
        <v>Morning</v>
      </c>
    </row>
    <row r="160" spans="1:20" x14ac:dyDescent="0.25">
      <c r="A160" s="23" t="s">
        <v>194</v>
      </c>
      <c r="B160" s="19">
        <v>97.22</v>
      </c>
      <c r="C160" s="20">
        <v>9</v>
      </c>
      <c r="D160" s="19">
        <v>43.749000000000002</v>
      </c>
      <c r="E160" s="19">
        <v>918.72900000000004</v>
      </c>
      <c r="F160" s="21">
        <v>43554</v>
      </c>
      <c r="G160" s="22">
        <v>7.13055555555556</v>
      </c>
      <c r="H160" s="23" t="s">
        <v>23</v>
      </c>
      <c r="I160" s="19">
        <v>874.98</v>
      </c>
      <c r="J160" s="24">
        <v>4.7619047620000003</v>
      </c>
      <c r="K160" s="25">
        <v>6</v>
      </c>
      <c r="L160" s="23" t="str">
        <f>VLOOKUP(A160,'Customer-details'!$A$1:$C$1001,2,FALSE)</f>
        <v>Member</v>
      </c>
      <c r="M160" s="23" t="str">
        <f>VLOOKUP(A160,'Customer-details'!$A$1:$C$1001,3,FALSE)</f>
        <v>Male</v>
      </c>
      <c r="N160" s="23" t="str">
        <f>VLOOKUP(A160,'Product-details'!$A$1:$B$1001,2,FALSE)</f>
        <v>Health and beauty</v>
      </c>
      <c r="O160" s="23" t="str">
        <f>VLOOKUP(A160,'City-details'!$A$1:$C$1001,3,FALSE)</f>
        <v>Mandalay</v>
      </c>
      <c r="P160" s="23" t="str">
        <f>VLOOKUP(A160,'City-details'!$A$1:$C$1001,2,FALSE)</f>
        <v>B</v>
      </c>
      <c r="Q160" s="23" t="str">
        <f t="shared" si="6"/>
        <v>Mar</v>
      </c>
      <c r="R160" s="26" t="str">
        <f t="shared" si="7"/>
        <v>Sat</v>
      </c>
      <c r="S160">
        <f t="shared" si="8"/>
        <v>3</v>
      </c>
      <c r="T160" t="str" cm="1">
        <f t="array" ref="T160">_xlfn.IFS(S160&lt;=12,"Morning",S160&lt;=16,"Afternoon",S160&lt;=21,"Evening",S160&lt;=24,"Night")</f>
        <v>Morning</v>
      </c>
    </row>
    <row r="161" spans="1:20" x14ac:dyDescent="0.25">
      <c r="A161" s="31" t="s">
        <v>195</v>
      </c>
      <c r="B161" s="27">
        <v>93.39</v>
      </c>
      <c r="C161" s="28">
        <v>6</v>
      </c>
      <c r="D161" s="27">
        <v>28.016999999999999</v>
      </c>
      <c r="E161" s="27">
        <v>588.35699999999997</v>
      </c>
      <c r="F161" s="29">
        <v>43551</v>
      </c>
      <c r="G161" s="30">
        <v>7.1722222222222198</v>
      </c>
      <c r="H161" s="31" t="s">
        <v>23</v>
      </c>
      <c r="I161" s="27">
        <v>560.34</v>
      </c>
      <c r="J161" s="32">
        <v>4.7619047620000003</v>
      </c>
      <c r="K161" s="33">
        <v>10</v>
      </c>
      <c r="L161" s="31" t="str">
        <f>VLOOKUP(A161,'Customer-details'!$A$1:$C$1001,2,FALSE)</f>
        <v>Normal</v>
      </c>
      <c r="M161" s="31" t="str">
        <f>VLOOKUP(A161,'Customer-details'!$A$1:$C$1001,3,FALSE)</f>
        <v>Male</v>
      </c>
      <c r="N161" s="31" t="str">
        <f>VLOOKUP(A161,'Product-details'!$A$1:$B$1001,2,FALSE)</f>
        <v>Sports and travel</v>
      </c>
      <c r="O161" s="31" t="str">
        <f>VLOOKUP(A161,'City-details'!$A$1:$C$1001,3,FALSE)</f>
        <v>Mandalay</v>
      </c>
      <c r="P161" s="31" t="str">
        <f>VLOOKUP(A161,'City-details'!$A$1:$C$1001,2,FALSE)</f>
        <v>B</v>
      </c>
      <c r="Q161" s="31" t="str">
        <f t="shared" si="6"/>
        <v>Mar</v>
      </c>
      <c r="R161" s="34" t="str">
        <f t="shared" si="7"/>
        <v>Wed</v>
      </c>
      <c r="S161">
        <f t="shared" si="8"/>
        <v>4</v>
      </c>
      <c r="T161" t="str" cm="1">
        <f t="array" ref="T161">_xlfn.IFS(S161&lt;=12,"Morning",S161&lt;=16,"Afternoon",S161&lt;=21,"Evening",S161&lt;=24,"Night")</f>
        <v>Morning</v>
      </c>
    </row>
    <row r="162" spans="1:20" x14ac:dyDescent="0.25">
      <c r="A162" s="23" t="s">
        <v>196</v>
      </c>
      <c r="B162" s="19">
        <v>43.18</v>
      </c>
      <c r="C162" s="20">
        <v>8</v>
      </c>
      <c r="D162" s="19">
        <v>17.271999999999998</v>
      </c>
      <c r="E162" s="19">
        <v>362.71199999999999</v>
      </c>
      <c r="F162" s="21">
        <v>43484</v>
      </c>
      <c r="G162" s="22">
        <v>7.2138888888888903</v>
      </c>
      <c r="H162" s="23" t="s">
        <v>33</v>
      </c>
      <c r="I162" s="19">
        <v>345.44</v>
      </c>
      <c r="J162" s="24">
        <v>4.7619047620000003</v>
      </c>
      <c r="K162" s="25">
        <v>8.3000000000000007</v>
      </c>
      <c r="L162" s="23" t="str">
        <f>VLOOKUP(A162,'Customer-details'!$A$1:$C$1001,2,FALSE)</f>
        <v>Normal</v>
      </c>
      <c r="M162" s="23" t="str">
        <f>VLOOKUP(A162,'Customer-details'!$A$1:$C$1001,3,FALSE)</f>
        <v>Female</v>
      </c>
      <c r="N162" s="23" t="str">
        <f>VLOOKUP(A162,'Product-details'!$A$1:$B$1001,2,FALSE)</f>
        <v>Food and beverages</v>
      </c>
      <c r="O162" s="23" t="str">
        <f>VLOOKUP(A162,'City-details'!$A$1:$C$1001,3,FALSE)</f>
        <v>Naypyitaw</v>
      </c>
      <c r="P162" s="23" t="str">
        <f>VLOOKUP(A162,'City-details'!$A$1:$C$1001,2,FALSE)</f>
        <v>C</v>
      </c>
      <c r="Q162" s="23" t="str">
        <f t="shared" si="6"/>
        <v>Jan</v>
      </c>
      <c r="R162" s="26" t="str">
        <f t="shared" si="7"/>
        <v>Sat</v>
      </c>
      <c r="S162">
        <f t="shared" si="8"/>
        <v>5</v>
      </c>
      <c r="T162" t="str" cm="1">
        <f t="array" ref="T162">_xlfn.IFS(S162&lt;=12,"Morning",S162&lt;=16,"Afternoon",S162&lt;=21,"Evening",S162&lt;=24,"Night")</f>
        <v>Morning</v>
      </c>
    </row>
    <row r="163" spans="1:20" x14ac:dyDescent="0.25">
      <c r="A163" s="31" t="s">
        <v>197</v>
      </c>
      <c r="B163" s="27">
        <v>63.69</v>
      </c>
      <c r="C163" s="28">
        <v>1</v>
      </c>
      <c r="D163" s="27">
        <v>3.1844999999999999</v>
      </c>
      <c r="E163" s="27">
        <v>66.874499999999998</v>
      </c>
      <c r="F163" s="29">
        <v>43521</v>
      </c>
      <c r="G163" s="30">
        <v>7.25555555555556</v>
      </c>
      <c r="H163" s="31" t="s">
        <v>29</v>
      </c>
      <c r="I163" s="27">
        <v>63.69</v>
      </c>
      <c r="J163" s="32">
        <v>4.7619047620000003</v>
      </c>
      <c r="K163" s="33">
        <v>6</v>
      </c>
      <c r="L163" s="31" t="str">
        <f>VLOOKUP(A163,'Customer-details'!$A$1:$C$1001,2,FALSE)</f>
        <v>Normal</v>
      </c>
      <c r="M163" s="31" t="str">
        <f>VLOOKUP(A163,'Customer-details'!$A$1:$C$1001,3,FALSE)</f>
        <v>Male</v>
      </c>
      <c r="N163" s="31" t="str">
        <f>VLOOKUP(A163,'Product-details'!$A$1:$B$1001,2,FALSE)</f>
        <v>Sports and travel</v>
      </c>
      <c r="O163" s="31" t="str">
        <f>VLOOKUP(A163,'City-details'!$A$1:$C$1001,3,FALSE)</f>
        <v>Yangon</v>
      </c>
      <c r="P163" s="31" t="str">
        <f>VLOOKUP(A163,'City-details'!$A$1:$C$1001,2,FALSE)</f>
        <v>A</v>
      </c>
      <c r="Q163" s="31" t="str">
        <f t="shared" si="6"/>
        <v>Feb</v>
      </c>
      <c r="R163" s="34" t="str">
        <f t="shared" si="7"/>
        <v>Mon</v>
      </c>
      <c r="S163">
        <f t="shared" si="8"/>
        <v>6</v>
      </c>
      <c r="T163" t="str" cm="1">
        <f t="array" ref="T163">_xlfn.IFS(S163&lt;=12,"Morning",S163&lt;=16,"Afternoon",S163&lt;=21,"Evening",S163&lt;=24,"Night")</f>
        <v>Morning</v>
      </c>
    </row>
    <row r="164" spans="1:20" x14ac:dyDescent="0.25">
      <c r="A164" s="23" t="s">
        <v>198</v>
      </c>
      <c r="B164" s="19">
        <v>45.79</v>
      </c>
      <c r="C164" s="20">
        <v>7</v>
      </c>
      <c r="D164" s="19">
        <v>16.026499999999999</v>
      </c>
      <c r="E164" s="19">
        <v>336.55650000000003</v>
      </c>
      <c r="F164" s="21">
        <v>43537</v>
      </c>
      <c r="G164" s="22">
        <v>7.2972222222222198</v>
      </c>
      <c r="H164" s="23" t="s">
        <v>33</v>
      </c>
      <c r="I164" s="19">
        <v>320.52999999999997</v>
      </c>
      <c r="J164" s="24">
        <v>4.7619047620000003</v>
      </c>
      <c r="K164" s="25">
        <v>7</v>
      </c>
      <c r="L164" s="23" t="str">
        <f>VLOOKUP(A164,'Customer-details'!$A$1:$C$1001,2,FALSE)</f>
        <v>Normal</v>
      </c>
      <c r="M164" s="23" t="str">
        <f>VLOOKUP(A164,'Customer-details'!$A$1:$C$1001,3,FALSE)</f>
        <v>Male</v>
      </c>
      <c r="N164" s="23" t="str">
        <f>VLOOKUP(A164,'Product-details'!$A$1:$B$1001,2,FALSE)</f>
        <v>Food and beverages</v>
      </c>
      <c r="O164" s="23" t="str">
        <f>VLOOKUP(A164,'City-details'!$A$1:$C$1001,3,FALSE)</f>
        <v>Yangon</v>
      </c>
      <c r="P164" s="23" t="str">
        <f>VLOOKUP(A164,'City-details'!$A$1:$C$1001,2,FALSE)</f>
        <v>A</v>
      </c>
      <c r="Q164" s="23" t="str">
        <f t="shared" si="6"/>
        <v>Mar</v>
      </c>
      <c r="R164" s="26" t="str">
        <f t="shared" si="7"/>
        <v>Wed</v>
      </c>
      <c r="S164">
        <f t="shared" si="8"/>
        <v>7</v>
      </c>
      <c r="T164" t="str" cm="1">
        <f t="array" ref="T164">_xlfn.IFS(S164&lt;=12,"Morning",S164&lt;=16,"Afternoon",S164&lt;=21,"Evening",S164&lt;=24,"Night")</f>
        <v>Morning</v>
      </c>
    </row>
    <row r="165" spans="1:20" x14ac:dyDescent="0.25">
      <c r="A165" s="31" t="s">
        <v>199</v>
      </c>
      <c r="B165" s="27">
        <v>76.400000000000006</v>
      </c>
      <c r="C165" s="28">
        <v>2</v>
      </c>
      <c r="D165" s="27">
        <v>7.64</v>
      </c>
      <c r="E165" s="27">
        <v>160.44</v>
      </c>
      <c r="F165" s="29">
        <v>43495</v>
      </c>
      <c r="G165" s="30">
        <v>7.3388888888888903</v>
      </c>
      <c r="H165" s="31" t="s">
        <v>23</v>
      </c>
      <c r="I165" s="27">
        <v>152.80000000000001</v>
      </c>
      <c r="J165" s="32">
        <v>4.7619047620000003</v>
      </c>
      <c r="K165" s="33">
        <v>6.5</v>
      </c>
      <c r="L165" s="31" t="str">
        <f>VLOOKUP(A165,'Customer-details'!$A$1:$C$1001,2,FALSE)</f>
        <v>Normal</v>
      </c>
      <c r="M165" s="31" t="str">
        <f>VLOOKUP(A165,'Customer-details'!$A$1:$C$1001,3,FALSE)</f>
        <v>Male</v>
      </c>
      <c r="N165" s="31" t="str">
        <f>VLOOKUP(A165,'Product-details'!$A$1:$B$1001,2,FALSE)</f>
        <v>Sports and travel</v>
      </c>
      <c r="O165" s="31" t="str">
        <f>VLOOKUP(A165,'City-details'!$A$1:$C$1001,3,FALSE)</f>
        <v>Naypyitaw</v>
      </c>
      <c r="P165" s="31" t="str">
        <f>VLOOKUP(A165,'City-details'!$A$1:$C$1001,2,FALSE)</f>
        <v>C</v>
      </c>
      <c r="Q165" s="31" t="str">
        <f t="shared" si="6"/>
        <v>Jan</v>
      </c>
      <c r="R165" s="34" t="str">
        <f t="shared" si="7"/>
        <v>Wed</v>
      </c>
      <c r="S165">
        <f t="shared" si="8"/>
        <v>8</v>
      </c>
      <c r="T165" t="str" cm="1">
        <f t="array" ref="T165">_xlfn.IFS(S165&lt;=12,"Morning",S165&lt;=16,"Afternoon",S165&lt;=21,"Evening",S165&lt;=24,"Night")</f>
        <v>Morning</v>
      </c>
    </row>
    <row r="166" spans="1:20" x14ac:dyDescent="0.25">
      <c r="A166" s="23" t="s">
        <v>200</v>
      </c>
      <c r="B166" s="19">
        <v>39.9</v>
      </c>
      <c r="C166" s="20">
        <v>10</v>
      </c>
      <c r="D166" s="19">
        <v>19.95</v>
      </c>
      <c r="E166" s="19">
        <v>418.95</v>
      </c>
      <c r="F166" s="21">
        <v>43516</v>
      </c>
      <c r="G166" s="22">
        <v>7.38055555555556</v>
      </c>
      <c r="H166" s="23" t="s">
        <v>33</v>
      </c>
      <c r="I166" s="19">
        <v>399</v>
      </c>
      <c r="J166" s="24">
        <v>4.7619047620000003</v>
      </c>
      <c r="K166" s="25">
        <v>5.9</v>
      </c>
      <c r="L166" s="23" t="str">
        <f>VLOOKUP(A166,'Customer-details'!$A$1:$C$1001,2,FALSE)</f>
        <v>Normal</v>
      </c>
      <c r="M166" s="23" t="str">
        <f>VLOOKUP(A166,'Customer-details'!$A$1:$C$1001,3,FALSE)</f>
        <v>Male</v>
      </c>
      <c r="N166" s="23" t="str">
        <f>VLOOKUP(A166,'Product-details'!$A$1:$B$1001,2,FALSE)</f>
        <v>Food and beverages</v>
      </c>
      <c r="O166" s="23" t="str">
        <f>VLOOKUP(A166,'City-details'!$A$1:$C$1001,3,FALSE)</f>
        <v>Mandalay</v>
      </c>
      <c r="P166" s="23" t="str">
        <f>VLOOKUP(A166,'City-details'!$A$1:$C$1001,2,FALSE)</f>
        <v>B</v>
      </c>
      <c r="Q166" s="23" t="str">
        <f t="shared" si="6"/>
        <v>Feb</v>
      </c>
      <c r="R166" s="26" t="str">
        <f t="shared" si="7"/>
        <v>Wed</v>
      </c>
      <c r="S166">
        <f t="shared" si="8"/>
        <v>9</v>
      </c>
      <c r="T166" t="str" cm="1">
        <f t="array" ref="T166">_xlfn.IFS(S166&lt;=12,"Morning",S166&lt;=16,"Afternoon",S166&lt;=21,"Evening",S166&lt;=24,"Night")</f>
        <v>Morning</v>
      </c>
    </row>
    <row r="167" spans="1:20" x14ac:dyDescent="0.25">
      <c r="A167" s="31" t="s">
        <v>201</v>
      </c>
      <c r="B167" s="27">
        <v>42.57</v>
      </c>
      <c r="C167" s="28">
        <v>8</v>
      </c>
      <c r="D167" s="27">
        <v>17.027999999999999</v>
      </c>
      <c r="E167" s="27">
        <v>357.58800000000002</v>
      </c>
      <c r="F167" s="29">
        <v>43521</v>
      </c>
      <c r="G167" s="30">
        <v>7.4222222222222198</v>
      </c>
      <c r="H167" s="31" t="s">
        <v>23</v>
      </c>
      <c r="I167" s="27">
        <v>340.56</v>
      </c>
      <c r="J167" s="32">
        <v>4.7619047620000003</v>
      </c>
      <c r="K167" s="33">
        <v>5.6</v>
      </c>
      <c r="L167" s="31" t="str">
        <f>VLOOKUP(A167,'Customer-details'!$A$1:$C$1001,2,FALSE)</f>
        <v>Member</v>
      </c>
      <c r="M167" s="31" t="str">
        <f>VLOOKUP(A167,'Customer-details'!$A$1:$C$1001,3,FALSE)</f>
        <v>Male</v>
      </c>
      <c r="N167" s="31" t="str">
        <f>VLOOKUP(A167,'Product-details'!$A$1:$B$1001,2,FALSE)</f>
        <v>Health and beauty</v>
      </c>
      <c r="O167" s="31" t="str">
        <f>VLOOKUP(A167,'City-details'!$A$1:$C$1001,3,FALSE)</f>
        <v>Mandalay</v>
      </c>
      <c r="P167" s="31" t="str">
        <f>VLOOKUP(A167,'City-details'!$A$1:$C$1001,2,FALSE)</f>
        <v>B</v>
      </c>
      <c r="Q167" s="31" t="str">
        <f t="shared" si="6"/>
        <v>Feb</v>
      </c>
      <c r="R167" s="34" t="str">
        <f t="shared" si="7"/>
        <v>Mon</v>
      </c>
      <c r="S167">
        <f t="shared" si="8"/>
        <v>10</v>
      </c>
      <c r="T167" t="str" cm="1">
        <f t="array" ref="T167">_xlfn.IFS(S167&lt;=12,"Morning",S167&lt;=16,"Afternoon",S167&lt;=21,"Evening",S167&lt;=24,"Night")</f>
        <v>Morning</v>
      </c>
    </row>
    <row r="168" spans="1:20" x14ac:dyDescent="0.25">
      <c r="A168" s="23" t="s">
        <v>202</v>
      </c>
      <c r="B168" s="19">
        <v>95.58</v>
      </c>
      <c r="C168" s="20">
        <v>10</v>
      </c>
      <c r="D168" s="19">
        <v>47.79</v>
      </c>
      <c r="E168" s="19">
        <v>1003.59</v>
      </c>
      <c r="F168" s="21">
        <v>43481</v>
      </c>
      <c r="G168" s="22">
        <v>7.4638888888888903</v>
      </c>
      <c r="H168" s="23" t="s">
        <v>29</v>
      </c>
      <c r="I168" s="19">
        <v>955.8</v>
      </c>
      <c r="J168" s="24">
        <v>4.7619047620000003</v>
      </c>
      <c r="K168" s="25">
        <v>4.8</v>
      </c>
      <c r="L168" s="23" t="str">
        <f>VLOOKUP(A168,'Customer-details'!$A$1:$C$1001,2,FALSE)</f>
        <v>Normal</v>
      </c>
      <c r="M168" s="23" t="str">
        <f>VLOOKUP(A168,'Customer-details'!$A$1:$C$1001,3,FALSE)</f>
        <v>Male</v>
      </c>
      <c r="N168" s="23" t="str">
        <f>VLOOKUP(A168,'Product-details'!$A$1:$B$1001,2,FALSE)</f>
        <v>Home and lifestyle</v>
      </c>
      <c r="O168" s="23" t="str">
        <f>VLOOKUP(A168,'City-details'!$A$1:$C$1001,3,FALSE)</f>
        <v>Naypyitaw</v>
      </c>
      <c r="P168" s="23" t="str">
        <f>VLOOKUP(A168,'City-details'!$A$1:$C$1001,2,FALSE)</f>
        <v>C</v>
      </c>
      <c r="Q168" s="23" t="str">
        <f t="shared" si="6"/>
        <v>Jan</v>
      </c>
      <c r="R168" s="26" t="str">
        <f t="shared" si="7"/>
        <v>Wed</v>
      </c>
      <c r="S168">
        <f t="shared" si="8"/>
        <v>11</v>
      </c>
      <c r="T168" t="str" cm="1">
        <f t="array" ref="T168">_xlfn.IFS(S168&lt;=12,"Morning",S168&lt;=16,"Afternoon",S168&lt;=21,"Evening",S168&lt;=24,"Night")</f>
        <v>Morning</v>
      </c>
    </row>
    <row r="169" spans="1:20" x14ac:dyDescent="0.25">
      <c r="A169" s="31" t="s">
        <v>203</v>
      </c>
      <c r="B169" s="27">
        <v>98.98</v>
      </c>
      <c r="C169" s="28">
        <v>10</v>
      </c>
      <c r="D169" s="27">
        <v>49.49</v>
      </c>
      <c r="E169" s="27">
        <v>1039.29</v>
      </c>
      <c r="F169" s="29">
        <v>43504</v>
      </c>
      <c r="G169" s="30">
        <v>7.50555555555556</v>
      </c>
      <c r="H169" s="31" t="s">
        <v>33</v>
      </c>
      <c r="I169" s="27">
        <v>989.8</v>
      </c>
      <c r="J169" s="32">
        <v>4.7619047620000003</v>
      </c>
      <c r="K169" s="33">
        <v>8.6999999999999993</v>
      </c>
      <c r="L169" s="31" t="str">
        <f>VLOOKUP(A169,'Customer-details'!$A$1:$C$1001,2,FALSE)</f>
        <v>Normal</v>
      </c>
      <c r="M169" s="31" t="str">
        <f>VLOOKUP(A169,'Customer-details'!$A$1:$C$1001,3,FALSE)</f>
        <v>Male</v>
      </c>
      <c r="N169" s="31" t="str">
        <f>VLOOKUP(A169,'Product-details'!$A$1:$B$1001,2,FALSE)</f>
        <v>Fashion accessories</v>
      </c>
      <c r="O169" s="31" t="str">
        <f>VLOOKUP(A169,'City-details'!$A$1:$C$1001,3,FALSE)</f>
        <v>Yangon</v>
      </c>
      <c r="P169" s="31" t="str">
        <f>VLOOKUP(A169,'City-details'!$A$1:$C$1001,2,FALSE)</f>
        <v>A</v>
      </c>
      <c r="Q169" s="31" t="str">
        <f t="shared" si="6"/>
        <v>Feb</v>
      </c>
      <c r="R169" s="34" t="str">
        <f t="shared" si="7"/>
        <v>Fri</v>
      </c>
      <c r="S169">
        <f t="shared" si="8"/>
        <v>12</v>
      </c>
      <c r="T169" t="str" cm="1">
        <f t="array" ref="T169">_xlfn.IFS(S169&lt;=12,"Morning",S169&lt;=16,"Afternoon",S169&lt;=21,"Evening",S169&lt;=24,"Night")</f>
        <v>Morning</v>
      </c>
    </row>
    <row r="170" spans="1:20" x14ac:dyDescent="0.25">
      <c r="A170" s="23" t="s">
        <v>204</v>
      </c>
      <c r="B170" s="19">
        <v>51.28</v>
      </c>
      <c r="C170" s="20">
        <v>6</v>
      </c>
      <c r="D170" s="19">
        <v>15.384</v>
      </c>
      <c r="E170" s="19">
        <v>323.06400000000002</v>
      </c>
      <c r="F170" s="21">
        <v>43484</v>
      </c>
      <c r="G170" s="22">
        <v>7.5472222222222198</v>
      </c>
      <c r="H170" s="23" t="s">
        <v>29</v>
      </c>
      <c r="I170" s="19">
        <v>307.68</v>
      </c>
      <c r="J170" s="24">
        <v>4.7619047620000003</v>
      </c>
      <c r="K170" s="25">
        <v>6.5</v>
      </c>
      <c r="L170" s="23" t="str">
        <f>VLOOKUP(A170,'Customer-details'!$A$1:$C$1001,2,FALSE)</f>
        <v>Normal</v>
      </c>
      <c r="M170" s="23" t="str">
        <f>VLOOKUP(A170,'Customer-details'!$A$1:$C$1001,3,FALSE)</f>
        <v>Male</v>
      </c>
      <c r="N170" s="23" t="str">
        <f>VLOOKUP(A170,'Product-details'!$A$1:$B$1001,2,FALSE)</f>
        <v>Food and beverages</v>
      </c>
      <c r="O170" s="23" t="str">
        <f>VLOOKUP(A170,'City-details'!$A$1:$C$1001,3,FALSE)</f>
        <v>Yangon</v>
      </c>
      <c r="P170" s="23" t="str">
        <f>VLOOKUP(A170,'City-details'!$A$1:$C$1001,2,FALSE)</f>
        <v>A</v>
      </c>
      <c r="Q170" s="23" t="str">
        <f t="shared" si="6"/>
        <v>Jan</v>
      </c>
      <c r="R170" s="26" t="str">
        <f t="shared" si="7"/>
        <v>Sat</v>
      </c>
      <c r="S170">
        <f t="shared" si="8"/>
        <v>13</v>
      </c>
      <c r="T170" t="str" cm="1">
        <f t="array" ref="T170">_xlfn.IFS(S170&lt;=12,"Morning",S170&lt;=16,"Afternoon",S170&lt;=21,"Evening",S170&lt;=24,"Night")</f>
        <v>Afternoon</v>
      </c>
    </row>
    <row r="171" spans="1:20" x14ac:dyDescent="0.25">
      <c r="A171" s="31" t="s">
        <v>205</v>
      </c>
      <c r="B171" s="27">
        <v>69.52</v>
      </c>
      <c r="C171" s="28">
        <v>7</v>
      </c>
      <c r="D171" s="27">
        <v>24.332000000000001</v>
      </c>
      <c r="E171" s="27">
        <v>510.97199999999998</v>
      </c>
      <c r="F171" s="29">
        <v>43497</v>
      </c>
      <c r="G171" s="30">
        <v>7.5888888888888903</v>
      </c>
      <c r="H171" s="31" t="s">
        <v>33</v>
      </c>
      <c r="I171" s="27">
        <v>486.64</v>
      </c>
      <c r="J171" s="32">
        <v>4.7619047620000003</v>
      </c>
      <c r="K171" s="33">
        <v>8.5</v>
      </c>
      <c r="L171" s="31" t="str">
        <f>VLOOKUP(A171,'Customer-details'!$A$1:$C$1001,2,FALSE)</f>
        <v>Member</v>
      </c>
      <c r="M171" s="31" t="str">
        <f>VLOOKUP(A171,'Customer-details'!$A$1:$C$1001,3,FALSE)</f>
        <v>Male</v>
      </c>
      <c r="N171" s="31" t="str">
        <f>VLOOKUP(A171,'Product-details'!$A$1:$B$1001,2,FALSE)</f>
        <v>Sports and travel</v>
      </c>
      <c r="O171" s="31" t="str">
        <f>VLOOKUP(A171,'City-details'!$A$1:$C$1001,3,FALSE)</f>
        <v>Yangon</v>
      </c>
      <c r="P171" s="31" t="str">
        <f>VLOOKUP(A171,'City-details'!$A$1:$C$1001,2,FALSE)</f>
        <v>A</v>
      </c>
      <c r="Q171" s="31" t="str">
        <f t="shared" si="6"/>
        <v>Feb</v>
      </c>
      <c r="R171" s="34" t="str">
        <f t="shared" si="7"/>
        <v>Fri</v>
      </c>
      <c r="S171">
        <f t="shared" si="8"/>
        <v>14</v>
      </c>
      <c r="T171" t="str" cm="1">
        <f t="array" ref="T171">_xlfn.IFS(S171&lt;=12,"Morning",S171&lt;=16,"Afternoon",S171&lt;=21,"Evening",S171&lt;=24,"Night")</f>
        <v>Afternoon</v>
      </c>
    </row>
    <row r="172" spans="1:20" x14ac:dyDescent="0.25">
      <c r="A172" s="23" t="s">
        <v>206</v>
      </c>
      <c r="B172" s="19">
        <v>70.010000000000005</v>
      </c>
      <c r="C172" s="20">
        <v>5</v>
      </c>
      <c r="D172" s="19">
        <v>17.502500000000001</v>
      </c>
      <c r="E172" s="19">
        <v>367.55250000000001</v>
      </c>
      <c r="F172" s="21">
        <v>43468</v>
      </c>
      <c r="G172" s="22">
        <v>7.63055555555556</v>
      </c>
      <c r="H172" s="23" t="s">
        <v>23</v>
      </c>
      <c r="I172" s="19">
        <v>350.05</v>
      </c>
      <c r="J172" s="24">
        <v>4.7619047620000003</v>
      </c>
      <c r="K172" s="25">
        <v>5.5</v>
      </c>
      <c r="L172" s="23" t="str">
        <f>VLOOKUP(A172,'Customer-details'!$A$1:$C$1001,2,FALSE)</f>
        <v>Normal</v>
      </c>
      <c r="M172" s="23" t="str">
        <f>VLOOKUP(A172,'Customer-details'!$A$1:$C$1001,3,FALSE)</f>
        <v>Male</v>
      </c>
      <c r="N172" s="23" t="str">
        <f>VLOOKUP(A172,'Product-details'!$A$1:$B$1001,2,FALSE)</f>
        <v>Health and beauty</v>
      </c>
      <c r="O172" s="23" t="str">
        <f>VLOOKUP(A172,'City-details'!$A$1:$C$1001,3,FALSE)</f>
        <v>Yangon</v>
      </c>
      <c r="P172" s="23" t="str">
        <f>VLOOKUP(A172,'City-details'!$A$1:$C$1001,2,FALSE)</f>
        <v>A</v>
      </c>
      <c r="Q172" s="23" t="str">
        <f t="shared" si="6"/>
        <v>Jan</v>
      </c>
      <c r="R172" s="26" t="str">
        <f t="shared" si="7"/>
        <v>Thu</v>
      </c>
      <c r="S172">
        <f t="shared" si="8"/>
        <v>15</v>
      </c>
      <c r="T172" t="str" cm="1">
        <f t="array" ref="T172">_xlfn.IFS(S172&lt;=12,"Morning",S172&lt;=16,"Afternoon",S172&lt;=21,"Evening",S172&lt;=24,"Night")</f>
        <v>Afternoon</v>
      </c>
    </row>
    <row r="173" spans="1:20" x14ac:dyDescent="0.25">
      <c r="A173" s="31" t="s">
        <v>207</v>
      </c>
      <c r="B173" s="27">
        <v>80.05</v>
      </c>
      <c r="C173" s="28">
        <v>5</v>
      </c>
      <c r="D173" s="27">
        <v>20.012499999999999</v>
      </c>
      <c r="E173" s="27">
        <v>420.26249999999999</v>
      </c>
      <c r="F173" s="29">
        <v>43491</v>
      </c>
      <c r="G173" s="30">
        <v>7.6722222222222198</v>
      </c>
      <c r="H173" s="31" t="s">
        <v>33</v>
      </c>
      <c r="I173" s="27">
        <v>400.25</v>
      </c>
      <c r="J173" s="32">
        <v>4.7619047620000003</v>
      </c>
      <c r="K173" s="33">
        <v>9.4</v>
      </c>
      <c r="L173" s="31" t="str">
        <f>VLOOKUP(A173,'Customer-details'!$A$1:$C$1001,2,FALSE)</f>
        <v>Member</v>
      </c>
      <c r="M173" s="31" t="str">
        <f>VLOOKUP(A173,'Customer-details'!$A$1:$C$1001,3,FALSE)</f>
        <v>Male</v>
      </c>
      <c r="N173" s="31" t="str">
        <f>VLOOKUP(A173,'Product-details'!$A$1:$B$1001,2,FALSE)</f>
        <v>Food and beverages</v>
      </c>
      <c r="O173" s="31" t="str">
        <f>VLOOKUP(A173,'City-details'!$A$1:$C$1001,3,FALSE)</f>
        <v>Mandalay</v>
      </c>
      <c r="P173" s="31" t="str">
        <f>VLOOKUP(A173,'City-details'!$A$1:$C$1001,2,FALSE)</f>
        <v>B</v>
      </c>
      <c r="Q173" s="31" t="str">
        <f t="shared" si="6"/>
        <v>Jan</v>
      </c>
      <c r="R173" s="34" t="str">
        <f t="shared" si="7"/>
        <v>Sat</v>
      </c>
      <c r="S173">
        <f t="shared" si="8"/>
        <v>16</v>
      </c>
      <c r="T173" t="str" cm="1">
        <f t="array" ref="T173">_xlfn.IFS(S173&lt;=12,"Morning",S173&lt;=16,"Afternoon",S173&lt;=21,"Evening",S173&lt;=24,"Night")</f>
        <v>Afternoon</v>
      </c>
    </row>
    <row r="174" spans="1:20" x14ac:dyDescent="0.25">
      <c r="A174" s="23" t="s">
        <v>208</v>
      </c>
      <c r="B174" s="19">
        <v>20.85</v>
      </c>
      <c r="C174" s="20">
        <v>8</v>
      </c>
      <c r="D174" s="19">
        <v>8.34</v>
      </c>
      <c r="E174" s="19">
        <v>175.14</v>
      </c>
      <c r="F174" s="21">
        <v>43527</v>
      </c>
      <c r="G174" s="22">
        <v>7.7138888888888903</v>
      </c>
      <c r="H174" s="23" t="s">
        <v>29</v>
      </c>
      <c r="I174" s="19">
        <v>166.8</v>
      </c>
      <c r="J174" s="24">
        <v>4.7619047620000003</v>
      </c>
      <c r="K174" s="25">
        <v>6.3</v>
      </c>
      <c r="L174" s="23" t="str">
        <f>VLOOKUP(A174,'Customer-details'!$A$1:$C$1001,2,FALSE)</f>
        <v>Normal</v>
      </c>
      <c r="M174" s="23" t="str">
        <f>VLOOKUP(A174,'Customer-details'!$A$1:$C$1001,3,FALSE)</f>
        <v>Male</v>
      </c>
      <c r="N174" s="23" t="str">
        <f>VLOOKUP(A174,'Product-details'!$A$1:$B$1001,2,FALSE)</f>
        <v>Electronic accessories</v>
      </c>
      <c r="O174" s="23" t="str">
        <f>VLOOKUP(A174,'City-details'!$A$1:$C$1001,3,FALSE)</f>
        <v>Naypyitaw</v>
      </c>
      <c r="P174" s="23" t="str">
        <f>VLOOKUP(A174,'City-details'!$A$1:$C$1001,2,FALSE)</f>
        <v>C</v>
      </c>
      <c r="Q174" s="23" t="str">
        <f t="shared" si="6"/>
        <v>Mar</v>
      </c>
      <c r="R174" s="26" t="str">
        <f t="shared" si="7"/>
        <v>Sun</v>
      </c>
      <c r="S174">
        <f t="shared" si="8"/>
        <v>17</v>
      </c>
      <c r="T174" t="str" cm="1">
        <f t="array" ref="T174">_xlfn.IFS(S174&lt;=12,"Morning",S174&lt;=16,"Afternoon",S174&lt;=21,"Evening",S174&lt;=24,"Night")</f>
        <v>Evening</v>
      </c>
    </row>
    <row r="175" spans="1:20" x14ac:dyDescent="0.25">
      <c r="A175" s="31" t="s">
        <v>209</v>
      </c>
      <c r="B175" s="27">
        <v>52.89</v>
      </c>
      <c r="C175" s="28">
        <v>6</v>
      </c>
      <c r="D175" s="27">
        <v>15.867000000000001</v>
      </c>
      <c r="E175" s="27">
        <v>333.20699999999999</v>
      </c>
      <c r="F175" s="29">
        <v>43484</v>
      </c>
      <c r="G175" s="30">
        <v>7.75555555555556</v>
      </c>
      <c r="H175" s="31" t="s">
        <v>33</v>
      </c>
      <c r="I175" s="27">
        <v>317.33999999999997</v>
      </c>
      <c r="J175" s="32">
        <v>4.7619047620000003</v>
      </c>
      <c r="K175" s="33">
        <v>9.8000000000000007</v>
      </c>
      <c r="L175" s="31" t="str">
        <f>VLOOKUP(A175,'Customer-details'!$A$1:$C$1001,2,FALSE)</f>
        <v>Member</v>
      </c>
      <c r="M175" s="31" t="str">
        <f>VLOOKUP(A175,'Customer-details'!$A$1:$C$1001,3,FALSE)</f>
        <v>Male</v>
      </c>
      <c r="N175" s="31" t="str">
        <f>VLOOKUP(A175,'Product-details'!$A$1:$B$1001,2,FALSE)</f>
        <v>Electronic accessories</v>
      </c>
      <c r="O175" s="31" t="str">
        <f>VLOOKUP(A175,'City-details'!$A$1:$C$1001,3,FALSE)</f>
        <v>Mandalay</v>
      </c>
      <c r="P175" s="31" t="str">
        <f>VLOOKUP(A175,'City-details'!$A$1:$C$1001,2,FALSE)</f>
        <v>B</v>
      </c>
      <c r="Q175" s="31" t="str">
        <f t="shared" si="6"/>
        <v>Jan</v>
      </c>
      <c r="R175" s="34" t="str">
        <f t="shared" si="7"/>
        <v>Sat</v>
      </c>
      <c r="S175">
        <f t="shared" si="8"/>
        <v>18</v>
      </c>
      <c r="T175" t="str" cm="1">
        <f t="array" ref="T175">_xlfn.IFS(S175&lt;=12,"Morning",S175&lt;=16,"Afternoon",S175&lt;=21,"Evening",S175&lt;=24,"Night")</f>
        <v>Evening</v>
      </c>
    </row>
    <row r="176" spans="1:20" x14ac:dyDescent="0.25">
      <c r="A176" s="23" t="s">
        <v>210</v>
      </c>
      <c r="B176" s="19">
        <v>19.79</v>
      </c>
      <c r="C176" s="20">
        <v>8</v>
      </c>
      <c r="D176" s="19">
        <v>7.9160000000000004</v>
      </c>
      <c r="E176" s="19">
        <v>166.23599999999999</v>
      </c>
      <c r="F176" s="21">
        <v>43483</v>
      </c>
      <c r="G176" s="22">
        <v>7.7972222222222198</v>
      </c>
      <c r="H176" s="23" t="s">
        <v>23</v>
      </c>
      <c r="I176" s="19">
        <v>158.32</v>
      </c>
      <c r="J176" s="24">
        <v>4.7619047620000003</v>
      </c>
      <c r="K176" s="25">
        <v>8.6999999999999993</v>
      </c>
      <c r="L176" s="23" t="str">
        <f>VLOOKUP(A176,'Customer-details'!$A$1:$C$1001,2,FALSE)</f>
        <v>Normal</v>
      </c>
      <c r="M176" s="23" t="str">
        <f>VLOOKUP(A176,'Customer-details'!$A$1:$C$1001,3,FALSE)</f>
        <v>Male</v>
      </c>
      <c r="N176" s="23" t="str">
        <f>VLOOKUP(A176,'Product-details'!$A$1:$B$1001,2,FALSE)</f>
        <v>Food and beverages</v>
      </c>
      <c r="O176" s="23" t="str">
        <f>VLOOKUP(A176,'City-details'!$A$1:$C$1001,3,FALSE)</f>
        <v>Mandalay</v>
      </c>
      <c r="P176" s="23" t="str">
        <f>VLOOKUP(A176,'City-details'!$A$1:$C$1001,2,FALSE)</f>
        <v>B</v>
      </c>
      <c r="Q176" s="23" t="str">
        <f t="shared" si="6"/>
        <v>Jan</v>
      </c>
      <c r="R176" s="26" t="str">
        <f t="shared" si="7"/>
        <v>Fri</v>
      </c>
      <c r="S176">
        <f t="shared" si="8"/>
        <v>19</v>
      </c>
      <c r="T176" t="str" cm="1">
        <f t="array" ref="T176">_xlfn.IFS(S176&lt;=12,"Morning",S176&lt;=16,"Afternoon",S176&lt;=21,"Evening",S176&lt;=24,"Night")</f>
        <v>Evening</v>
      </c>
    </row>
    <row r="177" spans="1:20" x14ac:dyDescent="0.25">
      <c r="A177" s="31" t="s">
        <v>211</v>
      </c>
      <c r="B177" s="27">
        <v>33.840000000000003</v>
      </c>
      <c r="C177" s="28">
        <v>9</v>
      </c>
      <c r="D177" s="27">
        <v>15.228</v>
      </c>
      <c r="E177" s="27">
        <v>319.78800000000001</v>
      </c>
      <c r="F177" s="29">
        <v>43545</v>
      </c>
      <c r="G177" s="30">
        <v>7.8388888888888903</v>
      </c>
      <c r="H177" s="31" t="s">
        <v>23</v>
      </c>
      <c r="I177" s="27">
        <v>304.56</v>
      </c>
      <c r="J177" s="32">
        <v>4.7619047620000003</v>
      </c>
      <c r="K177" s="33">
        <v>8.8000000000000007</v>
      </c>
      <c r="L177" s="31" t="str">
        <f>VLOOKUP(A177,'Customer-details'!$A$1:$C$1001,2,FALSE)</f>
        <v>Member</v>
      </c>
      <c r="M177" s="31" t="str">
        <f>VLOOKUP(A177,'Customer-details'!$A$1:$C$1001,3,FALSE)</f>
        <v>Male</v>
      </c>
      <c r="N177" s="31" t="str">
        <f>VLOOKUP(A177,'Product-details'!$A$1:$B$1001,2,FALSE)</f>
        <v>Home and lifestyle</v>
      </c>
      <c r="O177" s="31" t="str">
        <f>VLOOKUP(A177,'City-details'!$A$1:$C$1001,3,FALSE)</f>
        <v>Yangon</v>
      </c>
      <c r="P177" s="31" t="str">
        <f>VLOOKUP(A177,'City-details'!$A$1:$C$1001,2,FALSE)</f>
        <v>A</v>
      </c>
      <c r="Q177" s="31" t="str">
        <f t="shared" si="6"/>
        <v>Mar</v>
      </c>
      <c r="R177" s="34" t="str">
        <f t="shared" si="7"/>
        <v>Thu</v>
      </c>
      <c r="S177">
        <f t="shared" si="8"/>
        <v>20</v>
      </c>
      <c r="T177" t="str" cm="1">
        <f t="array" ref="T177">_xlfn.IFS(S177&lt;=12,"Morning",S177&lt;=16,"Afternoon",S177&lt;=21,"Evening",S177&lt;=24,"Night")</f>
        <v>Evening</v>
      </c>
    </row>
    <row r="178" spans="1:20" x14ac:dyDescent="0.25">
      <c r="A178" s="23" t="s">
        <v>212</v>
      </c>
      <c r="B178" s="19">
        <v>22.17</v>
      </c>
      <c r="C178" s="20">
        <v>8</v>
      </c>
      <c r="D178" s="19">
        <v>8.8680000000000003</v>
      </c>
      <c r="E178" s="19">
        <v>186.22800000000001</v>
      </c>
      <c r="F178" s="21">
        <v>43527</v>
      </c>
      <c r="G178" s="22">
        <v>7.88055555555556</v>
      </c>
      <c r="H178" s="23" t="s">
        <v>33</v>
      </c>
      <c r="I178" s="19">
        <v>177.36</v>
      </c>
      <c r="J178" s="24">
        <v>4.7619047620000003</v>
      </c>
      <c r="K178" s="25">
        <v>9.6</v>
      </c>
      <c r="L178" s="23" t="str">
        <f>VLOOKUP(A178,'Customer-details'!$A$1:$C$1001,2,FALSE)</f>
        <v>Member</v>
      </c>
      <c r="M178" s="23" t="str">
        <f>VLOOKUP(A178,'Customer-details'!$A$1:$C$1001,3,FALSE)</f>
        <v>Male</v>
      </c>
      <c r="N178" s="23" t="str">
        <f>VLOOKUP(A178,'Product-details'!$A$1:$B$1001,2,FALSE)</f>
        <v>Food and beverages</v>
      </c>
      <c r="O178" s="23" t="str">
        <f>VLOOKUP(A178,'City-details'!$A$1:$C$1001,3,FALSE)</f>
        <v>Yangon</v>
      </c>
      <c r="P178" s="23" t="str">
        <f>VLOOKUP(A178,'City-details'!$A$1:$C$1001,2,FALSE)</f>
        <v>A</v>
      </c>
      <c r="Q178" s="23" t="str">
        <f t="shared" si="6"/>
        <v>Mar</v>
      </c>
      <c r="R178" s="26" t="str">
        <f t="shared" si="7"/>
        <v>Sun</v>
      </c>
      <c r="S178">
        <f t="shared" si="8"/>
        <v>21</v>
      </c>
      <c r="T178" t="str" cm="1">
        <f t="array" ref="T178">_xlfn.IFS(S178&lt;=12,"Morning",S178&lt;=16,"Afternoon",S178&lt;=21,"Evening",S178&lt;=24,"Night")</f>
        <v>Evening</v>
      </c>
    </row>
    <row r="179" spans="1:20" x14ac:dyDescent="0.25">
      <c r="A179" s="31" t="s">
        <v>213</v>
      </c>
      <c r="B179" s="27">
        <v>22.51</v>
      </c>
      <c r="C179" s="28">
        <v>7</v>
      </c>
      <c r="D179" s="27">
        <v>7.8784999999999998</v>
      </c>
      <c r="E179" s="27">
        <v>165.4485</v>
      </c>
      <c r="F179" s="29">
        <v>43509</v>
      </c>
      <c r="G179" s="30">
        <v>7.9222222222222198</v>
      </c>
      <c r="H179" s="31" t="s">
        <v>33</v>
      </c>
      <c r="I179" s="27">
        <v>157.57</v>
      </c>
      <c r="J179" s="32">
        <v>4.7619047620000003</v>
      </c>
      <c r="K179" s="33">
        <v>4.8</v>
      </c>
      <c r="L179" s="31" t="str">
        <f>VLOOKUP(A179,'Customer-details'!$A$1:$C$1001,2,FALSE)</f>
        <v>Normal</v>
      </c>
      <c r="M179" s="31" t="str">
        <f>VLOOKUP(A179,'Customer-details'!$A$1:$C$1001,3,FALSE)</f>
        <v>Female</v>
      </c>
      <c r="N179" s="31" t="str">
        <f>VLOOKUP(A179,'Product-details'!$A$1:$B$1001,2,FALSE)</f>
        <v>Fashion accessories</v>
      </c>
      <c r="O179" s="31" t="str">
        <f>VLOOKUP(A179,'City-details'!$A$1:$C$1001,3,FALSE)</f>
        <v>Naypyitaw</v>
      </c>
      <c r="P179" s="31" t="str">
        <f>VLOOKUP(A179,'City-details'!$A$1:$C$1001,2,FALSE)</f>
        <v>C</v>
      </c>
      <c r="Q179" s="31" t="str">
        <f t="shared" si="6"/>
        <v>Feb</v>
      </c>
      <c r="R179" s="34" t="str">
        <f t="shared" si="7"/>
        <v>Wed</v>
      </c>
      <c r="S179">
        <f t="shared" si="8"/>
        <v>22</v>
      </c>
      <c r="T179" t="str" cm="1">
        <f t="array" ref="T179">_xlfn.IFS(S179&lt;=12,"Morning",S179&lt;=16,"Afternoon",S179&lt;=21,"Evening",S179&lt;=24,"Night")</f>
        <v>Night</v>
      </c>
    </row>
    <row r="180" spans="1:20" x14ac:dyDescent="0.25">
      <c r="A180" s="23" t="s">
        <v>214</v>
      </c>
      <c r="B180" s="19">
        <v>73.88</v>
      </c>
      <c r="C180" s="20">
        <v>6</v>
      </c>
      <c r="D180" s="19">
        <v>22.164000000000001</v>
      </c>
      <c r="E180" s="19">
        <v>465.44400000000002</v>
      </c>
      <c r="F180" s="21">
        <v>43547</v>
      </c>
      <c r="G180" s="22">
        <v>7.9638888888888903</v>
      </c>
      <c r="H180" s="23" t="s">
        <v>23</v>
      </c>
      <c r="I180" s="19">
        <v>443.28</v>
      </c>
      <c r="J180" s="24">
        <v>4.7619047620000003</v>
      </c>
      <c r="K180" s="25">
        <v>4.4000000000000004</v>
      </c>
      <c r="L180" s="23" t="str">
        <f>VLOOKUP(A180,'Customer-details'!$A$1:$C$1001,2,FALSE)</f>
        <v>Normal</v>
      </c>
      <c r="M180" s="23" t="str">
        <f>VLOOKUP(A180,'Customer-details'!$A$1:$C$1001,3,FALSE)</f>
        <v>Male</v>
      </c>
      <c r="N180" s="23" t="str">
        <f>VLOOKUP(A180,'Product-details'!$A$1:$B$1001,2,FALSE)</f>
        <v>Food and beverages</v>
      </c>
      <c r="O180" s="23" t="str">
        <f>VLOOKUP(A180,'City-details'!$A$1:$C$1001,3,FALSE)</f>
        <v>Yangon</v>
      </c>
      <c r="P180" s="23" t="str">
        <f>VLOOKUP(A180,'City-details'!$A$1:$C$1001,2,FALSE)</f>
        <v>A</v>
      </c>
      <c r="Q180" s="23" t="str">
        <f t="shared" si="6"/>
        <v>Mar</v>
      </c>
      <c r="R180" s="26" t="str">
        <f t="shared" si="7"/>
        <v>Sat</v>
      </c>
      <c r="S180">
        <f t="shared" si="8"/>
        <v>23</v>
      </c>
      <c r="T180" t="str" cm="1">
        <f t="array" ref="T180">_xlfn.IFS(S180&lt;=12,"Morning",S180&lt;=16,"Afternoon",S180&lt;=21,"Evening",S180&lt;=24,"Night")</f>
        <v>Night</v>
      </c>
    </row>
    <row r="181" spans="1:20" x14ac:dyDescent="0.25">
      <c r="A181" s="31" t="s">
        <v>215</v>
      </c>
      <c r="B181" s="27">
        <v>86.8</v>
      </c>
      <c r="C181" s="28">
        <v>3</v>
      </c>
      <c r="D181" s="27">
        <v>13.02</v>
      </c>
      <c r="E181" s="27">
        <v>273.42</v>
      </c>
      <c r="F181" s="29">
        <v>43493</v>
      </c>
      <c r="G181" s="30">
        <v>8.0055555555555493</v>
      </c>
      <c r="H181" s="31" t="s">
        <v>23</v>
      </c>
      <c r="I181" s="27">
        <v>260.39999999999998</v>
      </c>
      <c r="J181" s="32">
        <v>4.7619047620000003</v>
      </c>
      <c r="K181" s="33">
        <v>9.9</v>
      </c>
      <c r="L181" s="31" t="str">
        <f>VLOOKUP(A181,'Customer-details'!$A$1:$C$1001,2,FALSE)</f>
        <v>Member</v>
      </c>
      <c r="M181" s="31" t="str">
        <f>VLOOKUP(A181,'Customer-details'!$A$1:$C$1001,3,FALSE)</f>
        <v>Male</v>
      </c>
      <c r="N181" s="31" t="str">
        <f>VLOOKUP(A181,'Product-details'!$A$1:$B$1001,2,FALSE)</f>
        <v>Health and beauty</v>
      </c>
      <c r="O181" s="31" t="str">
        <f>VLOOKUP(A181,'City-details'!$A$1:$C$1001,3,FALSE)</f>
        <v>Naypyitaw</v>
      </c>
      <c r="P181" s="31" t="str">
        <f>VLOOKUP(A181,'City-details'!$A$1:$C$1001,2,FALSE)</f>
        <v>C</v>
      </c>
      <c r="Q181" s="31" t="str">
        <f t="shared" si="6"/>
        <v>Jan</v>
      </c>
      <c r="R181" s="34" t="str">
        <f t="shared" si="7"/>
        <v>Mon</v>
      </c>
      <c r="S181">
        <f t="shared" si="8"/>
        <v>0</v>
      </c>
      <c r="T181" t="str" cm="1">
        <f t="array" ref="T181">_xlfn.IFS(S181&lt;=12,"Morning",S181&lt;=16,"Afternoon",S181&lt;=21,"Evening",S181&lt;=24,"Night")</f>
        <v>Morning</v>
      </c>
    </row>
    <row r="182" spans="1:20" x14ac:dyDescent="0.25">
      <c r="A182" s="23" t="s">
        <v>216</v>
      </c>
      <c r="B182" s="19">
        <v>64.260000000000005</v>
      </c>
      <c r="C182" s="20">
        <v>7</v>
      </c>
      <c r="D182" s="19">
        <v>22.491</v>
      </c>
      <c r="E182" s="19">
        <v>472.31099999999998</v>
      </c>
      <c r="F182" s="21">
        <v>43505</v>
      </c>
      <c r="G182" s="22">
        <v>8.0472222222222207</v>
      </c>
      <c r="H182" s="23" t="s">
        <v>29</v>
      </c>
      <c r="I182" s="19">
        <v>449.82</v>
      </c>
      <c r="J182" s="24">
        <v>4.7619047620000003</v>
      </c>
      <c r="K182" s="25">
        <v>5.7</v>
      </c>
      <c r="L182" s="23" t="str">
        <f>VLOOKUP(A182,'Customer-details'!$A$1:$C$1001,2,FALSE)</f>
        <v>Normal</v>
      </c>
      <c r="M182" s="23" t="str">
        <f>VLOOKUP(A182,'Customer-details'!$A$1:$C$1001,3,FALSE)</f>
        <v>Male</v>
      </c>
      <c r="N182" s="23" t="str">
        <f>VLOOKUP(A182,'Product-details'!$A$1:$B$1001,2,FALSE)</f>
        <v>Fashion accessories</v>
      </c>
      <c r="O182" s="23" t="str">
        <f>VLOOKUP(A182,'City-details'!$A$1:$C$1001,3,FALSE)</f>
        <v>Naypyitaw</v>
      </c>
      <c r="P182" s="23" t="str">
        <f>VLOOKUP(A182,'City-details'!$A$1:$C$1001,2,FALSE)</f>
        <v>C</v>
      </c>
      <c r="Q182" s="23" t="str">
        <f t="shared" si="6"/>
        <v>Feb</v>
      </c>
      <c r="R182" s="26" t="str">
        <f t="shared" si="7"/>
        <v>Sat</v>
      </c>
      <c r="S182">
        <f t="shared" si="8"/>
        <v>1</v>
      </c>
      <c r="T182" t="str" cm="1">
        <f t="array" ref="T182">_xlfn.IFS(S182&lt;=12,"Morning",S182&lt;=16,"Afternoon",S182&lt;=21,"Evening",S182&lt;=24,"Night")</f>
        <v>Morning</v>
      </c>
    </row>
    <row r="183" spans="1:20" x14ac:dyDescent="0.25">
      <c r="A183" s="31" t="s">
        <v>217</v>
      </c>
      <c r="B183" s="27">
        <v>38.47</v>
      </c>
      <c r="C183" s="28">
        <v>8</v>
      </c>
      <c r="D183" s="27">
        <v>15.388</v>
      </c>
      <c r="E183" s="27">
        <v>323.14800000000002</v>
      </c>
      <c r="F183" s="29">
        <v>43488</v>
      </c>
      <c r="G183" s="30">
        <v>8.0888888888888903</v>
      </c>
      <c r="H183" s="31" t="s">
        <v>29</v>
      </c>
      <c r="I183" s="27">
        <v>307.76</v>
      </c>
      <c r="J183" s="32">
        <v>4.7619047620000003</v>
      </c>
      <c r="K183" s="33">
        <v>7.7</v>
      </c>
      <c r="L183" s="31" t="str">
        <f>VLOOKUP(A183,'Customer-details'!$A$1:$C$1001,2,FALSE)</f>
        <v>Member</v>
      </c>
      <c r="M183" s="31" t="str">
        <f>VLOOKUP(A183,'Customer-details'!$A$1:$C$1001,3,FALSE)</f>
        <v>Male</v>
      </c>
      <c r="N183" s="31" t="str">
        <f>VLOOKUP(A183,'Product-details'!$A$1:$B$1001,2,FALSE)</f>
        <v>Food and beverages</v>
      </c>
      <c r="O183" s="31" t="str">
        <f>VLOOKUP(A183,'City-details'!$A$1:$C$1001,3,FALSE)</f>
        <v>Naypyitaw</v>
      </c>
      <c r="P183" s="31" t="str">
        <f>VLOOKUP(A183,'City-details'!$A$1:$C$1001,2,FALSE)</f>
        <v>C</v>
      </c>
      <c r="Q183" s="31" t="str">
        <f t="shared" si="6"/>
        <v>Jan</v>
      </c>
      <c r="R183" s="34" t="str">
        <f t="shared" si="7"/>
        <v>Wed</v>
      </c>
      <c r="S183">
        <f t="shared" si="8"/>
        <v>2</v>
      </c>
      <c r="T183" t="str" cm="1">
        <f t="array" ref="T183">_xlfn.IFS(S183&lt;=12,"Morning",S183&lt;=16,"Afternoon",S183&lt;=21,"Evening",S183&lt;=24,"Night")</f>
        <v>Morning</v>
      </c>
    </row>
    <row r="184" spans="1:20" x14ac:dyDescent="0.25">
      <c r="A184" s="23" t="s">
        <v>218</v>
      </c>
      <c r="B184" s="19">
        <v>15.5</v>
      </c>
      <c r="C184" s="20">
        <v>10</v>
      </c>
      <c r="D184" s="19">
        <v>7.75</v>
      </c>
      <c r="E184" s="19">
        <v>162.75</v>
      </c>
      <c r="F184" s="21">
        <v>43547</v>
      </c>
      <c r="G184" s="22">
        <v>8.1305555555555493</v>
      </c>
      <c r="H184" s="23" t="s">
        <v>23</v>
      </c>
      <c r="I184" s="19">
        <v>155</v>
      </c>
      <c r="J184" s="24">
        <v>4.7619047620000003</v>
      </c>
      <c r="K184" s="25">
        <v>8</v>
      </c>
      <c r="L184" s="23" t="str">
        <f>VLOOKUP(A184,'Customer-details'!$A$1:$C$1001,2,FALSE)</f>
        <v>Member</v>
      </c>
      <c r="M184" s="23" t="str">
        <f>VLOOKUP(A184,'Customer-details'!$A$1:$C$1001,3,FALSE)</f>
        <v>Male</v>
      </c>
      <c r="N184" s="23" t="str">
        <f>VLOOKUP(A184,'Product-details'!$A$1:$B$1001,2,FALSE)</f>
        <v>Sports and travel</v>
      </c>
      <c r="O184" s="23" t="str">
        <f>VLOOKUP(A184,'City-details'!$A$1:$C$1001,3,FALSE)</f>
        <v>Yangon</v>
      </c>
      <c r="P184" s="23" t="str">
        <f>VLOOKUP(A184,'City-details'!$A$1:$C$1001,2,FALSE)</f>
        <v>A</v>
      </c>
      <c r="Q184" s="23" t="str">
        <f t="shared" si="6"/>
        <v>Mar</v>
      </c>
      <c r="R184" s="26" t="str">
        <f t="shared" si="7"/>
        <v>Sat</v>
      </c>
      <c r="S184">
        <f t="shared" si="8"/>
        <v>3</v>
      </c>
      <c r="T184" t="str" cm="1">
        <f t="array" ref="T184">_xlfn.IFS(S184&lt;=12,"Morning",S184&lt;=16,"Afternoon",S184&lt;=21,"Evening",S184&lt;=24,"Night")</f>
        <v>Morning</v>
      </c>
    </row>
    <row r="185" spans="1:20" x14ac:dyDescent="0.25">
      <c r="A185" s="31" t="s">
        <v>219</v>
      </c>
      <c r="B185" s="27">
        <v>34.31</v>
      </c>
      <c r="C185" s="28">
        <v>8</v>
      </c>
      <c r="D185" s="27">
        <v>13.724</v>
      </c>
      <c r="E185" s="27">
        <v>288.20400000000001</v>
      </c>
      <c r="F185" s="29">
        <v>43490</v>
      </c>
      <c r="G185" s="30">
        <v>8.1722222222222207</v>
      </c>
      <c r="H185" s="31" t="s">
        <v>23</v>
      </c>
      <c r="I185" s="27">
        <v>274.48</v>
      </c>
      <c r="J185" s="32">
        <v>4.7619047620000003</v>
      </c>
      <c r="K185" s="33">
        <v>5.7</v>
      </c>
      <c r="L185" s="31" t="str">
        <f>VLOOKUP(A185,'Customer-details'!$A$1:$C$1001,2,FALSE)</f>
        <v>Normal</v>
      </c>
      <c r="M185" s="31" t="str">
        <f>VLOOKUP(A185,'Customer-details'!$A$1:$C$1001,3,FALSE)</f>
        <v>Male</v>
      </c>
      <c r="N185" s="31" t="str">
        <f>VLOOKUP(A185,'Product-details'!$A$1:$B$1001,2,FALSE)</f>
        <v>Health and beauty</v>
      </c>
      <c r="O185" s="31" t="str">
        <f>VLOOKUP(A185,'City-details'!$A$1:$C$1001,3,FALSE)</f>
        <v>Naypyitaw</v>
      </c>
      <c r="P185" s="31" t="str">
        <f>VLOOKUP(A185,'City-details'!$A$1:$C$1001,2,FALSE)</f>
        <v>C</v>
      </c>
      <c r="Q185" s="31" t="str">
        <f t="shared" si="6"/>
        <v>Jan</v>
      </c>
      <c r="R185" s="34" t="str">
        <f t="shared" si="7"/>
        <v>Fri</v>
      </c>
      <c r="S185">
        <f t="shared" si="8"/>
        <v>4</v>
      </c>
      <c r="T185" t="str" cm="1">
        <f t="array" ref="T185">_xlfn.IFS(S185&lt;=12,"Morning",S185&lt;=16,"Afternoon",S185&lt;=21,"Evening",S185&lt;=24,"Night")</f>
        <v>Morning</v>
      </c>
    </row>
    <row r="186" spans="1:20" x14ac:dyDescent="0.25">
      <c r="A186" s="23" t="s">
        <v>220</v>
      </c>
      <c r="B186" s="19">
        <v>12.34</v>
      </c>
      <c r="C186" s="20">
        <v>7</v>
      </c>
      <c r="D186" s="19">
        <v>4.319</v>
      </c>
      <c r="E186" s="19">
        <v>90.698999999999998</v>
      </c>
      <c r="F186" s="21">
        <v>43528</v>
      </c>
      <c r="G186" s="22">
        <v>8.2138888888888903</v>
      </c>
      <c r="H186" s="23" t="s">
        <v>33</v>
      </c>
      <c r="I186" s="19">
        <v>86.38</v>
      </c>
      <c r="J186" s="24">
        <v>4.7619047620000003</v>
      </c>
      <c r="K186" s="25">
        <v>6.7</v>
      </c>
      <c r="L186" s="23" t="str">
        <f>VLOOKUP(A186,'Customer-details'!$A$1:$C$1001,2,FALSE)</f>
        <v>Normal</v>
      </c>
      <c r="M186" s="23" t="str">
        <f>VLOOKUP(A186,'Customer-details'!$A$1:$C$1001,3,FALSE)</f>
        <v>Female</v>
      </c>
      <c r="N186" s="23" t="str">
        <f>VLOOKUP(A186,'Product-details'!$A$1:$B$1001,2,FALSE)</f>
        <v>Sports and travel</v>
      </c>
      <c r="O186" s="23" t="str">
        <f>VLOOKUP(A186,'City-details'!$A$1:$C$1001,3,FALSE)</f>
        <v>Yangon</v>
      </c>
      <c r="P186" s="23" t="str">
        <f>VLOOKUP(A186,'City-details'!$A$1:$C$1001,2,FALSE)</f>
        <v>A</v>
      </c>
      <c r="Q186" s="23" t="str">
        <f t="shared" si="6"/>
        <v>Mar</v>
      </c>
      <c r="R186" s="26" t="str">
        <f t="shared" si="7"/>
        <v>Mon</v>
      </c>
      <c r="S186">
        <f t="shared" si="8"/>
        <v>5</v>
      </c>
      <c r="T186" t="str" cm="1">
        <f t="array" ref="T186">_xlfn.IFS(S186&lt;=12,"Morning",S186&lt;=16,"Afternoon",S186&lt;=21,"Evening",S186&lt;=24,"Night")</f>
        <v>Morning</v>
      </c>
    </row>
    <row r="187" spans="1:20" x14ac:dyDescent="0.25">
      <c r="A187" s="31" t="s">
        <v>221</v>
      </c>
      <c r="B187" s="27">
        <v>18.079999999999998</v>
      </c>
      <c r="C187" s="28">
        <v>3</v>
      </c>
      <c r="D187" s="27">
        <v>2.7120000000000002</v>
      </c>
      <c r="E187" s="27">
        <v>56.951999999999998</v>
      </c>
      <c r="F187" s="29">
        <v>43529</v>
      </c>
      <c r="G187" s="30">
        <v>8.2555555555555493</v>
      </c>
      <c r="H187" s="31" t="s">
        <v>23</v>
      </c>
      <c r="I187" s="27">
        <v>54.24</v>
      </c>
      <c r="J187" s="32">
        <v>4.7619047620000003</v>
      </c>
      <c r="K187" s="33">
        <v>8</v>
      </c>
      <c r="L187" s="31" t="str">
        <f>VLOOKUP(A187,'Customer-details'!$A$1:$C$1001,2,FALSE)</f>
        <v>Member</v>
      </c>
      <c r="M187" s="31" t="str">
        <f>VLOOKUP(A187,'Customer-details'!$A$1:$C$1001,3,FALSE)</f>
        <v>Male</v>
      </c>
      <c r="N187" s="31" t="str">
        <f>VLOOKUP(A187,'Product-details'!$A$1:$B$1001,2,FALSE)</f>
        <v>Food and beverages</v>
      </c>
      <c r="O187" s="31" t="str">
        <f>VLOOKUP(A187,'City-details'!$A$1:$C$1001,3,FALSE)</f>
        <v>Mandalay</v>
      </c>
      <c r="P187" s="31" t="str">
        <f>VLOOKUP(A187,'City-details'!$A$1:$C$1001,2,FALSE)</f>
        <v>B</v>
      </c>
      <c r="Q187" s="31" t="str">
        <f t="shared" si="6"/>
        <v>Mar</v>
      </c>
      <c r="R187" s="34" t="str">
        <f t="shared" si="7"/>
        <v>Tue</v>
      </c>
      <c r="S187">
        <f t="shared" si="8"/>
        <v>6</v>
      </c>
      <c r="T187" t="str" cm="1">
        <f t="array" ref="T187">_xlfn.IFS(S187&lt;=12,"Morning",S187&lt;=16,"Afternoon",S187&lt;=21,"Evening",S187&lt;=24,"Night")</f>
        <v>Morning</v>
      </c>
    </row>
    <row r="188" spans="1:20" x14ac:dyDescent="0.25">
      <c r="A188" s="23" t="s">
        <v>222</v>
      </c>
      <c r="B188" s="19">
        <v>94.49</v>
      </c>
      <c r="C188" s="20">
        <v>8</v>
      </c>
      <c r="D188" s="19">
        <v>37.795999999999999</v>
      </c>
      <c r="E188" s="19">
        <v>793.71600000000001</v>
      </c>
      <c r="F188" s="21">
        <v>43527</v>
      </c>
      <c r="G188" s="22">
        <v>8.2972222222222207</v>
      </c>
      <c r="H188" s="23" t="s">
        <v>23</v>
      </c>
      <c r="I188" s="19">
        <v>755.92</v>
      </c>
      <c r="J188" s="24">
        <v>4.7619047620000003</v>
      </c>
      <c r="K188" s="25">
        <v>7.5</v>
      </c>
      <c r="L188" s="23" t="str">
        <f>VLOOKUP(A188,'Customer-details'!$A$1:$C$1001,2,FALSE)</f>
        <v>Member</v>
      </c>
      <c r="M188" s="23" t="str">
        <f>VLOOKUP(A188,'Customer-details'!$A$1:$C$1001,3,FALSE)</f>
        <v>Female</v>
      </c>
      <c r="N188" s="23" t="str">
        <f>VLOOKUP(A188,'Product-details'!$A$1:$B$1001,2,FALSE)</f>
        <v>Home and lifestyle</v>
      </c>
      <c r="O188" s="23" t="str">
        <f>VLOOKUP(A188,'City-details'!$A$1:$C$1001,3,FALSE)</f>
        <v>Mandalay</v>
      </c>
      <c r="P188" s="23" t="str">
        <f>VLOOKUP(A188,'City-details'!$A$1:$C$1001,2,FALSE)</f>
        <v>B</v>
      </c>
      <c r="Q188" s="23" t="str">
        <f t="shared" si="6"/>
        <v>Mar</v>
      </c>
      <c r="R188" s="26" t="str">
        <f t="shared" si="7"/>
        <v>Sun</v>
      </c>
      <c r="S188">
        <f t="shared" si="8"/>
        <v>7</v>
      </c>
      <c r="T188" t="str" cm="1">
        <f t="array" ref="T188">_xlfn.IFS(S188&lt;=12,"Morning",S188&lt;=16,"Afternoon",S188&lt;=21,"Evening",S188&lt;=24,"Night")</f>
        <v>Morning</v>
      </c>
    </row>
    <row r="189" spans="1:20" x14ac:dyDescent="0.25">
      <c r="A189" s="31" t="s">
        <v>223</v>
      </c>
      <c r="B189" s="27">
        <v>46.47</v>
      </c>
      <c r="C189" s="28">
        <v>4</v>
      </c>
      <c r="D189" s="27">
        <v>9.2940000000000005</v>
      </c>
      <c r="E189" s="27">
        <v>195.17400000000001</v>
      </c>
      <c r="F189" s="29">
        <v>43504</v>
      </c>
      <c r="G189" s="30">
        <v>8.3388888888888903</v>
      </c>
      <c r="H189" s="31" t="s">
        <v>29</v>
      </c>
      <c r="I189" s="27">
        <v>185.88</v>
      </c>
      <c r="J189" s="32">
        <v>4.7619047620000003</v>
      </c>
      <c r="K189" s="33">
        <v>7</v>
      </c>
      <c r="L189" s="31" t="str">
        <f>VLOOKUP(A189,'Customer-details'!$A$1:$C$1001,2,FALSE)</f>
        <v>Member</v>
      </c>
      <c r="M189" s="31" t="str">
        <f>VLOOKUP(A189,'Customer-details'!$A$1:$C$1001,3,FALSE)</f>
        <v>Male</v>
      </c>
      <c r="N189" s="31" t="str">
        <f>VLOOKUP(A189,'Product-details'!$A$1:$B$1001,2,FALSE)</f>
        <v>Home and lifestyle</v>
      </c>
      <c r="O189" s="31" t="str">
        <f>VLOOKUP(A189,'City-details'!$A$1:$C$1001,3,FALSE)</f>
        <v>Mandalay</v>
      </c>
      <c r="P189" s="31" t="str">
        <f>VLOOKUP(A189,'City-details'!$A$1:$C$1001,2,FALSE)</f>
        <v>B</v>
      </c>
      <c r="Q189" s="31" t="str">
        <f t="shared" si="6"/>
        <v>Feb</v>
      </c>
      <c r="R189" s="34" t="str">
        <f t="shared" si="7"/>
        <v>Fri</v>
      </c>
      <c r="S189">
        <f t="shared" si="8"/>
        <v>8</v>
      </c>
      <c r="T189" t="str" cm="1">
        <f t="array" ref="T189">_xlfn.IFS(S189&lt;=12,"Morning",S189&lt;=16,"Afternoon",S189&lt;=21,"Evening",S189&lt;=24,"Night")</f>
        <v>Morning</v>
      </c>
    </row>
    <row r="190" spans="1:20" x14ac:dyDescent="0.25">
      <c r="A190" s="23" t="s">
        <v>224</v>
      </c>
      <c r="B190" s="19">
        <v>74.069999999999993</v>
      </c>
      <c r="C190" s="20">
        <v>1</v>
      </c>
      <c r="D190" s="19">
        <v>3.7035</v>
      </c>
      <c r="E190" s="19">
        <v>77.773499999999999</v>
      </c>
      <c r="F190" s="21">
        <v>43506</v>
      </c>
      <c r="G190" s="22">
        <v>8.3805555555555493</v>
      </c>
      <c r="H190" s="23" t="s">
        <v>23</v>
      </c>
      <c r="I190" s="19">
        <v>74.069999999999993</v>
      </c>
      <c r="J190" s="24">
        <v>4.7619047620000003</v>
      </c>
      <c r="K190" s="25">
        <v>9.9</v>
      </c>
      <c r="L190" s="23" t="str">
        <f>VLOOKUP(A190,'Customer-details'!$A$1:$C$1001,2,FALSE)</f>
        <v>Normal</v>
      </c>
      <c r="M190" s="23" t="str">
        <f>VLOOKUP(A190,'Customer-details'!$A$1:$C$1001,3,FALSE)</f>
        <v>Male</v>
      </c>
      <c r="N190" s="23" t="str">
        <f>VLOOKUP(A190,'Product-details'!$A$1:$B$1001,2,FALSE)</f>
        <v>Home and lifestyle</v>
      </c>
      <c r="O190" s="23" t="str">
        <f>VLOOKUP(A190,'City-details'!$A$1:$C$1001,3,FALSE)</f>
        <v>Yangon</v>
      </c>
      <c r="P190" s="23" t="str">
        <f>VLOOKUP(A190,'City-details'!$A$1:$C$1001,2,FALSE)</f>
        <v>A</v>
      </c>
      <c r="Q190" s="23" t="str">
        <f t="shared" si="6"/>
        <v>Feb</v>
      </c>
      <c r="R190" s="26" t="str">
        <f t="shared" si="7"/>
        <v>Sun</v>
      </c>
      <c r="S190">
        <f t="shared" si="8"/>
        <v>9</v>
      </c>
      <c r="T190" t="str" cm="1">
        <f t="array" ref="T190">_xlfn.IFS(S190&lt;=12,"Morning",S190&lt;=16,"Afternoon",S190&lt;=21,"Evening",S190&lt;=24,"Night")</f>
        <v>Morning</v>
      </c>
    </row>
    <row r="191" spans="1:20" x14ac:dyDescent="0.25">
      <c r="A191" s="31" t="s">
        <v>225</v>
      </c>
      <c r="B191" s="27">
        <v>69.81</v>
      </c>
      <c r="C191" s="28">
        <v>4</v>
      </c>
      <c r="D191" s="27">
        <v>13.962</v>
      </c>
      <c r="E191" s="27">
        <v>293.202</v>
      </c>
      <c r="F191" s="29">
        <v>43493</v>
      </c>
      <c r="G191" s="30">
        <v>8.4222222222222207</v>
      </c>
      <c r="H191" s="31" t="s">
        <v>33</v>
      </c>
      <c r="I191" s="27">
        <v>279.24</v>
      </c>
      <c r="J191" s="32">
        <v>4.7619047620000003</v>
      </c>
      <c r="K191" s="33">
        <v>5.9</v>
      </c>
      <c r="L191" s="31" t="str">
        <f>VLOOKUP(A191,'Customer-details'!$A$1:$C$1001,2,FALSE)</f>
        <v>Normal</v>
      </c>
      <c r="M191" s="31" t="str">
        <f>VLOOKUP(A191,'Customer-details'!$A$1:$C$1001,3,FALSE)</f>
        <v>Female</v>
      </c>
      <c r="N191" s="31" t="str">
        <f>VLOOKUP(A191,'Product-details'!$A$1:$B$1001,2,FALSE)</f>
        <v>Home and lifestyle</v>
      </c>
      <c r="O191" s="31" t="str">
        <f>VLOOKUP(A191,'City-details'!$A$1:$C$1001,3,FALSE)</f>
        <v>Naypyitaw</v>
      </c>
      <c r="P191" s="31" t="str">
        <f>VLOOKUP(A191,'City-details'!$A$1:$C$1001,2,FALSE)</f>
        <v>C</v>
      </c>
      <c r="Q191" s="31" t="str">
        <f t="shared" si="6"/>
        <v>Jan</v>
      </c>
      <c r="R191" s="34" t="str">
        <f t="shared" si="7"/>
        <v>Mon</v>
      </c>
      <c r="S191">
        <f t="shared" si="8"/>
        <v>10</v>
      </c>
      <c r="T191" t="str" cm="1">
        <f t="array" ref="T191">_xlfn.IFS(S191&lt;=12,"Morning",S191&lt;=16,"Afternoon",S191&lt;=21,"Evening",S191&lt;=24,"Night")</f>
        <v>Morning</v>
      </c>
    </row>
    <row r="192" spans="1:20" x14ac:dyDescent="0.25">
      <c r="A192" s="23" t="s">
        <v>226</v>
      </c>
      <c r="B192" s="19">
        <v>77.040000000000006</v>
      </c>
      <c r="C192" s="20">
        <v>3</v>
      </c>
      <c r="D192" s="19">
        <v>11.555999999999999</v>
      </c>
      <c r="E192" s="19">
        <v>242.67599999999999</v>
      </c>
      <c r="F192" s="21">
        <v>43507</v>
      </c>
      <c r="G192" s="22">
        <v>8.4638888888888903</v>
      </c>
      <c r="H192" s="23" t="s">
        <v>33</v>
      </c>
      <c r="I192" s="19">
        <v>231.12</v>
      </c>
      <c r="J192" s="24">
        <v>4.7619047620000003</v>
      </c>
      <c r="K192" s="25">
        <v>7.2</v>
      </c>
      <c r="L192" s="23" t="str">
        <f>VLOOKUP(A192,'Customer-details'!$A$1:$C$1001,2,FALSE)</f>
        <v>Normal</v>
      </c>
      <c r="M192" s="23" t="str">
        <f>VLOOKUP(A192,'Customer-details'!$A$1:$C$1001,3,FALSE)</f>
        <v>Female</v>
      </c>
      <c r="N192" s="23" t="str">
        <f>VLOOKUP(A192,'Product-details'!$A$1:$B$1001,2,FALSE)</f>
        <v>Home and lifestyle</v>
      </c>
      <c r="O192" s="23" t="str">
        <f>VLOOKUP(A192,'City-details'!$A$1:$C$1001,3,FALSE)</f>
        <v>Mandalay</v>
      </c>
      <c r="P192" s="23" t="str">
        <f>VLOOKUP(A192,'City-details'!$A$1:$C$1001,2,FALSE)</f>
        <v>B</v>
      </c>
      <c r="Q192" s="23" t="str">
        <f t="shared" si="6"/>
        <v>Feb</v>
      </c>
      <c r="R192" s="26" t="str">
        <f t="shared" si="7"/>
        <v>Mon</v>
      </c>
      <c r="S192">
        <f t="shared" si="8"/>
        <v>11</v>
      </c>
      <c r="T192" t="str" cm="1">
        <f t="array" ref="T192">_xlfn.IFS(S192&lt;=12,"Morning",S192&lt;=16,"Afternoon",S192&lt;=21,"Evening",S192&lt;=24,"Night")</f>
        <v>Morning</v>
      </c>
    </row>
    <row r="193" spans="1:20" x14ac:dyDescent="0.25">
      <c r="A193" s="31" t="s">
        <v>227</v>
      </c>
      <c r="B193" s="27">
        <v>73.52</v>
      </c>
      <c r="C193" s="28">
        <v>2</v>
      </c>
      <c r="D193" s="27">
        <v>7.3520000000000003</v>
      </c>
      <c r="E193" s="27">
        <v>154.392</v>
      </c>
      <c r="F193" s="29">
        <v>43480</v>
      </c>
      <c r="G193" s="30">
        <v>8.5055555555555493</v>
      </c>
      <c r="H193" s="31" t="s">
        <v>23</v>
      </c>
      <c r="I193" s="27">
        <v>147.04</v>
      </c>
      <c r="J193" s="32">
        <v>4.7619047620000003</v>
      </c>
      <c r="K193" s="33">
        <v>4.5999999999999996</v>
      </c>
      <c r="L193" s="31" t="str">
        <f>VLOOKUP(A193,'Customer-details'!$A$1:$C$1001,2,FALSE)</f>
        <v>Normal</v>
      </c>
      <c r="M193" s="31" t="str">
        <f>VLOOKUP(A193,'Customer-details'!$A$1:$C$1001,3,FALSE)</f>
        <v>Female</v>
      </c>
      <c r="N193" s="31" t="str">
        <f>VLOOKUP(A193,'Product-details'!$A$1:$B$1001,2,FALSE)</f>
        <v>Fashion accessories</v>
      </c>
      <c r="O193" s="31" t="str">
        <f>VLOOKUP(A193,'City-details'!$A$1:$C$1001,3,FALSE)</f>
        <v>Mandalay</v>
      </c>
      <c r="P193" s="31" t="str">
        <f>VLOOKUP(A193,'City-details'!$A$1:$C$1001,2,FALSE)</f>
        <v>B</v>
      </c>
      <c r="Q193" s="31" t="str">
        <f t="shared" si="6"/>
        <v>Jan</v>
      </c>
      <c r="R193" s="34" t="str">
        <f t="shared" si="7"/>
        <v>Tue</v>
      </c>
      <c r="S193">
        <f t="shared" si="8"/>
        <v>12</v>
      </c>
      <c r="T193" t="str" cm="1">
        <f t="array" ref="T193">_xlfn.IFS(S193&lt;=12,"Morning",S193&lt;=16,"Afternoon",S193&lt;=21,"Evening",S193&lt;=24,"Night")</f>
        <v>Morning</v>
      </c>
    </row>
    <row r="194" spans="1:20" x14ac:dyDescent="0.25">
      <c r="A194" s="23" t="s">
        <v>228</v>
      </c>
      <c r="B194" s="19">
        <v>87.8</v>
      </c>
      <c r="C194" s="20">
        <v>9</v>
      </c>
      <c r="D194" s="19">
        <v>39.51</v>
      </c>
      <c r="E194" s="19">
        <v>829.71</v>
      </c>
      <c r="F194" s="21">
        <v>43540</v>
      </c>
      <c r="G194" s="22">
        <v>8.5472222222222207</v>
      </c>
      <c r="H194" s="23" t="s">
        <v>29</v>
      </c>
      <c r="I194" s="19">
        <v>790.2</v>
      </c>
      <c r="J194" s="24">
        <v>4.7619047620000003</v>
      </c>
      <c r="K194" s="25">
        <v>9.1999999999999993</v>
      </c>
      <c r="L194" s="23" t="str">
        <f>VLOOKUP(A194,'Customer-details'!$A$1:$C$1001,2,FALSE)</f>
        <v>Normal</v>
      </c>
      <c r="M194" s="23" t="str">
        <f>VLOOKUP(A194,'Customer-details'!$A$1:$C$1001,3,FALSE)</f>
        <v>Female</v>
      </c>
      <c r="N194" s="23" t="str">
        <f>VLOOKUP(A194,'Product-details'!$A$1:$B$1001,2,FALSE)</f>
        <v>Food and beverages</v>
      </c>
      <c r="O194" s="23" t="str">
        <f>VLOOKUP(A194,'City-details'!$A$1:$C$1001,3,FALSE)</f>
        <v>Naypyitaw</v>
      </c>
      <c r="P194" s="23" t="str">
        <f>VLOOKUP(A194,'City-details'!$A$1:$C$1001,2,FALSE)</f>
        <v>C</v>
      </c>
      <c r="Q194" s="23" t="str">
        <f t="shared" si="6"/>
        <v>Mar</v>
      </c>
      <c r="R194" s="26" t="str">
        <f t="shared" si="7"/>
        <v>Sat</v>
      </c>
      <c r="S194">
        <f t="shared" si="8"/>
        <v>13</v>
      </c>
      <c r="T194" t="str" cm="1">
        <f t="array" ref="T194">_xlfn.IFS(S194&lt;=12,"Morning",S194&lt;=16,"Afternoon",S194&lt;=21,"Evening",S194&lt;=24,"Night")</f>
        <v>Afternoon</v>
      </c>
    </row>
    <row r="195" spans="1:20" x14ac:dyDescent="0.25">
      <c r="A195" s="31" t="s">
        <v>229</v>
      </c>
      <c r="B195" s="27">
        <v>25.55</v>
      </c>
      <c r="C195" s="28">
        <v>4</v>
      </c>
      <c r="D195" s="27">
        <v>5.1100000000000003</v>
      </c>
      <c r="E195" s="27">
        <v>107.31</v>
      </c>
      <c r="F195" s="29">
        <v>43491</v>
      </c>
      <c r="G195" s="30">
        <v>8.5888888888888903</v>
      </c>
      <c r="H195" s="31" t="s">
        <v>23</v>
      </c>
      <c r="I195" s="27">
        <v>102.2</v>
      </c>
      <c r="J195" s="32">
        <v>4.7619047620000003</v>
      </c>
      <c r="K195" s="33">
        <v>5.7</v>
      </c>
      <c r="L195" s="31" t="str">
        <f>VLOOKUP(A195,'Customer-details'!$A$1:$C$1001,2,FALSE)</f>
        <v>Normal</v>
      </c>
      <c r="M195" s="31" t="str">
        <f>VLOOKUP(A195,'Customer-details'!$A$1:$C$1001,3,FALSE)</f>
        <v>Male</v>
      </c>
      <c r="N195" s="31" t="str">
        <f>VLOOKUP(A195,'Product-details'!$A$1:$B$1001,2,FALSE)</f>
        <v>Home and lifestyle</v>
      </c>
      <c r="O195" s="31" t="str">
        <f>VLOOKUP(A195,'City-details'!$A$1:$C$1001,3,FALSE)</f>
        <v>Mandalay</v>
      </c>
      <c r="P195" s="31" t="str">
        <f>VLOOKUP(A195,'City-details'!$A$1:$C$1001,2,FALSE)</f>
        <v>B</v>
      </c>
      <c r="Q195" s="31" t="str">
        <f t="shared" ref="Q195:Q258" si="9">TEXT(F195,"mmm")</f>
        <v>Jan</v>
      </c>
      <c r="R195" s="34" t="str">
        <f t="shared" ref="R195:R258" si="10">TEXT(F195,"ddd")</f>
        <v>Sat</v>
      </c>
      <c r="S195">
        <f t="shared" ref="S195:S258" si="11">HOUR(G195)</f>
        <v>14</v>
      </c>
      <c r="T195" t="str" cm="1">
        <f t="array" ref="T195">_xlfn.IFS(S195&lt;=12,"Morning",S195&lt;=16,"Afternoon",S195&lt;=21,"Evening",S195&lt;=24,"Night")</f>
        <v>Afternoon</v>
      </c>
    </row>
    <row r="196" spans="1:20" x14ac:dyDescent="0.25">
      <c r="A196" s="23" t="s">
        <v>230</v>
      </c>
      <c r="B196" s="19">
        <v>32.71</v>
      </c>
      <c r="C196" s="20">
        <v>5</v>
      </c>
      <c r="D196" s="19">
        <v>8.1775000000000002</v>
      </c>
      <c r="E196" s="19">
        <v>171.72749999999999</v>
      </c>
      <c r="F196" s="21">
        <v>43543</v>
      </c>
      <c r="G196" s="22">
        <v>8.63055555555556</v>
      </c>
      <c r="H196" s="23" t="s">
        <v>33</v>
      </c>
      <c r="I196" s="19">
        <v>163.55000000000001</v>
      </c>
      <c r="J196" s="24">
        <v>4.7619047620000003</v>
      </c>
      <c r="K196" s="25">
        <v>9.9</v>
      </c>
      <c r="L196" s="23" t="str">
        <f>VLOOKUP(A196,'Customer-details'!$A$1:$C$1001,2,FALSE)</f>
        <v>Normal</v>
      </c>
      <c r="M196" s="23" t="str">
        <f>VLOOKUP(A196,'Customer-details'!$A$1:$C$1001,3,FALSE)</f>
        <v>Male</v>
      </c>
      <c r="N196" s="23" t="str">
        <f>VLOOKUP(A196,'Product-details'!$A$1:$B$1001,2,FALSE)</f>
        <v>Electronic accessories</v>
      </c>
      <c r="O196" s="23" t="str">
        <f>VLOOKUP(A196,'City-details'!$A$1:$C$1001,3,FALSE)</f>
        <v>Yangon</v>
      </c>
      <c r="P196" s="23" t="str">
        <f>VLOOKUP(A196,'City-details'!$A$1:$C$1001,2,FALSE)</f>
        <v>A</v>
      </c>
      <c r="Q196" s="23" t="str">
        <f t="shared" si="9"/>
        <v>Mar</v>
      </c>
      <c r="R196" s="26" t="str">
        <f t="shared" si="10"/>
        <v>Tue</v>
      </c>
      <c r="S196">
        <f t="shared" si="11"/>
        <v>15</v>
      </c>
      <c r="T196" t="str" cm="1">
        <f t="array" ref="T196">_xlfn.IFS(S196&lt;=12,"Morning",S196&lt;=16,"Afternoon",S196&lt;=21,"Evening",S196&lt;=24,"Night")</f>
        <v>Afternoon</v>
      </c>
    </row>
    <row r="197" spans="1:20" x14ac:dyDescent="0.25">
      <c r="A197" s="31" t="s">
        <v>231</v>
      </c>
      <c r="B197" s="27">
        <v>74.290000000000006</v>
      </c>
      <c r="C197" s="28">
        <v>1</v>
      </c>
      <c r="D197" s="27">
        <v>3.7145000000000001</v>
      </c>
      <c r="E197" s="27">
        <v>78.004499999999993</v>
      </c>
      <c r="F197" s="29">
        <v>43478</v>
      </c>
      <c r="G197" s="30">
        <v>8.6722222222222207</v>
      </c>
      <c r="H197" s="31" t="s">
        <v>29</v>
      </c>
      <c r="I197" s="27">
        <v>74.290000000000006</v>
      </c>
      <c r="J197" s="32">
        <v>4.7619047620000003</v>
      </c>
      <c r="K197" s="33">
        <v>5</v>
      </c>
      <c r="L197" s="31" t="str">
        <f>VLOOKUP(A197,'Customer-details'!$A$1:$C$1001,2,FALSE)</f>
        <v>Member</v>
      </c>
      <c r="M197" s="31" t="str">
        <f>VLOOKUP(A197,'Customer-details'!$A$1:$C$1001,3,FALSE)</f>
        <v>Female</v>
      </c>
      <c r="N197" s="31" t="str">
        <f>VLOOKUP(A197,'Product-details'!$A$1:$B$1001,2,FALSE)</f>
        <v>Fashion accessories</v>
      </c>
      <c r="O197" s="31" t="str">
        <f>VLOOKUP(A197,'City-details'!$A$1:$C$1001,3,FALSE)</f>
        <v>Naypyitaw</v>
      </c>
      <c r="P197" s="31" t="str">
        <f>VLOOKUP(A197,'City-details'!$A$1:$C$1001,2,FALSE)</f>
        <v>C</v>
      </c>
      <c r="Q197" s="31" t="str">
        <f t="shared" si="9"/>
        <v>Jan</v>
      </c>
      <c r="R197" s="34" t="str">
        <f t="shared" si="10"/>
        <v>Sun</v>
      </c>
      <c r="S197">
        <f t="shared" si="11"/>
        <v>16</v>
      </c>
      <c r="T197" t="str" cm="1">
        <f t="array" ref="T197">_xlfn.IFS(S197&lt;=12,"Morning",S197&lt;=16,"Afternoon",S197&lt;=21,"Evening",S197&lt;=24,"Night")</f>
        <v>Afternoon</v>
      </c>
    </row>
    <row r="198" spans="1:20" x14ac:dyDescent="0.25">
      <c r="A198" s="23" t="s">
        <v>232</v>
      </c>
      <c r="B198" s="19">
        <v>43.7</v>
      </c>
      <c r="C198" s="20">
        <v>2</v>
      </c>
      <c r="D198" s="19">
        <v>4.37</v>
      </c>
      <c r="E198" s="19">
        <v>91.77</v>
      </c>
      <c r="F198" s="21">
        <v>43550</v>
      </c>
      <c r="G198" s="22">
        <v>8.7138888888888903</v>
      </c>
      <c r="H198" s="23" t="s">
        <v>29</v>
      </c>
      <c r="I198" s="19">
        <v>87.4</v>
      </c>
      <c r="J198" s="24">
        <v>4.7619047620000003</v>
      </c>
      <c r="K198" s="25">
        <v>4.9000000000000004</v>
      </c>
      <c r="L198" s="23" t="str">
        <f>VLOOKUP(A198,'Customer-details'!$A$1:$C$1001,2,FALSE)</f>
        <v>Member</v>
      </c>
      <c r="M198" s="23" t="str">
        <f>VLOOKUP(A198,'Customer-details'!$A$1:$C$1001,3,FALSE)</f>
        <v>Male</v>
      </c>
      <c r="N198" s="23" t="str">
        <f>VLOOKUP(A198,'Product-details'!$A$1:$B$1001,2,FALSE)</f>
        <v>Health and beauty</v>
      </c>
      <c r="O198" s="23" t="str">
        <f>VLOOKUP(A198,'City-details'!$A$1:$C$1001,3,FALSE)</f>
        <v>Naypyitaw</v>
      </c>
      <c r="P198" s="23" t="str">
        <f>VLOOKUP(A198,'City-details'!$A$1:$C$1001,2,FALSE)</f>
        <v>C</v>
      </c>
      <c r="Q198" s="23" t="str">
        <f t="shared" si="9"/>
        <v>Mar</v>
      </c>
      <c r="R198" s="26" t="str">
        <f t="shared" si="10"/>
        <v>Tue</v>
      </c>
      <c r="S198">
        <f t="shared" si="11"/>
        <v>17</v>
      </c>
      <c r="T198" t="str" cm="1">
        <f t="array" ref="T198">_xlfn.IFS(S198&lt;=12,"Morning",S198&lt;=16,"Afternoon",S198&lt;=21,"Evening",S198&lt;=24,"Night")</f>
        <v>Evening</v>
      </c>
    </row>
    <row r="199" spans="1:20" x14ac:dyDescent="0.25">
      <c r="A199" s="31" t="s">
        <v>233</v>
      </c>
      <c r="B199" s="27">
        <v>25.29</v>
      </c>
      <c r="C199" s="28">
        <v>1</v>
      </c>
      <c r="D199" s="27">
        <v>1.2645</v>
      </c>
      <c r="E199" s="27">
        <v>26.554500000000001</v>
      </c>
      <c r="F199" s="29">
        <v>43547</v>
      </c>
      <c r="G199" s="30">
        <v>8.75555555555556</v>
      </c>
      <c r="H199" s="31" t="s">
        <v>23</v>
      </c>
      <c r="I199" s="27">
        <v>25.29</v>
      </c>
      <c r="J199" s="32">
        <v>4.7619047620000003</v>
      </c>
      <c r="K199" s="33">
        <v>6.1</v>
      </c>
      <c r="L199" s="31" t="str">
        <f>VLOOKUP(A199,'Customer-details'!$A$1:$C$1001,2,FALSE)</f>
        <v>Normal</v>
      </c>
      <c r="M199" s="31" t="str">
        <f>VLOOKUP(A199,'Customer-details'!$A$1:$C$1001,3,FALSE)</f>
        <v>Female</v>
      </c>
      <c r="N199" s="31" t="str">
        <f>VLOOKUP(A199,'Product-details'!$A$1:$B$1001,2,FALSE)</f>
        <v>Home and lifestyle</v>
      </c>
      <c r="O199" s="31" t="str">
        <f>VLOOKUP(A199,'City-details'!$A$1:$C$1001,3,FALSE)</f>
        <v>Yangon</v>
      </c>
      <c r="P199" s="31" t="str">
        <f>VLOOKUP(A199,'City-details'!$A$1:$C$1001,2,FALSE)</f>
        <v>A</v>
      </c>
      <c r="Q199" s="31" t="str">
        <f t="shared" si="9"/>
        <v>Mar</v>
      </c>
      <c r="R199" s="34" t="str">
        <f t="shared" si="10"/>
        <v>Sat</v>
      </c>
      <c r="S199">
        <f t="shared" si="11"/>
        <v>18</v>
      </c>
      <c r="T199" t="str" cm="1">
        <f t="array" ref="T199">_xlfn.IFS(S199&lt;=12,"Morning",S199&lt;=16,"Afternoon",S199&lt;=21,"Evening",S199&lt;=24,"Night")</f>
        <v>Evening</v>
      </c>
    </row>
    <row r="200" spans="1:20" x14ac:dyDescent="0.25">
      <c r="A200" s="23" t="s">
        <v>234</v>
      </c>
      <c r="B200" s="19">
        <v>41.5</v>
      </c>
      <c r="C200" s="20">
        <v>4</v>
      </c>
      <c r="D200" s="19">
        <v>8.3000000000000007</v>
      </c>
      <c r="E200" s="19">
        <v>174.3</v>
      </c>
      <c r="F200" s="21">
        <v>43536</v>
      </c>
      <c r="G200" s="22">
        <v>8.7972222222222207</v>
      </c>
      <c r="H200" s="23" t="s">
        <v>33</v>
      </c>
      <c r="I200" s="19">
        <v>166</v>
      </c>
      <c r="J200" s="24">
        <v>4.7619047620000003</v>
      </c>
      <c r="K200" s="25">
        <v>8.1999999999999993</v>
      </c>
      <c r="L200" s="23" t="str">
        <f>VLOOKUP(A200,'Customer-details'!$A$1:$C$1001,2,FALSE)</f>
        <v>Normal</v>
      </c>
      <c r="M200" s="23" t="str">
        <f>VLOOKUP(A200,'Customer-details'!$A$1:$C$1001,3,FALSE)</f>
        <v>Male</v>
      </c>
      <c r="N200" s="23" t="str">
        <f>VLOOKUP(A200,'Product-details'!$A$1:$B$1001,2,FALSE)</f>
        <v>Health and beauty</v>
      </c>
      <c r="O200" s="23" t="str">
        <f>VLOOKUP(A200,'City-details'!$A$1:$C$1001,3,FALSE)</f>
        <v>Naypyitaw</v>
      </c>
      <c r="P200" s="23" t="str">
        <f>VLOOKUP(A200,'City-details'!$A$1:$C$1001,2,FALSE)</f>
        <v>C</v>
      </c>
      <c r="Q200" s="23" t="str">
        <f t="shared" si="9"/>
        <v>Mar</v>
      </c>
      <c r="R200" s="26" t="str">
        <f t="shared" si="10"/>
        <v>Tue</v>
      </c>
      <c r="S200">
        <f t="shared" si="11"/>
        <v>19</v>
      </c>
      <c r="T200" t="str" cm="1">
        <f t="array" ref="T200">_xlfn.IFS(S200&lt;=12,"Morning",S200&lt;=16,"Afternoon",S200&lt;=21,"Evening",S200&lt;=24,"Night")</f>
        <v>Evening</v>
      </c>
    </row>
    <row r="201" spans="1:20" x14ac:dyDescent="0.25">
      <c r="A201" s="31" t="s">
        <v>235</v>
      </c>
      <c r="B201" s="27">
        <v>71.39</v>
      </c>
      <c r="C201" s="28">
        <v>5</v>
      </c>
      <c r="D201" s="27">
        <v>17.8475</v>
      </c>
      <c r="E201" s="27">
        <v>374.79750000000001</v>
      </c>
      <c r="F201" s="29">
        <v>43513</v>
      </c>
      <c r="G201" s="30">
        <v>8.8388888888888903</v>
      </c>
      <c r="H201" s="31" t="s">
        <v>33</v>
      </c>
      <c r="I201" s="27">
        <v>356.95</v>
      </c>
      <c r="J201" s="32">
        <v>4.7619047620000003</v>
      </c>
      <c r="K201" s="33">
        <v>5.5</v>
      </c>
      <c r="L201" s="31" t="str">
        <f>VLOOKUP(A201,'Customer-details'!$A$1:$C$1001,2,FALSE)</f>
        <v>Member</v>
      </c>
      <c r="M201" s="31" t="str">
        <f>VLOOKUP(A201,'Customer-details'!$A$1:$C$1001,3,FALSE)</f>
        <v>Female</v>
      </c>
      <c r="N201" s="31" t="str">
        <f>VLOOKUP(A201,'Product-details'!$A$1:$B$1001,2,FALSE)</f>
        <v>Food and beverages</v>
      </c>
      <c r="O201" s="31" t="str">
        <f>VLOOKUP(A201,'City-details'!$A$1:$C$1001,3,FALSE)</f>
        <v>Naypyitaw</v>
      </c>
      <c r="P201" s="31" t="str">
        <f>VLOOKUP(A201,'City-details'!$A$1:$C$1001,2,FALSE)</f>
        <v>C</v>
      </c>
      <c r="Q201" s="31" t="str">
        <f t="shared" si="9"/>
        <v>Feb</v>
      </c>
      <c r="R201" s="34" t="str">
        <f t="shared" si="10"/>
        <v>Sun</v>
      </c>
      <c r="S201">
        <f t="shared" si="11"/>
        <v>20</v>
      </c>
      <c r="T201" t="str" cm="1">
        <f t="array" ref="T201">_xlfn.IFS(S201&lt;=12,"Morning",S201&lt;=16,"Afternoon",S201&lt;=21,"Evening",S201&lt;=24,"Night")</f>
        <v>Evening</v>
      </c>
    </row>
    <row r="202" spans="1:20" x14ac:dyDescent="0.25">
      <c r="A202" s="23" t="s">
        <v>236</v>
      </c>
      <c r="B202" s="19">
        <v>19.149999999999999</v>
      </c>
      <c r="C202" s="20">
        <v>6</v>
      </c>
      <c r="D202" s="19">
        <v>5.7450000000000001</v>
      </c>
      <c r="E202" s="19">
        <v>120.645</v>
      </c>
      <c r="F202" s="21">
        <v>43494</v>
      </c>
      <c r="G202" s="22">
        <v>8.88055555555556</v>
      </c>
      <c r="H202" s="23" t="s">
        <v>33</v>
      </c>
      <c r="I202" s="19">
        <v>114.9</v>
      </c>
      <c r="J202" s="24">
        <v>4.7619047620000003</v>
      </c>
      <c r="K202" s="25">
        <v>6.8</v>
      </c>
      <c r="L202" s="23" t="str">
        <f>VLOOKUP(A202,'Customer-details'!$A$1:$C$1001,2,FALSE)</f>
        <v>Member</v>
      </c>
      <c r="M202" s="23" t="str">
        <f>VLOOKUP(A202,'Customer-details'!$A$1:$C$1001,3,FALSE)</f>
        <v>Female</v>
      </c>
      <c r="N202" s="23" t="str">
        <f>VLOOKUP(A202,'Product-details'!$A$1:$B$1001,2,FALSE)</f>
        <v>Sports and travel</v>
      </c>
      <c r="O202" s="23" t="str">
        <f>VLOOKUP(A202,'City-details'!$A$1:$C$1001,3,FALSE)</f>
        <v>Naypyitaw</v>
      </c>
      <c r="P202" s="23" t="str">
        <f>VLOOKUP(A202,'City-details'!$A$1:$C$1001,2,FALSE)</f>
        <v>C</v>
      </c>
      <c r="Q202" s="23" t="str">
        <f t="shared" si="9"/>
        <v>Jan</v>
      </c>
      <c r="R202" s="26" t="str">
        <f t="shared" si="10"/>
        <v>Tue</v>
      </c>
      <c r="S202">
        <f t="shared" si="11"/>
        <v>21</v>
      </c>
      <c r="T202" t="str" cm="1">
        <f t="array" ref="T202">_xlfn.IFS(S202&lt;=12,"Morning",S202&lt;=16,"Afternoon",S202&lt;=21,"Evening",S202&lt;=24,"Night")</f>
        <v>Evening</v>
      </c>
    </row>
    <row r="203" spans="1:20" x14ac:dyDescent="0.25">
      <c r="A203" s="31" t="s">
        <v>237</v>
      </c>
      <c r="B203" s="27">
        <v>57.49</v>
      </c>
      <c r="C203" s="28">
        <v>4</v>
      </c>
      <c r="D203" s="27">
        <v>11.497999999999999</v>
      </c>
      <c r="E203" s="27">
        <v>241.458</v>
      </c>
      <c r="F203" s="29">
        <v>43539</v>
      </c>
      <c r="G203" s="30">
        <v>8.9222222222222207</v>
      </c>
      <c r="H203" s="31" t="s">
        <v>29</v>
      </c>
      <c r="I203" s="27">
        <v>229.96</v>
      </c>
      <c r="J203" s="32">
        <v>4.7619047620000003</v>
      </c>
      <c r="K203" s="33">
        <v>6.6</v>
      </c>
      <c r="L203" s="31" t="str">
        <f>VLOOKUP(A203,'Customer-details'!$A$1:$C$1001,2,FALSE)</f>
        <v>Member</v>
      </c>
      <c r="M203" s="31" t="str">
        <f>VLOOKUP(A203,'Customer-details'!$A$1:$C$1001,3,FALSE)</f>
        <v>Female</v>
      </c>
      <c r="N203" s="31" t="str">
        <f>VLOOKUP(A203,'Product-details'!$A$1:$B$1001,2,FALSE)</f>
        <v>Electronic accessories</v>
      </c>
      <c r="O203" s="31" t="str">
        <f>VLOOKUP(A203,'City-details'!$A$1:$C$1001,3,FALSE)</f>
        <v>Mandalay</v>
      </c>
      <c r="P203" s="31" t="str">
        <f>VLOOKUP(A203,'City-details'!$A$1:$C$1001,2,FALSE)</f>
        <v>B</v>
      </c>
      <c r="Q203" s="31" t="str">
        <f t="shared" si="9"/>
        <v>Mar</v>
      </c>
      <c r="R203" s="34" t="str">
        <f t="shared" si="10"/>
        <v>Fri</v>
      </c>
      <c r="S203">
        <f t="shared" si="11"/>
        <v>22</v>
      </c>
      <c r="T203" t="str" cm="1">
        <f t="array" ref="T203">_xlfn.IFS(S203&lt;=12,"Morning",S203&lt;=16,"Afternoon",S203&lt;=21,"Evening",S203&lt;=24,"Night")</f>
        <v>Night</v>
      </c>
    </row>
    <row r="204" spans="1:20" x14ac:dyDescent="0.25">
      <c r="A204" s="23" t="s">
        <v>238</v>
      </c>
      <c r="B204" s="19">
        <v>61.41</v>
      </c>
      <c r="C204" s="20">
        <v>7</v>
      </c>
      <c r="D204" s="19">
        <v>21.493500000000001</v>
      </c>
      <c r="E204" s="19">
        <v>451.36349999999999</v>
      </c>
      <c r="F204" s="21">
        <v>43479</v>
      </c>
      <c r="G204" s="22">
        <v>8.9638888888888903</v>
      </c>
      <c r="H204" s="23" t="s">
        <v>29</v>
      </c>
      <c r="I204" s="19">
        <v>429.87</v>
      </c>
      <c r="J204" s="24">
        <v>4.7619047620000003</v>
      </c>
      <c r="K204" s="25">
        <v>9.8000000000000007</v>
      </c>
      <c r="L204" s="23" t="str">
        <f>VLOOKUP(A204,'Customer-details'!$A$1:$C$1001,2,FALSE)</f>
        <v>Normal</v>
      </c>
      <c r="M204" s="23" t="str">
        <f>VLOOKUP(A204,'Customer-details'!$A$1:$C$1001,3,FALSE)</f>
        <v>Male</v>
      </c>
      <c r="N204" s="23" t="str">
        <f>VLOOKUP(A204,'Product-details'!$A$1:$B$1001,2,FALSE)</f>
        <v>Electronic accessories</v>
      </c>
      <c r="O204" s="23" t="str">
        <f>VLOOKUP(A204,'City-details'!$A$1:$C$1001,3,FALSE)</f>
        <v>Naypyitaw</v>
      </c>
      <c r="P204" s="23" t="str">
        <f>VLOOKUP(A204,'City-details'!$A$1:$C$1001,2,FALSE)</f>
        <v>C</v>
      </c>
      <c r="Q204" s="23" t="str">
        <f t="shared" si="9"/>
        <v>Jan</v>
      </c>
      <c r="R204" s="26" t="str">
        <f t="shared" si="10"/>
        <v>Mon</v>
      </c>
      <c r="S204">
        <f t="shared" si="11"/>
        <v>23</v>
      </c>
      <c r="T204" t="str" cm="1">
        <f t="array" ref="T204">_xlfn.IFS(S204&lt;=12,"Morning",S204&lt;=16,"Afternoon",S204&lt;=21,"Evening",S204&lt;=24,"Night")</f>
        <v>Night</v>
      </c>
    </row>
    <row r="205" spans="1:20" x14ac:dyDescent="0.25">
      <c r="A205" s="31" t="s">
        <v>239</v>
      </c>
      <c r="B205" s="27">
        <v>25.9</v>
      </c>
      <c r="C205" s="28">
        <v>10</v>
      </c>
      <c r="D205" s="27">
        <v>12.95</v>
      </c>
      <c r="E205" s="27">
        <v>271.95</v>
      </c>
      <c r="F205" s="29">
        <v>43502</v>
      </c>
      <c r="G205" s="30">
        <v>9.00555555555556</v>
      </c>
      <c r="H205" s="31" t="s">
        <v>23</v>
      </c>
      <c r="I205" s="27">
        <v>259</v>
      </c>
      <c r="J205" s="32">
        <v>4.7619047620000003</v>
      </c>
      <c r="K205" s="33">
        <v>8.6999999999999993</v>
      </c>
      <c r="L205" s="31" t="str">
        <f>VLOOKUP(A205,'Customer-details'!$A$1:$C$1001,2,FALSE)</f>
        <v>Member</v>
      </c>
      <c r="M205" s="31" t="str">
        <f>VLOOKUP(A205,'Customer-details'!$A$1:$C$1001,3,FALSE)</f>
        <v>Male</v>
      </c>
      <c r="N205" s="31" t="str">
        <f>VLOOKUP(A205,'Product-details'!$A$1:$B$1001,2,FALSE)</f>
        <v>Health and beauty</v>
      </c>
      <c r="O205" s="31" t="str">
        <f>VLOOKUP(A205,'City-details'!$A$1:$C$1001,3,FALSE)</f>
        <v>Mandalay</v>
      </c>
      <c r="P205" s="31" t="str">
        <f>VLOOKUP(A205,'City-details'!$A$1:$C$1001,2,FALSE)</f>
        <v>B</v>
      </c>
      <c r="Q205" s="31" t="str">
        <f t="shared" si="9"/>
        <v>Feb</v>
      </c>
      <c r="R205" s="34" t="str">
        <f t="shared" si="10"/>
        <v>Wed</v>
      </c>
      <c r="S205">
        <f t="shared" si="11"/>
        <v>0</v>
      </c>
      <c r="T205" t="str" cm="1">
        <f t="array" ref="T205">_xlfn.IFS(S205&lt;=12,"Morning",S205&lt;=16,"Afternoon",S205&lt;=21,"Evening",S205&lt;=24,"Night")</f>
        <v>Morning</v>
      </c>
    </row>
    <row r="206" spans="1:20" x14ac:dyDescent="0.25">
      <c r="A206" s="23" t="s">
        <v>240</v>
      </c>
      <c r="B206" s="19">
        <v>17.77</v>
      </c>
      <c r="C206" s="20">
        <v>5</v>
      </c>
      <c r="D206" s="19">
        <v>4.4424999999999999</v>
      </c>
      <c r="E206" s="19">
        <v>93.292500000000004</v>
      </c>
      <c r="F206" s="21">
        <v>43511</v>
      </c>
      <c r="G206" s="22">
        <v>9.0472222222222207</v>
      </c>
      <c r="H206" s="23" t="s">
        <v>33</v>
      </c>
      <c r="I206" s="19">
        <v>88.85</v>
      </c>
      <c r="J206" s="24">
        <v>4.7619047620000003</v>
      </c>
      <c r="K206" s="25">
        <v>5.4</v>
      </c>
      <c r="L206" s="23" t="str">
        <f>VLOOKUP(A206,'Customer-details'!$A$1:$C$1001,2,FALSE)</f>
        <v>Member</v>
      </c>
      <c r="M206" s="23" t="str">
        <f>VLOOKUP(A206,'Customer-details'!$A$1:$C$1001,3,FALSE)</f>
        <v>Male</v>
      </c>
      <c r="N206" s="23" t="str">
        <f>VLOOKUP(A206,'Product-details'!$A$1:$B$1001,2,FALSE)</f>
        <v>Home and lifestyle</v>
      </c>
      <c r="O206" s="23" t="str">
        <f>VLOOKUP(A206,'City-details'!$A$1:$C$1001,3,FALSE)</f>
        <v>Mandalay</v>
      </c>
      <c r="P206" s="23" t="str">
        <f>VLOOKUP(A206,'City-details'!$A$1:$C$1001,2,FALSE)</f>
        <v>B</v>
      </c>
      <c r="Q206" s="23" t="str">
        <f t="shared" si="9"/>
        <v>Feb</v>
      </c>
      <c r="R206" s="26" t="str">
        <f t="shared" si="10"/>
        <v>Fri</v>
      </c>
      <c r="S206">
        <f t="shared" si="11"/>
        <v>1</v>
      </c>
      <c r="T206" t="str" cm="1">
        <f t="array" ref="T206">_xlfn.IFS(S206&lt;=12,"Morning",S206&lt;=16,"Afternoon",S206&lt;=21,"Evening",S206&lt;=24,"Night")</f>
        <v>Morning</v>
      </c>
    </row>
    <row r="207" spans="1:20" x14ac:dyDescent="0.25">
      <c r="A207" s="31" t="s">
        <v>241</v>
      </c>
      <c r="B207" s="27">
        <v>23.03</v>
      </c>
      <c r="C207" s="28">
        <v>9</v>
      </c>
      <c r="D207" s="27">
        <v>10.3635</v>
      </c>
      <c r="E207" s="27">
        <v>217.6335</v>
      </c>
      <c r="F207" s="29">
        <v>43468</v>
      </c>
      <c r="G207" s="30">
        <v>9.0888888888888903</v>
      </c>
      <c r="H207" s="31" t="s">
        <v>23</v>
      </c>
      <c r="I207" s="27">
        <v>207.27</v>
      </c>
      <c r="J207" s="32">
        <v>4.7619047620000003</v>
      </c>
      <c r="K207" s="33">
        <v>7.9</v>
      </c>
      <c r="L207" s="31" t="str">
        <f>VLOOKUP(A207,'Customer-details'!$A$1:$C$1001,2,FALSE)</f>
        <v>Normal</v>
      </c>
      <c r="M207" s="31" t="str">
        <f>VLOOKUP(A207,'Customer-details'!$A$1:$C$1001,3,FALSE)</f>
        <v>Female</v>
      </c>
      <c r="N207" s="31" t="str">
        <f>VLOOKUP(A207,'Product-details'!$A$1:$B$1001,2,FALSE)</f>
        <v>Health and beauty</v>
      </c>
      <c r="O207" s="31" t="str">
        <f>VLOOKUP(A207,'City-details'!$A$1:$C$1001,3,FALSE)</f>
        <v>Yangon</v>
      </c>
      <c r="P207" s="31" t="str">
        <f>VLOOKUP(A207,'City-details'!$A$1:$C$1001,2,FALSE)</f>
        <v>A</v>
      </c>
      <c r="Q207" s="31" t="str">
        <f t="shared" si="9"/>
        <v>Jan</v>
      </c>
      <c r="R207" s="34" t="str">
        <f t="shared" si="10"/>
        <v>Thu</v>
      </c>
      <c r="S207">
        <f t="shared" si="11"/>
        <v>2</v>
      </c>
      <c r="T207" t="str" cm="1">
        <f t="array" ref="T207">_xlfn.IFS(S207&lt;=12,"Morning",S207&lt;=16,"Afternoon",S207&lt;=21,"Evening",S207&lt;=24,"Night")</f>
        <v>Morning</v>
      </c>
    </row>
    <row r="208" spans="1:20" x14ac:dyDescent="0.25">
      <c r="A208" s="23" t="s">
        <v>242</v>
      </c>
      <c r="B208" s="19">
        <v>66.650000000000006</v>
      </c>
      <c r="C208" s="20">
        <v>9</v>
      </c>
      <c r="D208" s="19">
        <v>29.9925</v>
      </c>
      <c r="E208" s="19">
        <v>629.84249999999997</v>
      </c>
      <c r="F208" s="21">
        <v>43469</v>
      </c>
      <c r="G208" s="22">
        <v>9.13055555555556</v>
      </c>
      <c r="H208" s="23" t="s">
        <v>33</v>
      </c>
      <c r="I208" s="19">
        <v>599.85</v>
      </c>
      <c r="J208" s="24">
        <v>4.7619047620000003</v>
      </c>
      <c r="K208" s="25">
        <v>9.6999999999999993</v>
      </c>
      <c r="L208" s="23" t="str">
        <f>VLOOKUP(A208,'Customer-details'!$A$1:$C$1001,2,FALSE)</f>
        <v>Member</v>
      </c>
      <c r="M208" s="23" t="str">
        <f>VLOOKUP(A208,'Customer-details'!$A$1:$C$1001,3,FALSE)</f>
        <v>Female</v>
      </c>
      <c r="N208" s="23" t="str">
        <f>VLOOKUP(A208,'Product-details'!$A$1:$B$1001,2,FALSE)</f>
        <v>Electronic accessories</v>
      </c>
      <c r="O208" s="23" t="str">
        <f>VLOOKUP(A208,'City-details'!$A$1:$C$1001,3,FALSE)</f>
        <v>Naypyitaw</v>
      </c>
      <c r="P208" s="23" t="str">
        <f>VLOOKUP(A208,'City-details'!$A$1:$C$1001,2,FALSE)</f>
        <v>C</v>
      </c>
      <c r="Q208" s="23" t="str">
        <f t="shared" si="9"/>
        <v>Jan</v>
      </c>
      <c r="R208" s="26" t="str">
        <f t="shared" si="10"/>
        <v>Fri</v>
      </c>
      <c r="S208">
        <f t="shared" si="11"/>
        <v>3</v>
      </c>
      <c r="T208" t="str" cm="1">
        <f t="array" ref="T208">_xlfn.IFS(S208&lt;=12,"Morning",S208&lt;=16,"Afternoon",S208&lt;=21,"Evening",S208&lt;=24,"Night")</f>
        <v>Morning</v>
      </c>
    </row>
    <row r="209" spans="1:20" x14ac:dyDescent="0.25">
      <c r="A209" s="31" t="s">
        <v>243</v>
      </c>
      <c r="B209" s="27">
        <v>28.53</v>
      </c>
      <c r="C209" s="28">
        <v>10</v>
      </c>
      <c r="D209" s="27">
        <v>14.265000000000001</v>
      </c>
      <c r="E209" s="27">
        <v>299.565</v>
      </c>
      <c r="F209" s="29">
        <v>43542</v>
      </c>
      <c r="G209" s="30">
        <v>9.1722222222222207</v>
      </c>
      <c r="H209" s="31" t="s">
        <v>23</v>
      </c>
      <c r="I209" s="27">
        <v>285.3</v>
      </c>
      <c r="J209" s="32">
        <v>4.7619047620000003</v>
      </c>
      <c r="K209" s="33">
        <v>7.8</v>
      </c>
      <c r="L209" s="31" t="str">
        <f>VLOOKUP(A209,'Customer-details'!$A$1:$C$1001,2,FALSE)</f>
        <v>Member</v>
      </c>
      <c r="M209" s="31" t="str">
        <f>VLOOKUP(A209,'Customer-details'!$A$1:$C$1001,3,FALSE)</f>
        <v>Female</v>
      </c>
      <c r="N209" s="31" t="str">
        <f>VLOOKUP(A209,'Product-details'!$A$1:$B$1001,2,FALSE)</f>
        <v>Home and lifestyle</v>
      </c>
      <c r="O209" s="31" t="str">
        <f>VLOOKUP(A209,'City-details'!$A$1:$C$1001,3,FALSE)</f>
        <v>Naypyitaw</v>
      </c>
      <c r="P209" s="31" t="str">
        <f>VLOOKUP(A209,'City-details'!$A$1:$C$1001,2,FALSE)</f>
        <v>C</v>
      </c>
      <c r="Q209" s="31" t="str">
        <f t="shared" si="9"/>
        <v>Mar</v>
      </c>
      <c r="R209" s="34" t="str">
        <f t="shared" si="10"/>
        <v>Mon</v>
      </c>
      <c r="S209">
        <f t="shared" si="11"/>
        <v>4</v>
      </c>
      <c r="T209" t="str" cm="1">
        <f t="array" ref="T209">_xlfn.IFS(S209&lt;=12,"Morning",S209&lt;=16,"Afternoon",S209&lt;=21,"Evening",S209&lt;=24,"Night")</f>
        <v>Morning</v>
      </c>
    </row>
    <row r="210" spans="1:20" x14ac:dyDescent="0.25">
      <c r="A210" s="23" t="s">
        <v>244</v>
      </c>
      <c r="B210" s="19">
        <v>30.37</v>
      </c>
      <c r="C210" s="20">
        <v>3</v>
      </c>
      <c r="D210" s="19">
        <v>4.5555000000000003</v>
      </c>
      <c r="E210" s="19">
        <v>95.665499999999994</v>
      </c>
      <c r="F210" s="21">
        <v>43552</v>
      </c>
      <c r="G210" s="22">
        <v>9.2138888888888903</v>
      </c>
      <c r="H210" s="23" t="s">
        <v>23</v>
      </c>
      <c r="I210" s="19">
        <v>91.11</v>
      </c>
      <c r="J210" s="24">
        <v>4.7619047620000003</v>
      </c>
      <c r="K210" s="25">
        <v>5.0999999999999996</v>
      </c>
      <c r="L210" s="23" t="str">
        <f>VLOOKUP(A210,'Customer-details'!$A$1:$C$1001,2,FALSE)</f>
        <v>Normal</v>
      </c>
      <c r="M210" s="23" t="str">
        <f>VLOOKUP(A210,'Customer-details'!$A$1:$C$1001,3,FALSE)</f>
        <v>Female</v>
      </c>
      <c r="N210" s="23" t="str">
        <f>VLOOKUP(A210,'Product-details'!$A$1:$B$1001,2,FALSE)</f>
        <v>Fashion accessories</v>
      </c>
      <c r="O210" s="23" t="str">
        <f>VLOOKUP(A210,'City-details'!$A$1:$C$1001,3,FALSE)</f>
        <v>Mandalay</v>
      </c>
      <c r="P210" s="23" t="str">
        <f>VLOOKUP(A210,'City-details'!$A$1:$C$1001,2,FALSE)</f>
        <v>B</v>
      </c>
      <c r="Q210" s="23" t="str">
        <f t="shared" si="9"/>
        <v>Mar</v>
      </c>
      <c r="R210" s="26" t="str">
        <f t="shared" si="10"/>
        <v>Thu</v>
      </c>
      <c r="S210">
        <f t="shared" si="11"/>
        <v>5</v>
      </c>
      <c r="T210" t="str" cm="1">
        <f t="array" ref="T210">_xlfn.IFS(S210&lt;=12,"Morning",S210&lt;=16,"Afternoon",S210&lt;=21,"Evening",S210&lt;=24,"Night")</f>
        <v>Morning</v>
      </c>
    </row>
    <row r="211" spans="1:20" x14ac:dyDescent="0.25">
      <c r="A211" s="31" t="s">
        <v>245</v>
      </c>
      <c r="B211" s="27">
        <v>99.73</v>
      </c>
      <c r="C211" s="28">
        <v>9</v>
      </c>
      <c r="D211" s="27">
        <v>44.878500000000003</v>
      </c>
      <c r="E211" s="27">
        <v>942.44849999999997</v>
      </c>
      <c r="F211" s="29">
        <v>43526</v>
      </c>
      <c r="G211" s="30">
        <v>9.25555555555556</v>
      </c>
      <c r="H211" s="31" t="s">
        <v>33</v>
      </c>
      <c r="I211" s="27">
        <v>897.57</v>
      </c>
      <c r="J211" s="32">
        <v>4.7619047620000003</v>
      </c>
      <c r="K211" s="33">
        <v>6.5</v>
      </c>
      <c r="L211" s="31" t="str">
        <f>VLOOKUP(A211,'Customer-details'!$A$1:$C$1001,2,FALSE)</f>
        <v>Normal</v>
      </c>
      <c r="M211" s="31" t="str">
        <f>VLOOKUP(A211,'Customer-details'!$A$1:$C$1001,3,FALSE)</f>
        <v>Female</v>
      </c>
      <c r="N211" s="31" t="str">
        <f>VLOOKUP(A211,'Product-details'!$A$1:$B$1001,2,FALSE)</f>
        <v>Electronic accessories</v>
      </c>
      <c r="O211" s="31" t="str">
        <f>VLOOKUP(A211,'City-details'!$A$1:$C$1001,3,FALSE)</f>
        <v>Mandalay</v>
      </c>
      <c r="P211" s="31" t="str">
        <f>VLOOKUP(A211,'City-details'!$A$1:$C$1001,2,FALSE)</f>
        <v>B</v>
      </c>
      <c r="Q211" s="31" t="str">
        <f t="shared" si="9"/>
        <v>Mar</v>
      </c>
      <c r="R211" s="34" t="str">
        <f t="shared" si="10"/>
        <v>Sat</v>
      </c>
      <c r="S211">
        <f t="shared" si="11"/>
        <v>6</v>
      </c>
      <c r="T211" t="str" cm="1">
        <f t="array" ref="T211">_xlfn.IFS(S211&lt;=12,"Morning",S211&lt;=16,"Afternoon",S211&lt;=21,"Evening",S211&lt;=24,"Night")</f>
        <v>Morning</v>
      </c>
    </row>
    <row r="212" spans="1:20" x14ac:dyDescent="0.25">
      <c r="A212" s="23" t="s">
        <v>246</v>
      </c>
      <c r="B212" s="19">
        <v>26.23</v>
      </c>
      <c r="C212" s="20">
        <v>9</v>
      </c>
      <c r="D212" s="19">
        <v>11.8035</v>
      </c>
      <c r="E212" s="19">
        <v>247.87350000000001</v>
      </c>
      <c r="F212" s="21">
        <v>43490</v>
      </c>
      <c r="G212" s="22">
        <v>9.2972222222222207</v>
      </c>
      <c r="H212" s="23" t="s">
        <v>23</v>
      </c>
      <c r="I212" s="19">
        <v>236.07</v>
      </c>
      <c r="J212" s="24">
        <v>4.7619047620000003</v>
      </c>
      <c r="K212" s="25">
        <v>5.9</v>
      </c>
      <c r="L212" s="23" t="str">
        <f>VLOOKUP(A212,'Customer-details'!$A$1:$C$1001,2,FALSE)</f>
        <v>Normal</v>
      </c>
      <c r="M212" s="23" t="str">
        <f>VLOOKUP(A212,'Customer-details'!$A$1:$C$1001,3,FALSE)</f>
        <v>Male</v>
      </c>
      <c r="N212" s="23" t="str">
        <f>VLOOKUP(A212,'Product-details'!$A$1:$B$1001,2,FALSE)</f>
        <v>Electronic accessories</v>
      </c>
      <c r="O212" s="23" t="str">
        <f>VLOOKUP(A212,'City-details'!$A$1:$C$1001,3,FALSE)</f>
        <v>Yangon</v>
      </c>
      <c r="P212" s="23" t="str">
        <f>VLOOKUP(A212,'City-details'!$A$1:$C$1001,2,FALSE)</f>
        <v>A</v>
      </c>
      <c r="Q212" s="23" t="str">
        <f t="shared" si="9"/>
        <v>Jan</v>
      </c>
      <c r="R212" s="26" t="str">
        <f t="shared" si="10"/>
        <v>Fri</v>
      </c>
      <c r="S212">
        <f t="shared" si="11"/>
        <v>7</v>
      </c>
      <c r="T212" t="str" cm="1">
        <f t="array" ref="T212">_xlfn.IFS(S212&lt;=12,"Morning",S212&lt;=16,"Afternoon",S212&lt;=21,"Evening",S212&lt;=24,"Night")</f>
        <v>Morning</v>
      </c>
    </row>
    <row r="213" spans="1:20" x14ac:dyDescent="0.25">
      <c r="A213" s="31" t="s">
        <v>247</v>
      </c>
      <c r="B213" s="27">
        <v>93.26</v>
      </c>
      <c r="C213" s="28">
        <v>9</v>
      </c>
      <c r="D213" s="27">
        <v>41.966999999999999</v>
      </c>
      <c r="E213" s="27">
        <v>881.30700000000002</v>
      </c>
      <c r="F213" s="29">
        <v>43481</v>
      </c>
      <c r="G213" s="30">
        <v>9.3388888888888903</v>
      </c>
      <c r="H213" s="31" t="s">
        <v>29</v>
      </c>
      <c r="I213" s="27">
        <v>839.34</v>
      </c>
      <c r="J213" s="32">
        <v>4.7619047620000003</v>
      </c>
      <c r="K213" s="33">
        <v>8.8000000000000007</v>
      </c>
      <c r="L213" s="31" t="str">
        <f>VLOOKUP(A213,'Customer-details'!$A$1:$C$1001,2,FALSE)</f>
        <v>Normal</v>
      </c>
      <c r="M213" s="31" t="str">
        <f>VLOOKUP(A213,'Customer-details'!$A$1:$C$1001,3,FALSE)</f>
        <v>Female</v>
      </c>
      <c r="N213" s="31" t="str">
        <f>VLOOKUP(A213,'Product-details'!$A$1:$B$1001,2,FALSE)</f>
        <v>Food and beverages</v>
      </c>
      <c r="O213" s="31" t="str">
        <f>VLOOKUP(A213,'City-details'!$A$1:$C$1001,3,FALSE)</f>
        <v>Naypyitaw</v>
      </c>
      <c r="P213" s="31" t="str">
        <f>VLOOKUP(A213,'City-details'!$A$1:$C$1001,2,FALSE)</f>
        <v>C</v>
      </c>
      <c r="Q213" s="31" t="str">
        <f t="shared" si="9"/>
        <v>Jan</v>
      </c>
      <c r="R213" s="34" t="str">
        <f t="shared" si="10"/>
        <v>Wed</v>
      </c>
      <c r="S213">
        <f t="shared" si="11"/>
        <v>8</v>
      </c>
      <c r="T213" t="str" cm="1">
        <f t="array" ref="T213">_xlfn.IFS(S213&lt;=12,"Morning",S213&lt;=16,"Afternoon",S213&lt;=21,"Evening",S213&lt;=24,"Night")</f>
        <v>Morning</v>
      </c>
    </row>
    <row r="214" spans="1:20" x14ac:dyDescent="0.25">
      <c r="A214" s="23" t="s">
        <v>248</v>
      </c>
      <c r="B214" s="19">
        <v>92.36</v>
      </c>
      <c r="C214" s="20">
        <v>5</v>
      </c>
      <c r="D214" s="19">
        <v>23.09</v>
      </c>
      <c r="E214" s="19">
        <v>484.89</v>
      </c>
      <c r="F214" s="21">
        <v>43544</v>
      </c>
      <c r="G214" s="22">
        <v>9.38055555555556</v>
      </c>
      <c r="H214" s="23" t="s">
        <v>23</v>
      </c>
      <c r="I214" s="19">
        <v>461.8</v>
      </c>
      <c r="J214" s="24">
        <v>4.7619047620000003</v>
      </c>
      <c r="K214" s="25">
        <v>4.9000000000000004</v>
      </c>
      <c r="L214" s="23" t="str">
        <f>VLOOKUP(A214,'Customer-details'!$A$1:$C$1001,2,FALSE)</f>
        <v>Normal</v>
      </c>
      <c r="M214" s="23" t="str">
        <f>VLOOKUP(A214,'Customer-details'!$A$1:$C$1001,3,FALSE)</f>
        <v>Male</v>
      </c>
      <c r="N214" s="23" t="str">
        <f>VLOOKUP(A214,'Product-details'!$A$1:$B$1001,2,FALSE)</f>
        <v>Home and lifestyle</v>
      </c>
      <c r="O214" s="23" t="str">
        <f>VLOOKUP(A214,'City-details'!$A$1:$C$1001,3,FALSE)</f>
        <v>Mandalay</v>
      </c>
      <c r="P214" s="23" t="str">
        <f>VLOOKUP(A214,'City-details'!$A$1:$C$1001,2,FALSE)</f>
        <v>B</v>
      </c>
      <c r="Q214" s="23" t="str">
        <f t="shared" si="9"/>
        <v>Mar</v>
      </c>
      <c r="R214" s="26" t="str">
        <f t="shared" si="10"/>
        <v>Wed</v>
      </c>
      <c r="S214">
        <f t="shared" si="11"/>
        <v>9</v>
      </c>
      <c r="T214" t="str" cm="1">
        <f t="array" ref="T214">_xlfn.IFS(S214&lt;=12,"Morning",S214&lt;=16,"Afternoon",S214&lt;=21,"Evening",S214&lt;=24,"Night")</f>
        <v>Morning</v>
      </c>
    </row>
    <row r="215" spans="1:20" x14ac:dyDescent="0.25">
      <c r="A215" s="31" t="s">
        <v>249</v>
      </c>
      <c r="B215" s="27">
        <v>46.42</v>
      </c>
      <c r="C215" s="28">
        <v>3</v>
      </c>
      <c r="D215" s="27">
        <v>6.9630000000000001</v>
      </c>
      <c r="E215" s="27">
        <v>146.22300000000001</v>
      </c>
      <c r="F215" s="29">
        <v>43469</v>
      </c>
      <c r="G215" s="30">
        <v>9.4222222222222207</v>
      </c>
      <c r="H215" s="31" t="s">
        <v>33</v>
      </c>
      <c r="I215" s="27">
        <v>139.26</v>
      </c>
      <c r="J215" s="32">
        <v>4.7619047620000003</v>
      </c>
      <c r="K215" s="33">
        <v>4.4000000000000004</v>
      </c>
      <c r="L215" s="31" t="str">
        <f>VLOOKUP(A215,'Customer-details'!$A$1:$C$1001,2,FALSE)</f>
        <v>Normal</v>
      </c>
      <c r="M215" s="31" t="str">
        <f>VLOOKUP(A215,'Customer-details'!$A$1:$C$1001,3,FALSE)</f>
        <v>Male</v>
      </c>
      <c r="N215" s="31" t="str">
        <f>VLOOKUP(A215,'Product-details'!$A$1:$B$1001,2,FALSE)</f>
        <v>Sports and travel</v>
      </c>
      <c r="O215" s="31" t="str">
        <f>VLOOKUP(A215,'City-details'!$A$1:$C$1001,3,FALSE)</f>
        <v>Mandalay</v>
      </c>
      <c r="P215" s="31" t="str">
        <f>VLOOKUP(A215,'City-details'!$A$1:$C$1001,2,FALSE)</f>
        <v>B</v>
      </c>
      <c r="Q215" s="31" t="str">
        <f t="shared" si="9"/>
        <v>Jan</v>
      </c>
      <c r="R215" s="34" t="str">
        <f t="shared" si="10"/>
        <v>Fri</v>
      </c>
      <c r="S215">
        <f t="shared" si="11"/>
        <v>10</v>
      </c>
      <c r="T215" t="str" cm="1">
        <f t="array" ref="T215">_xlfn.IFS(S215&lt;=12,"Morning",S215&lt;=16,"Afternoon",S215&lt;=21,"Evening",S215&lt;=24,"Night")</f>
        <v>Morning</v>
      </c>
    </row>
    <row r="216" spans="1:20" x14ac:dyDescent="0.25">
      <c r="A216" s="23" t="s">
        <v>250</v>
      </c>
      <c r="B216" s="19">
        <v>29.61</v>
      </c>
      <c r="C216" s="20">
        <v>7</v>
      </c>
      <c r="D216" s="19">
        <v>10.3635</v>
      </c>
      <c r="E216" s="19">
        <v>217.6335</v>
      </c>
      <c r="F216" s="21">
        <v>43535</v>
      </c>
      <c r="G216" s="22">
        <v>9.4638888888888903</v>
      </c>
      <c r="H216" s="23" t="s">
        <v>29</v>
      </c>
      <c r="I216" s="19">
        <v>207.27</v>
      </c>
      <c r="J216" s="24">
        <v>4.7619047620000003</v>
      </c>
      <c r="K216" s="25">
        <v>6.5</v>
      </c>
      <c r="L216" s="23" t="str">
        <f>VLOOKUP(A216,'Customer-details'!$A$1:$C$1001,2,FALSE)</f>
        <v>Member</v>
      </c>
      <c r="M216" s="23" t="str">
        <f>VLOOKUP(A216,'Customer-details'!$A$1:$C$1001,3,FALSE)</f>
        <v>Female</v>
      </c>
      <c r="N216" s="23" t="str">
        <f>VLOOKUP(A216,'Product-details'!$A$1:$B$1001,2,FALSE)</f>
        <v>Sports and travel</v>
      </c>
      <c r="O216" s="23" t="str">
        <f>VLOOKUP(A216,'City-details'!$A$1:$C$1001,3,FALSE)</f>
        <v>Mandalay</v>
      </c>
      <c r="P216" s="23" t="str">
        <f>VLOOKUP(A216,'City-details'!$A$1:$C$1001,2,FALSE)</f>
        <v>B</v>
      </c>
      <c r="Q216" s="23" t="str">
        <f t="shared" si="9"/>
        <v>Mar</v>
      </c>
      <c r="R216" s="26" t="str">
        <f t="shared" si="10"/>
        <v>Mon</v>
      </c>
      <c r="S216">
        <f t="shared" si="11"/>
        <v>11</v>
      </c>
      <c r="T216" t="str" cm="1">
        <f t="array" ref="T216">_xlfn.IFS(S216&lt;=12,"Morning",S216&lt;=16,"Afternoon",S216&lt;=21,"Evening",S216&lt;=24,"Night")</f>
        <v>Morning</v>
      </c>
    </row>
    <row r="217" spans="1:20" x14ac:dyDescent="0.25">
      <c r="A217" s="31" t="s">
        <v>251</v>
      </c>
      <c r="B217" s="27">
        <v>18.28</v>
      </c>
      <c r="C217" s="28">
        <v>1</v>
      </c>
      <c r="D217" s="27">
        <v>0.91400000000000003</v>
      </c>
      <c r="E217" s="27">
        <v>19.193999999999999</v>
      </c>
      <c r="F217" s="29">
        <v>43546</v>
      </c>
      <c r="G217" s="30">
        <v>9.50555555555556</v>
      </c>
      <c r="H217" s="31" t="s">
        <v>33</v>
      </c>
      <c r="I217" s="27">
        <v>18.28</v>
      </c>
      <c r="J217" s="32">
        <v>4.7619047620000003</v>
      </c>
      <c r="K217" s="33">
        <v>8.3000000000000007</v>
      </c>
      <c r="L217" s="31" t="str">
        <f>VLOOKUP(A217,'Customer-details'!$A$1:$C$1001,2,FALSE)</f>
        <v>Normal</v>
      </c>
      <c r="M217" s="31" t="str">
        <f>VLOOKUP(A217,'Customer-details'!$A$1:$C$1001,3,FALSE)</f>
        <v>Male</v>
      </c>
      <c r="N217" s="31" t="str">
        <f>VLOOKUP(A217,'Product-details'!$A$1:$B$1001,2,FALSE)</f>
        <v>Home and lifestyle</v>
      </c>
      <c r="O217" s="31" t="str">
        <f>VLOOKUP(A217,'City-details'!$A$1:$C$1001,3,FALSE)</f>
        <v>Yangon</v>
      </c>
      <c r="P217" s="31" t="str">
        <f>VLOOKUP(A217,'City-details'!$A$1:$C$1001,2,FALSE)</f>
        <v>A</v>
      </c>
      <c r="Q217" s="31" t="str">
        <f t="shared" si="9"/>
        <v>Mar</v>
      </c>
      <c r="R217" s="34" t="str">
        <f t="shared" si="10"/>
        <v>Fri</v>
      </c>
      <c r="S217">
        <f t="shared" si="11"/>
        <v>12</v>
      </c>
      <c r="T217" t="str" cm="1">
        <f t="array" ref="T217">_xlfn.IFS(S217&lt;=12,"Morning",S217&lt;=16,"Afternoon",S217&lt;=21,"Evening",S217&lt;=24,"Night")</f>
        <v>Morning</v>
      </c>
    </row>
    <row r="218" spans="1:20" x14ac:dyDescent="0.25">
      <c r="A218" s="23" t="s">
        <v>252</v>
      </c>
      <c r="B218" s="19">
        <v>24.77</v>
      </c>
      <c r="C218" s="20">
        <v>5</v>
      </c>
      <c r="D218" s="19">
        <v>6.1924999999999999</v>
      </c>
      <c r="E218" s="19">
        <v>130.04249999999999</v>
      </c>
      <c r="F218" s="21">
        <v>43548</v>
      </c>
      <c r="G218" s="22">
        <v>9.5472222222222207</v>
      </c>
      <c r="H218" s="23" t="s">
        <v>29</v>
      </c>
      <c r="I218" s="19">
        <v>123.85</v>
      </c>
      <c r="J218" s="24">
        <v>4.7619047620000003</v>
      </c>
      <c r="K218" s="25">
        <v>8.5</v>
      </c>
      <c r="L218" s="23" t="str">
        <f>VLOOKUP(A218,'Customer-details'!$A$1:$C$1001,2,FALSE)</f>
        <v>Normal</v>
      </c>
      <c r="M218" s="23" t="str">
        <f>VLOOKUP(A218,'Customer-details'!$A$1:$C$1001,3,FALSE)</f>
        <v>Female</v>
      </c>
      <c r="N218" s="23" t="str">
        <f>VLOOKUP(A218,'Product-details'!$A$1:$B$1001,2,FALSE)</f>
        <v>Sports and travel</v>
      </c>
      <c r="O218" s="23" t="str">
        <f>VLOOKUP(A218,'City-details'!$A$1:$C$1001,3,FALSE)</f>
        <v>Mandalay</v>
      </c>
      <c r="P218" s="23" t="str">
        <f>VLOOKUP(A218,'City-details'!$A$1:$C$1001,2,FALSE)</f>
        <v>B</v>
      </c>
      <c r="Q218" s="23" t="str">
        <f t="shared" si="9"/>
        <v>Mar</v>
      </c>
      <c r="R218" s="26" t="str">
        <f t="shared" si="10"/>
        <v>Sun</v>
      </c>
      <c r="S218">
        <f t="shared" si="11"/>
        <v>13</v>
      </c>
      <c r="T218" t="str" cm="1">
        <f t="array" ref="T218">_xlfn.IFS(S218&lt;=12,"Morning",S218&lt;=16,"Afternoon",S218&lt;=21,"Evening",S218&lt;=24,"Night")</f>
        <v>Afternoon</v>
      </c>
    </row>
    <row r="219" spans="1:20" x14ac:dyDescent="0.25">
      <c r="A219" s="31" t="s">
        <v>253</v>
      </c>
      <c r="B219" s="27">
        <v>94.64</v>
      </c>
      <c r="C219" s="28">
        <v>3</v>
      </c>
      <c r="D219" s="27">
        <v>14.196</v>
      </c>
      <c r="E219" s="27">
        <v>298.11599999999999</v>
      </c>
      <c r="F219" s="29">
        <v>43517</v>
      </c>
      <c r="G219" s="30">
        <v>9.5888888888888903</v>
      </c>
      <c r="H219" s="31" t="s">
        <v>29</v>
      </c>
      <c r="I219" s="27">
        <v>283.92</v>
      </c>
      <c r="J219" s="32">
        <v>4.7619047620000003</v>
      </c>
      <c r="K219" s="33">
        <v>5.5</v>
      </c>
      <c r="L219" s="31" t="str">
        <f>VLOOKUP(A219,'Customer-details'!$A$1:$C$1001,2,FALSE)</f>
        <v>Member</v>
      </c>
      <c r="M219" s="31" t="str">
        <f>VLOOKUP(A219,'Customer-details'!$A$1:$C$1001,3,FALSE)</f>
        <v>Female</v>
      </c>
      <c r="N219" s="31" t="str">
        <f>VLOOKUP(A219,'Product-details'!$A$1:$B$1001,2,FALSE)</f>
        <v>Electronic accessories</v>
      </c>
      <c r="O219" s="31" t="str">
        <f>VLOOKUP(A219,'City-details'!$A$1:$C$1001,3,FALSE)</f>
        <v>Yangon</v>
      </c>
      <c r="P219" s="31" t="str">
        <f>VLOOKUP(A219,'City-details'!$A$1:$C$1001,2,FALSE)</f>
        <v>A</v>
      </c>
      <c r="Q219" s="31" t="str">
        <f t="shared" si="9"/>
        <v>Feb</v>
      </c>
      <c r="R219" s="34" t="str">
        <f t="shared" si="10"/>
        <v>Thu</v>
      </c>
      <c r="S219">
        <f t="shared" si="11"/>
        <v>14</v>
      </c>
      <c r="T219" t="str" cm="1">
        <f t="array" ref="T219">_xlfn.IFS(S219&lt;=12,"Morning",S219&lt;=16,"Afternoon",S219&lt;=21,"Evening",S219&lt;=24,"Night")</f>
        <v>Afternoon</v>
      </c>
    </row>
    <row r="220" spans="1:20" x14ac:dyDescent="0.25">
      <c r="A220" s="23" t="s">
        <v>254</v>
      </c>
      <c r="B220" s="19">
        <v>94.87</v>
      </c>
      <c r="C220" s="20">
        <v>8</v>
      </c>
      <c r="D220" s="19">
        <v>37.948</v>
      </c>
      <c r="E220" s="19">
        <v>796.90800000000002</v>
      </c>
      <c r="F220" s="21">
        <v>43508</v>
      </c>
      <c r="G220" s="22">
        <v>9.63055555555556</v>
      </c>
      <c r="H220" s="23" t="s">
        <v>23</v>
      </c>
      <c r="I220" s="19">
        <v>758.96</v>
      </c>
      <c r="J220" s="24">
        <v>4.7619047620000003</v>
      </c>
      <c r="K220" s="25">
        <v>8.6999999999999993</v>
      </c>
      <c r="L220" s="23" t="str">
        <f>VLOOKUP(A220,'Customer-details'!$A$1:$C$1001,2,FALSE)</f>
        <v>Normal</v>
      </c>
      <c r="M220" s="23" t="str">
        <f>VLOOKUP(A220,'Customer-details'!$A$1:$C$1001,3,FALSE)</f>
        <v>Male</v>
      </c>
      <c r="N220" s="23" t="str">
        <f>VLOOKUP(A220,'Product-details'!$A$1:$B$1001,2,FALSE)</f>
        <v>Fashion accessories</v>
      </c>
      <c r="O220" s="23" t="str">
        <f>VLOOKUP(A220,'City-details'!$A$1:$C$1001,3,FALSE)</f>
        <v>Mandalay</v>
      </c>
      <c r="P220" s="23" t="str">
        <f>VLOOKUP(A220,'City-details'!$A$1:$C$1001,2,FALSE)</f>
        <v>B</v>
      </c>
      <c r="Q220" s="23" t="str">
        <f t="shared" si="9"/>
        <v>Feb</v>
      </c>
      <c r="R220" s="26" t="str">
        <f t="shared" si="10"/>
        <v>Tue</v>
      </c>
      <c r="S220">
        <f t="shared" si="11"/>
        <v>15</v>
      </c>
      <c r="T220" t="str" cm="1">
        <f t="array" ref="T220">_xlfn.IFS(S220&lt;=12,"Morning",S220&lt;=16,"Afternoon",S220&lt;=21,"Evening",S220&lt;=24,"Night")</f>
        <v>Afternoon</v>
      </c>
    </row>
    <row r="221" spans="1:20" x14ac:dyDescent="0.25">
      <c r="A221" s="31" t="s">
        <v>255</v>
      </c>
      <c r="B221" s="27">
        <v>57.34</v>
      </c>
      <c r="C221" s="28">
        <v>3</v>
      </c>
      <c r="D221" s="27">
        <v>8.6010000000000009</v>
      </c>
      <c r="E221" s="27">
        <v>180.62100000000001</v>
      </c>
      <c r="F221" s="29">
        <v>43534</v>
      </c>
      <c r="G221" s="30">
        <v>9.6722222222222207</v>
      </c>
      <c r="H221" s="31" t="s">
        <v>33</v>
      </c>
      <c r="I221" s="27">
        <v>172.02</v>
      </c>
      <c r="J221" s="32">
        <v>4.7619047620000003</v>
      </c>
      <c r="K221" s="33">
        <v>7.9</v>
      </c>
      <c r="L221" s="31" t="str">
        <f>VLOOKUP(A221,'Customer-details'!$A$1:$C$1001,2,FALSE)</f>
        <v>Normal</v>
      </c>
      <c r="M221" s="31" t="str">
        <f>VLOOKUP(A221,'Customer-details'!$A$1:$C$1001,3,FALSE)</f>
        <v>Female</v>
      </c>
      <c r="N221" s="31" t="str">
        <f>VLOOKUP(A221,'Product-details'!$A$1:$B$1001,2,FALSE)</f>
        <v>Food and beverages</v>
      </c>
      <c r="O221" s="31" t="str">
        <f>VLOOKUP(A221,'City-details'!$A$1:$C$1001,3,FALSE)</f>
        <v>Mandalay</v>
      </c>
      <c r="P221" s="31" t="str">
        <f>VLOOKUP(A221,'City-details'!$A$1:$C$1001,2,FALSE)</f>
        <v>B</v>
      </c>
      <c r="Q221" s="31" t="str">
        <f t="shared" si="9"/>
        <v>Mar</v>
      </c>
      <c r="R221" s="34" t="str">
        <f t="shared" si="10"/>
        <v>Sun</v>
      </c>
      <c r="S221">
        <f t="shared" si="11"/>
        <v>16</v>
      </c>
      <c r="T221" t="str" cm="1">
        <f t="array" ref="T221">_xlfn.IFS(S221&lt;=12,"Morning",S221&lt;=16,"Afternoon",S221&lt;=21,"Evening",S221&lt;=24,"Night")</f>
        <v>Afternoon</v>
      </c>
    </row>
    <row r="222" spans="1:20" x14ac:dyDescent="0.25">
      <c r="A222" s="23" t="s">
        <v>256</v>
      </c>
      <c r="B222" s="19">
        <v>45.35</v>
      </c>
      <c r="C222" s="20">
        <v>6</v>
      </c>
      <c r="D222" s="19">
        <v>13.605</v>
      </c>
      <c r="E222" s="19">
        <v>285.70499999999998</v>
      </c>
      <c r="F222" s="21">
        <v>43496</v>
      </c>
      <c r="G222" s="22">
        <v>9.7138888888888903</v>
      </c>
      <c r="H222" s="23" t="s">
        <v>23</v>
      </c>
      <c r="I222" s="19">
        <v>272.10000000000002</v>
      </c>
      <c r="J222" s="24">
        <v>4.7619047620000003</v>
      </c>
      <c r="K222" s="25">
        <v>6.1</v>
      </c>
      <c r="L222" s="23" t="str">
        <f>VLOOKUP(A222,'Customer-details'!$A$1:$C$1001,2,FALSE)</f>
        <v>Normal</v>
      </c>
      <c r="M222" s="23" t="str">
        <f>VLOOKUP(A222,'Customer-details'!$A$1:$C$1001,3,FALSE)</f>
        <v>Male</v>
      </c>
      <c r="N222" s="23" t="str">
        <f>VLOOKUP(A222,'Product-details'!$A$1:$B$1001,2,FALSE)</f>
        <v>Electronic accessories</v>
      </c>
      <c r="O222" s="23" t="str">
        <f>VLOOKUP(A222,'City-details'!$A$1:$C$1001,3,FALSE)</f>
        <v>Mandalay</v>
      </c>
      <c r="P222" s="23" t="str">
        <f>VLOOKUP(A222,'City-details'!$A$1:$C$1001,2,FALSE)</f>
        <v>B</v>
      </c>
      <c r="Q222" s="23" t="str">
        <f t="shared" si="9"/>
        <v>Jan</v>
      </c>
      <c r="R222" s="26" t="str">
        <f t="shared" si="10"/>
        <v>Thu</v>
      </c>
      <c r="S222">
        <f t="shared" si="11"/>
        <v>17</v>
      </c>
      <c r="T222" t="str" cm="1">
        <f t="array" ref="T222">_xlfn.IFS(S222&lt;=12,"Morning",S222&lt;=16,"Afternoon",S222&lt;=21,"Evening",S222&lt;=24,"Night")</f>
        <v>Evening</v>
      </c>
    </row>
    <row r="223" spans="1:20" x14ac:dyDescent="0.25">
      <c r="A223" s="31" t="s">
        <v>257</v>
      </c>
      <c r="B223" s="27">
        <v>62.08</v>
      </c>
      <c r="C223" s="28">
        <v>7</v>
      </c>
      <c r="D223" s="27">
        <v>21.728000000000002</v>
      </c>
      <c r="E223" s="27">
        <v>456.28800000000001</v>
      </c>
      <c r="F223" s="29">
        <v>43530</v>
      </c>
      <c r="G223" s="30">
        <v>9.75555555555556</v>
      </c>
      <c r="H223" s="31" t="s">
        <v>23</v>
      </c>
      <c r="I223" s="27">
        <v>434.56</v>
      </c>
      <c r="J223" s="32">
        <v>4.7619047620000003</v>
      </c>
      <c r="K223" s="33">
        <v>5.4</v>
      </c>
      <c r="L223" s="31" t="str">
        <f>VLOOKUP(A223,'Customer-details'!$A$1:$C$1001,2,FALSE)</f>
        <v>Normal</v>
      </c>
      <c r="M223" s="31" t="str">
        <f>VLOOKUP(A223,'Customer-details'!$A$1:$C$1001,3,FALSE)</f>
        <v>Male</v>
      </c>
      <c r="N223" s="31" t="str">
        <f>VLOOKUP(A223,'Product-details'!$A$1:$B$1001,2,FALSE)</f>
        <v>Food and beverages</v>
      </c>
      <c r="O223" s="31" t="str">
        <f>VLOOKUP(A223,'City-details'!$A$1:$C$1001,3,FALSE)</f>
        <v>Mandalay</v>
      </c>
      <c r="P223" s="31" t="str">
        <f>VLOOKUP(A223,'City-details'!$A$1:$C$1001,2,FALSE)</f>
        <v>B</v>
      </c>
      <c r="Q223" s="31" t="str">
        <f t="shared" si="9"/>
        <v>Mar</v>
      </c>
      <c r="R223" s="34" t="str">
        <f t="shared" si="10"/>
        <v>Wed</v>
      </c>
      <c r="S223">
        <f t="shared" si="11"/>
        <v>18</v>
      </c>
      <c r="T223" t="str" cm="1">
        <f t="array" ref="T223">_xlfn.IFS(S223&lt;=12,"Morning",S223&lt;=16,"Afternoon",S223&lt;=21,"Evening",S223&lt;=24,"Night")</f>
        <v>Evening</v>
      </c>
    </row>
    <row r="224" spans="1:20" x14ac:dyDescent="0.25">
      <c r="A224" s="23" t="s">
        <v>258</v>
      </c>
      <c r="B224" s="19">
        <v>11.81</v>
      </c>
      <c r="C224" s="20">
        <v>5</v>
      </c>
      <c r="D224" s="19">
        <v>2.9525000000000001</v>
      </c>
      <c r="E224" s="19">
        <v>62.002499999999998</v>
      </c>
      <c r="F224" s="21">
        <v>43513</v>
      </c>
      <c r="G224" s="22">
        <v>9.7972222222222207</v>
      </c>
      <c r="H224" s="23" t="s">
        <v>29</v>
      </c>
      <c r="I224" s="19">
        <v>59.05</v>
      </c>
      <c r="J224" s="24">
        <v>4.7619047620000003</v>
      </c>
      <c r="K224" s="25">
        <v>9.4</v>
      </c>
      <c r="L224" s="23" t="str">
        <f>VLOOKUP(A224,'Customer-details'!$A$1:$C$1001,2,FALSE)</f>
        <v>Normal</v>
      </c>
      <c r="M224" s="23" t="str">
        <f>VLOOKUP(A224,'Customer-details'!$A$1:$C$1001,3,FALSE)</f>
        <v>Male</v>
      </c>
      <c r="N224" s="23" t="str">
        <f>VLOOKUP(A224,'Product-details'!$A$1:$B$1001,2,FALSE)</f>
        <v>Electronic accessories</v>
      </c>
      <c r="O224" s="23" t="str">
        <f>VLOOKUP(A224,'City-details'!$A$1:$C$1001,3,FALSE)</f>
        <v>Naypyitaw</v>
      </c>
      <c r="P224" s="23" t="str">
        <f>VLOOKUP(A224,'City-details'!$A$1:$C$1001,2,FALSE)</f>
        <v>C</v>
      </c>
      <c r="Q224" s="23" t="str">
        <f t="shared" si="9"/>
        <v>Feb</v>
      </c>
      <c r="R224" s="26" t="str">
        <f t="shared" si="10"/>
        <v>Sun</v>
      </c>
      <c r="S224">
        <f t="shared" si="11"/>
        <v>19</v>
      </c>
      <c r="T224" t="str" cm="1">
        <f t="array" ref="T224">_xlfn.IFS(S224&lt;=12,"Morning",S224&lt;=16,"Afternoon",S224&lt;=21,"Evening",S224&lt;=24,"Night")</f>
        <v>Evening</v>
      </c>
    </row>
    <row r="225" spans="1:20" x14ac:dyDescent="0.25">
      <c r="A225" s="31" t="s">
        <v>259</v>
      </c>
      <c r="B225" s="27">
        <v>12.54</v>
      </c>
      <c r="C225" s="28">
        <v>1</v>
      </c>
      <c r="D225" s="27">
        <v>0.627</v>
      </c>
      <c r="E225" s="27">
        <v>13.167</v>
      </c>
      <c r="F225" s="29">
        <v>43517</v>
      </c>
      <c r="G225" s="30">
        <v>9.8388888888888903</v>
      </c>
      <c r="H225" s="31" t="s">
        <v>29</v>
      </c>
      <c r="I225" s="27">
        <v>12.54</v>
      </c>
      <c r="J225" s="32">
        <v>4.7619047620000003</v>
      </c>
      <c r="K225" s="33">
        <v>8.1999999999999993</v>
      </c>
      <c r="L225" s="31" t="str">
        <f>VLOOKUP(A225,'Customer-details'!$A$1:$C$1001,2,FALSE)</f>
        <v>Member</v>
      </c>
      <c r="M225" s="31" t="str">
        <f>VLOOKUP(A225,'Customer-details'!$A$1:$C$1001,3,FALSE)</f>
        <v>Female</v>
      </c>
      <c r="N225" s="31" t="str">
        <f>VLOOKUP(A225,'Product-details'!$A$1:$B$1001,2,FALSE)</f>
        <v>Fashion accessories</v>
      </c>
      <c r="O225" s="31" t="str">
        <f>VLOOKUP(A225,'City-details'!$A$1:$C$1001,3,FALSE)</f>
        <v>Naypyitaw</v>
      </c>
      <c r="P225" s="31" t="str">
        <f>VLOOKUP(A225,'City-details'!$A$1:$C$1001,2,FALSE)</f>
        <v>C</v>
      </c>
      <c r="Q225" s="31" t="str">
        <f t="shared" si="9"/>
        <v>Feb</v>
      </c>
      <c r="R225" s="34" t="str">
        <f t="shared" si="10"/>
        <v>Thu</v>
      </c>
      <c r="S225">
        <f t="shared" si="11"/>
        <v>20</v>
      </c>
      <c r="T225" t="str" cm="1">
        <f t="array" ref="T225">_xlfn.IFS(S225&lt;=12,"Morning",S225&lt;=16,"Afternoon",S225&lt;=21,"Evening",S225&lt;=24,"Night")</f>
        <v>Evening</v>
      </c>
    </row>
    <row r="226" spans="1:20" x14ac:dyDescent="0.25">
      <c r="A226" s="23" t="s">
        <v>260</v>
      </c>
      <c r="B226" s="19">
        <v>43.25</v>
      </c>
      <c r="C226" s="20">
        <v>2</v>
      </c>
      <c r="D226" s="19">
        <v>4.3250000000000002</v>
      </c>
      <c r="E226" s="19">
        <v>90.825000000000003</v>
      </c>
      <c r="F226" s="21">
        <v>43544</v>
      </c>
      <c r="G226" s="22">
        <v>9.88055555555556</v>
      </c>
      <c r="H226" s="23" t="s">
        <v>29</v>
      </c>
      <c r="I226" s="19">
        <v>86.5</v>
      </c>
      <c r="J226" s="24">
        <v>4.7619047620000003</v>
      </c>
      <c r="K226" s="25">
        <v>6.2</v>
      </c>
      <c r="L226" s="23" t="str">
        <f>VLOOKUP(A226,'Customer-details'!$A$1:$C$1001,2,FALSE)</f>
        <v>Normal</v>
      </c>
      <c r="M226" s="23" t="str">
        <f>VLOOKUP(A226,'Customer-details'!$A$1:$C$1001,3,FALSE)</f>
        <v>Male</v>
      </c>
      <c r="N226" s="23" t="str">
        <f>VLOOKUP(A226,'Product-details'!$A$1:$B$1001,2,FALSE)</f>
        <v>Food and beverages</v>
      </c>
      <c r="O226" s="23" t="str">
        <f>VLOOKUP(A226,'City-details'!$A$1:$C$1001,3,FALSE)</f>
        <v>Yangon</v>
      </c>
      <c r="P226" s="23" t="str">
        <f>VLOOKUP(A226,'City-details'!$A$1:$C$1001,2,FALSE)</f>
        <v>A</v>
      </c>
      <c r="Q226" s="23" t="str">
        <f t="shared" si="9"/>
        <v>Mar</v>
      </c>
      <c r="R226" s="26" t="str">
        <f t="shared" si="10"/>
        <v>Wed</v>
      </c>
      <c r="S226">
        <f t="shared" si="11"/>
        <v>21</v>
      </c>
      <c r="T226" t="str" cm="1">
        <f t="array" ref="T226">_xlfn.IFS(S226&lt;=12,"Morning",S226&lt;=16,"Afternoon",S226&lt;=21,"Evening",S226&lt;=24,"Night")</f>
        <v>Evening</v>
      </c>
    </row>
    <row r="227" spans="1:20" x14ac:dyDescent="0.25">
      <c r="A227" s="31" t="s">
        <v>261</v>
      </c>
      <c r="B227" s="27">
        <v>87.16</v>
      </c>
      <c r="C227" s="28">
        <v>2</v>
      </c>
      <c r="D227" s="27">
        <v>8.7159999999999993</v>
      </c>
      <c r="E227" s="27">
        <v>183.036</v>
      </c>
      <c r="F227" s="29">
        <v>43476</v>
      </c>
      <c r="G227" s="30">
        <v>9.9222222222222207</v>
      </c>
      <c r="H227" s="31" t="s">
        <v>33</v>
      </c>
      <c r="I227" s="27">
        <v>174.32</v>
      </c>
      <c r="J227" s="32">
        <v>4.7619047620000003</v>
      </c>
      <c r="K227" s="33">
        <v>9.6999999999999993</v>
      </c>
      <c r="L227" s="31" t="str">
        <f>VLOOKUP(A227,'Customer-details'!$A$1:$C$1001,2,FALSE)</f>
        <v>Member</v>
      </c>
      <c r="M227" s="31" t="str">
        <f>VLOOKUP(A227,'Customer-details'!$A$1:$C$1001,3,FALSE)</f>
        <v>Female</v>
      </c>
      <c r="N227" s="31" t="str">
        <f>VLOOKUP(A227,'Product-details'!$A$1:$B$1001,2,FALSE)</f>
        <v>Sports and travel</v>
      </c>
      <c r="O227" s="31" t="str">
        <f>VLOOKUP(A227,'City-details'!$A$1:$C$1001,3,FALSE)</f>
        <v>Naypyitaw</v>
      </c>
      <c r="P227" s="31" t="str">
        <f>VLOOKUP(A227,'City-details'!$A$1:$C$1001,2,FALSE)</f>
        <v>C</v>
      </c>
      <c r="Q227" s="31" t="str">
        <f t="shared" si="9"/>
        <v>Jan</v>
      </c>
      <c r="R227" s="34" t="str">
        <f t="shared" si="10"/>
        <v>Fri</v>
      </c>
      <c r="S227">
        <f t="shared" si="11"/>
        <v>22</v>
      </c>
      <c r="T227" t="str" cm="1">
        <f t="array" ref="T227">_xlfn.IFS(S227&lt;=12,"Morning",S227&lt;=16,"Afternoon",S227&lt;=21,"Evening",S227&lt;=24,"Night")</f>
        <v>Night</v>
      </c>
    </row>
    <row r="228" spans="1:20" x14ac:dyDescent="0.25">
      <c r="A228" s="23" t="s">
        <v>262</v>
      </c>
      <c r="B228" s="19">
        <v>69.37</v>
      </c>
      <c r="C228" s="20">
        <v>9</v>
      </c>
      <c r="D228" s="19">
        <v>31.2165</v>
      </c>
      <c r="E228" s="19">
        <v>655.54650000000004</v>
      </c>
      <c r="F228" s="21">
        <v>43491</v>
      </c>
      <c r="G228" s="22">
        <v>9.9638888888888903</v>
      </c>
      <c r="H228" s="23" t="s">
        <v>23</v>
      </c>
      <c r="I228" s="19">
        <v>624.33000000000004</v>
      </c>
      <c r="J228" s="24">
        <v>4.7619047620000003</v>
      </c>
      <c r="K228" s="25">
        <v>4</v>
      </c>
      <c r="L228" s="23" t="str">
        <f>VLOOKUP(A228,'Customer-details'!$A$1:$C$1001,2,FALSE)</f>
        <v>Member</v>
      </c>
      <c r="M228" s="23" t="str">
        <f>VLOOKUP(A228,'Customer-details'!$A$1:$C$1001,3,FALSE)</f>
        <v>Male</v>
      </c>
      <c r="N228" s="23" t="str">
        <f>VLOOKUP(A228,'Product-details'!$A$1:$B$1001,2,FALSE)</f>
        <v>Health and beauty</v>
      </c>
      <c r="O228" s="23" t="str">
        <f>VLOOKUP(A228,'City-details'!$A$1:$C$1001,3,FALSE)</f>
        <v>Mandalay</v>
      </c>
      <c r="P228" s="23" t="str">
        <f>VLOOKUP(A228,'City-details'!$A$1:$C$1001,2,FALSE)</f>
        <v>B</v>
      </c>
      <c r="Q228" s="23" t="str">
        <f t="shared" si="9"/>
        <v>Jan</v>
      </c>
      <c r="R228" s="26" t="str">
        <f t="shared" si="10"/>
        <v>Sat</v>
      </c>
      <c r="S228">
        <f t="shared" si="11"/>
        <v>23</v>
      </c>
      <c r="T228" t="str" cm="1">
        <f t="array" ref="T228">_xlfn.IFS(S228&lt;=12,"Morning",S228&lt;=16,"Afternoon",S228&lt;=21,"Evening",S228&lt;=24,"Night")</f>
        <v>Night</v>
      </c>
    </row>
    <row r="229" spans="1:20" x14ac:dyDescent="0.25">
      <c r="A229" s="31" t="s">
        <v>263</v>
      </c>
      <c r="B229" s="27">
        <v>37.06</v>
      </c>
      <c r="C229" s="28">
        <v>4</v>
      </c>
      <c r="D229" s="27">
        <v>7.4119999999999999</v>
      </c>
      <c r="E229" s="27">
        <v>155.65199999999999</v>
      </c>
      <c r="F229" s="29">
        <v>43496</v>
      </c>
      <c r="G229" s="30">
        <v>10.005555555555601</v>
      </c>
      <c r="H229" s="31" t="s">
        <v>23</v>
      </c>
      <c r="I229" s="27">
        <v>148.24</v>
      </c>
      <c r="J229" s="32">
        <v>4.7619047620000003</v>
      </c>
      <c r="K229" s="33">
        <v>9.6999999999999993</v>
      </c>
      <c r="L229" s="31" t="str">
        <f>VLOOKUP(A229,'Customer-details'!$A$1:$C$1001,2,FALSE)</f>
        <v>Member</v>
      </c>
      <c r="M229" s="31" t="str">
        <f>VLOOKUP(A229,'Customer-details'!$A$1:$C$1001,3,FALSE)</f>
        <v>Male</v>
      </c>
      <c r="N229" s="31" t="str">
        <f>VLOOKUP(A229,'Product-details'!$A$1:$B$1001,2,FALSE)</f>
        <v>Electronic accessories</v>
      </c>
      <c r="O229" s="31" t="str">
        <f>VLOOKUP(A229,'City-details'!$A$1:$C$1001,3,FALSE)</f>
        <v>Naypyitaw</v>
      </c>
      <c r="P229" s="31" t="str">
        <f>VLOOKUP(A229,'City-details'!$A$1:$C$1001,2,FALSE)</f>
        <v>C</v>
      </c>
      <c r="Q229" s="31" t="str">
        <f t="shared" si="9"/>
        <v>Jan</v>
      </c>
      <c r="R229" s="34" t="str">
        <f t="shared" si="10"/>
        <v>Thu</v>
      </c>
      <c r="S229">
        <f t="shared" si="11"/>
        <v>0</v>
      </c>
      <c r="T229" t="str" cm="1">
        <f t="array" ref="T229">_xlfn.IFS(S229&lt;=12,"Morning",S229&lt;=16,"Afternoon",S229&lt;=21,"Evening",S229&lt;=24,"Night")</f>
        <v>Morning</v>
      </c>
    </row>
    <row r="230" spans="1:20" x14ac:dyDescent="0.25">
      <c r="A230" s="23" t="s">
        <v>264</v>
      </c>
      <c r="B230" s="19">
        <v>90.7</v>
      </c>
      <c r="C230" s="20">
        <v>6</v>
      </c>
      <c r="D230" s="19">
        <v>27.21</v>
      </c>
      <c r="E230" s="19">
        <v>571.41</v>
      </c>
      <c r="F230" s="21">
        <v>43522</v>
      </c>
      <c r="G230" s="22">
        <v>10.047222222222199</v>
      </c>
      <c r="H230" s="23" t="s">
        <v>29</v>
      </c>
      <c r="I230" s="19">
        <v>544.20000000000005</v>
      </c>
      <c r="J230" s="24">
        <v>4.7619047620000003</v>
      </c>
      <c r="K230" s="25">
        <v>5.3</v>
      </c>
      <c r="L230" s="23" t="str">
        <f>VLOOKUP(A230,'Customer-details'!$A$1:$C$1001,2,FALSE)</f>
        <v>Member</v>
      </c>
      <c r="M230" s="23" t="str">
        <f>VLOOKUP(A230,'Customer-details'!$A$1:$C$1001,3,FALSE)</f>
        <v>Female</v>
      </c>
      <c r="N230" s="23" t="str">
        <f>VLOOKUP(A230,'Product-details'!$A$1:$B$1001,2,FALSE)</f>
        <v>Electronic accessories</v>
      </c>
      <c r="O230" s="23" t="str">
        <f>VLOOKUP(A230,'City-details'!$A$1:$C$1001,3,FALSE)</f>
        <v>Mandalay</v>
      </c>
      <c r="P230" s="23" t="str">
        <f>VLOOKUP(A230,'City-details'!$A$1:$C$1001,2,FALSE)</f>
        <v>B</v>
      </c>
      <c r="Q230" s="23" t="str">
        <f t="shared" si="9"/>
        <v>Feb</v>
      </c>
      <c r="R230" s="26" t="str">
        <f t="shared" si="10"/>
        <v>Tue</v>
      </c>
      <c r="S230">
        <f t="shared" si="11"/>
        <v>1</v>
      </c>
      <c r="T230" t="str" cm="1">
        <f t="array" ref="T230">_xlfn.IFS(S230&lt;=12,"Morning",S230&lt;=16,"Afternoon",S230&lt;=21,"Evening",S230&lt;=24,"Night")</f>
        <v>Morning</v>
      </c>
    </row>
    <row r="231" spans="1:20" x14ac:dyDescent="0.25">
      <c r="A231" s="31" t="s">
        <v>265</v>
      </c>
      <c r="B231" s="27">
        <v>63.42</v>
      </c>
      <c r="C231" s="28">
        <v>8</v>
      </c>
      <c r="D231" s="27">
        <v>25.367999999999999</v>
      </c>
      <c r="E231" s="27">
        <v>532.72799999999995</v>
      </c>
      <c r="F231" s="29">
        <v>43535</v>
      </c>
      <c r="G231" s="30">
        <v>10.088888888888899</v>
      </c>
      <c r="H231" s="31" t="s">
        <v>23</v>
      </c>
      <c r="I231" s="27">
        <v>507.36</v>
      </c>
      <c r="J231" s="32">
        <v>4.7619047620000003</v>
      </c>
      <c r="K231" s="33">
        <v>7.4</v>
      </c>
      <c r="L231" s="31" t="str">
        <f>VLOOKUP(A231,'Customer-details'!$A$1:$C$1001,2,FALSE)</f>
        <v>Normal</v>
      </c>
      <c r="M231" s="31" t="str">
        <f>VLOOKUP(A231,'Customer-details'!$A$1:$C$1001,3,FALSE)</f>
        <v>Female</v>
      </c>
      <c r="N231" s="31" t="str">
        <f>VLOOKUP(A231,'Product-details'!$A$1:$B$1001,2,FALSE)</f>
        <v>Home and lifestyle</v>
      </c>
      <c r="O231" s="31" t="str">
        <f>VLOOKUP(A231,'City-details'!$A$1:$C$1001,3,FALSE)</f>
        <v>Yangon</v>
      </c>
      <c r="P231" s="31" t="str">
        <f>VLOOKUP(A231,'City-details'!$A$1:$C$1001,2,FALSE)</f>
        <v>A</v>
      </c>
      <c r="Q231" s="31" t="str">
        <f t="shared" si="9"/>
        <v>Mar</v>
      </c>
      <c r="R231" s="34" t="str">
        <f t="shared" si="10"/>
        <v>Mon</v>
      </c>
      <c r="S231">
        <f t="shared" si="11"/>
        <v>2</v>
      </c>
      <c r="T231" t="str" cm="1">
        <f t="array" ref="T231">_xlfn.IFS(S231&lt;=12,"Morning",S231&lt;=16,"Afternoon",S231&lt;=21,"Evening",S231&lt;=24,"Night")</f>
        <v>Morning</v>
      </c>
    </row>
    <row r="232" spans="1:20" x14ac:dyDescent="0.25">
      <c r="A232" s="23" t="s">
        <v>266</v>
      </c>
      <c r="B232" s="19">
        <v>81.37</v>
      </c>
      <c r="C232" s="20">
        <v>2</v>
      </c>
      <c r="D232" s="19">
        <v>8.1370000000000005</v>
      </c>
      <c r="E232" s="19">
        <v>170.87700000000001</v>
      </c>
      <c r="F232" s="21">
        <v>43491</v>
      </c>
      <c r="G232" s="22">
        <v>10.130555555555601</v>
      </c>
      <c r="H232" s="23" t="s">
        <v>29</v>
      </c>
      <c r="I232" s="19">
        <v>162.74</v>
      </c>
      <c r="J232" s="24">
        <v>4.7619047620000003</v>
      </c>
      <c r="K232" s="25">
        <v>6.5</v>
      </c>
      <c r="L232" s="23" t="str">
        <f>VLOOKUP(A232,'Customer-details'!$A$1:$C$1001,2,FALSE)</f>
        <v>Normal</v>
      </c>
      <c r="M232" s="23" t="str">
        <f>VLOOKUP(A232,'Customer-details'!$A$1:$C$1001,3,FALSE)</f>
        <v>Female</v>
      </c>
      <c r="N232" s="23" t="str">
        <f>VLOOKUP(A232,'Product-details'!$A$1:$B$1001,2,FALSE)</f>
        <v>Fashion accessories</v>
      </c>
      <c r="O232" s="23" t="str">
        <f>VLOOKUP(A232,'City-details'!$A$1:$C$1001,3,FALSE)</f>
        <v>Mandalay</v>
      </c>
      <c r="P232" s="23" t="str">
        <f>VLOOKUP(A232,'City-details'!$A$1:$C$1001,2,FALSE)</f>
        <v>B</v>
      </c>
      <c r="Q232" s="23" t="str">
        <f t="shared" si="9"/>
        <v>Jan</v>
      </c>
      <c r="R232" s="26" t="str">
        <f t="shared" si="10"/>
        <v>Sat</v>
      </c>
      <c r="S232">
        <f t="shared" si="11"/>
        <v>3</v>
      </c>
      <c r="T232" t="str" cm="1">
        <f t="array" ref="T232">_xlfn.IFS(S232&lt;=12,"Morning",S232&lt;=16,"Afternoon",S232&lt;=21,"Evening",S232&lt;=24,"Night")</f>
        <v>Morning</v>
      </c>
    </row>
    <row r="233" spans="1:20" x14ac:dyDescent="0.25">
      <c r="A233" s="31" t="s">
        <v>267</v>
      </c>
      <c r="B233" s="27">
        <v>10.59</v>
      </c>
      <c r="C233" s="28">
        <v>3</v>
      </c>
      <c r="D233" s="27">
        <v>1.5885</v>
      </c>
      <c r="E233" s="27">
        <v>33.358499999999999</v>
      </c>
      <c r="F233" s="29">
        <v>43536</v>
      </c>
      <c r="G233" s="30">
        <v>10.172222222222199</v>
      </c>
      <c r="H233" s="31" t="s">
        <v>33</v>
      </c>
      <c r="I233" s="27">
        <v>31.77</v>
      </c>
      <c r="J233" s="32">
        <v>4.7619047620000003</v>
      </c>
      <c r="K233" s="33">
        <v>8.6999999999999993</v>
      </c>
      <c r="L233" s="31" t="str">
        <f>VLOOKUP(A233,'Customer-details'!$A$1:$C$1001,2,FALSE)</f>
        <v>Member</v>
      </c>
      <c r="M233" s="31" t="str">
        <f>VLOOKUP(A233,'Customer-details'!$A$1:$C$1001,3,FALSE)</f>
        <v>Female</v>
      </c>
      <c r="N233" s="31" t="str">
        <f>VLOOKUP(A233,'Product-details'!$A$1:$B$1001,2,FALSE)</f>
        <v>Electronic accessories</v>
      </c>
      <c r="O233" s="31" t="str">
        <f>VLOOKUP(A233,'City-details'!$A$1:$C$1001,3,FALSE)</f>
        <v>Mandalay</v>
      </c>
      <c r="P233" s="31" t="str">
        <f>VLOOKUP(A233,'City-details'!$A$1:$C$1001,2,FALSE)</f>
        <v>B</v>
      </c>
      <c r="Q233" s="31" t="str">
        <f t="shared" si="9"/>
        <v>Mar</v>
      </c>
      <c r="R233" s="34" t="str">
        <f t="shared" si="10"/>
        <v>Tue</v>
      </c>
      <c r="S233">
        <f t="shared" si="11"/>
        <v>4</v>
      </c>
      <c r="T233" t="str" cm="1">
        <f t="array" ref="T233">_xlfn.IFS(S233&lt;=12,"Morning",S233&lt;=16,"Afternoon",S233&lt;=21,"Evening",S233&lt;=24,"Night")</f>
        <v>Morning</v>
      </c>
    </row>
    <row r="234" spans="1:20" x14ac:dyDescent="0.25">
      <c r="A234" s="23" t="s">
        <v>268</v>
      </c>
      <c r="B234" s="19">
        <v>84.09</v>
      </c>
      <c r="C234" s="20">
        <v>9</v>
      </c>
      <c r="D234" s="19">
        <v>37.840499999999999</v>
      </c>
      <c r="E234" s="19">
        <v>794.65049999999997</v>
      </c>
      <c r="F234" s="21">
        <v>43507</v>
      </c>
      <c r="G234" s="22">
        <v>10.213888888888899</v>
      </c>
      <c r="H234" s="23" t="s">
        <v>29</v>
      </c>
      <c r="I234" s="19">
        <v>756.81</v>
      </c>
      <c r="J234" s="24">
        <v>4.7619047620000003</v>
      </c>
      <c r="K234" s="25">
        <v>8</v>
      </c>
      <c r="L234" s="23" t="str">
        <f>VLOOKUP(A234,'Customer-details'!$A$1:$C$1001,2,FALSE)</f>
        <v>Normal</v>
      </c>
      <c r="M234" s="23" t="str">
        <f>VLOOKUP(A234,'Customer-details'!$A$1:$C$1001,3,FALSE)</f>
        <v>Female</v>
      </c>
      <c r="N234" s="23" t="str">
        <f>VLOOKUP(A234,'Product-details'!$A$1:$B$1001,2,FALSE)</f>
        <v>Health and beauty</v>
      </c>
      <c r="O234" s="23" t="str">
        <f>VLOOKUP(A234,'City-details'!$A$1:$C$1001,3,FALSE)</f>
        <v>Mandalay</v>
      </c>
      <c r="P234" s="23" t="str">
        <f>VLOOKUP(A234,'City-details'!$A$1:$C$1001,2,FALSE)</f>
        <v>B</v>
      </c>
      <c r="Q234" s="23" t="str">
        <f t="shared" si="9"/>
        <v>Feb</v>
      </c>
      <c r="R234" s="26" t="str">
        <f t="shared" si="10"/>
        <v>Mon</v>
      </c>
      <c r="S234">
        <f t="shared" si="11"/>
        <v>5</v>
      </c>
      <c r="T234" t="str" cm="1">
        <f t="array" ref="T234">_xlfn.IFS(S234&lt;=12,"Morning",S234&lt;=16,"Afternoon",S234&lt;=21,"Evening",S234&lt;=24,"Night")</f>
        <v>Morning</v>
      </c>
    </row>
    <row r="235" spans="1:20" x14ac:dyDescent="0.25">
      <c r="A235" s="31" t="s">
        <v>269</v>
      </c>
      <c r="B235" s="27">
        <v>73.819999999999993</v>
      </c>
      <c r="C235" s="28">
        <v>4</v>
      </c>
      <c r="D235" s="27">
        <v>14.763999999999999</v>
      </c>
      <c r="E235" s="27">
        <v>310.04399999999998</v>
      </c>
      <c r="F235" s="29">
        <v>43517</v>
      </c>
      <c r="G235" s="30">
        <v>10.255555555555601</v>
      </c>
      <c r="H235" s="31" t="s">
        <v>29</v>
      </c>
      <c r="I235" s="27">
        <v>295.27999999999997</v>
      </c>
      <c r="J235" s="32">
        <v>4.7619047620000003</v>
      </c>
      <c r="K235" s="33">
        <v>6.7</v>
      </c>
      <c r="L235" s="31" t="str">
        <f>VLOOKUP(A235,'Customer-details'!$A$1:$C$1001,2,FALSE)</f>
        <v>Member</v>
      </c>
      <c r="M235" s="31" t="str">
        <f>VLOOKUP(A235,'Customer-details'!$A$1:$C$1001,3,FALSE)</f>
        <v>Male</v>
      </c>
      <c r="N235" s="31" t="str">
        <f>VLOOKUP(A235,'Product-details'!$A$1:$B$1001,2,FALSE)</f>
        <v>Fashion accessories</v>
      </c>
      <c r="O235" s="31" t="str">
        <f>VLOOKUP(A235,'City-details'!$A$1:$C$1001,3,FALSE)</f>
        <v>Mandalay</v>
      </c>
      <c r="P235" s="31" t="str">
        <f>VLOOKUP(A235,'City-details'!$A$1:$C$1001,2,FALSE)</f>
        <v>B</v>
      </c>
      <c r="Q235" s="31" t="str">
        <f t="shared" si="9"/>
        <v>Feb</v>
      </c>
      <c r="R235" s="34" t="str">
        <f t="shared" si="10"/>
        <v>Thu</v>
      </c>
      <c r="S235">
        <f t="shared" si="11"/>
        <v>6</v>
      </c>
      <c r="T235" t="str" cm="1">
        <f t="array" ref="T235">_xlfn.IFS(S235&lt;=12,"Morning",S235&lt;=16,"Afternoon",S235&lt;=21,"Evening",S235&lt;=24,"Night")</f>
        <v>Morning</v>
      </c>
    </row>
    <row r="236" spans="1:20" x14ac:dyDescent="0.25">
      <c r="A236" s="23" t="s">
        <v>270</v>
      </c>
      <c r="B236" s="19">
        <v>51.94</v>
      </c>
      <c r="C236" s="20">
        <v>10</v>
      </c>
      <c r="D236" s="19">
        <v>25.97</v>
      </c>
      <c r="E236" s="19">
        <v>545.37</v>
      </c>
      <c r="F236" s="21">
        <v>43533</v>
      </c>
      <c r="G236" s="22">
        <v>10.297222222222199</v>
      </c>
      <c r="H236" s="23" t="s">
        <v>23</v>
      </c>
      <c r="I236" s="19">
        <v>519.4</v>
      </c>
      <c r="J236" s="24">
        <v>4.7619047620000003</v>
      </c>
      <c r="K236" s="25">
        <v>6.5</v>
      </c>
      <c r="L236" s="23" t="str">
        <f>VLOOKUP(A236,'Customer-details'!$A$1:$C$1001,2,FALSE)</f>
        <v>Member</v>
      </c>
      <c r="M236" s="23" t="str">
        <f>VLOOKUP(A236,'Customer-details'!$A$1:$C$1001,3,FALSE)</f>
        <v>Male</v>
      </c>
      <c r="N236" s="23" t="str">
        <f>VLOOKUP(A236,'Product-details'!$A$1:$B$1001,2,FALSE)</f>
        <v>Health and beauty</v>
      </c>
      <c r="O236" s="23" t="str">
        <f>VLOOKUP(A236,'City-details'!$A$1:$C$1001,3,FALSE)</f>
        <v>Yangon</v>
      </c>
      <c r="P236" s="23" t="str">
        <f>VLOOKUP(A236,'City-details'!$A$1:$C$1001,2,FALSE)</f>
        <v>A</v>
      </c>
      <c r="Q236" s="23" t="str">
        <f t="shared" si="9"/>
        <v>Mar</v>
      </c>
      <c r="R236" s="26" t="str">
        <f t="shared" si="10"/>
        <v>Sat</v>
      </c>
      <c r="S236">
        <f t="shared" si="11"/>
        <v>7</v>
      </c>
      <c r="T236" t="str" cm="1">
        <f t="array" ref="T236">_xlfn.IFS(S236&lt;=12,"Morning",S236&lt;=16,"Afternoon",S236&lt;=21,"Evening",S236&lt;=24,"Night")</f>
        <v>Morning</v>
      </c>
    </row>
    <row r="237" spans="1:20" x14ac:dyDescent="0.25">
      <c r="A237" s="31" t="s">
        <v>271</v>
      </c>
      <c r="B237" s="27">
        <v>93.14</v>
      </c>
      <c r="C237" s="28">
        <v>2</v>
      </c>
      <c r="D237" s="27">
        <v>9.3140000000000001</v>
      </c>
      <c r="E237" s="27">
        <v>195.59399999999999</v>
      </c>
      <c r="F237" s="29">
        <v>43485</v>
      </c>
      <c r="G237" s="30">
        <v>10.338888888888899</v>
      </c>
      <c r="H237" s="31" t="s">
        <v>23</v>
      </c>
      <c r="I237" s="27">
        <v>186.28</v>
      </c>
      <c r="J237" s="32">
        <v>4.7619047620000003</v>
      </c>
      <c r="K237" s="33">
        <v>4.0999999999999996</v>
      </c>
      <c r="L237" s="31" t="str">
        <f>VLOOKUP(A237,'Customer-details'!$A$1:$C$1001,2,FALSE)</f>
        <v>Normal</v>
      </c>
      <c r="M237" s="31" t="str">
        <f>VLOOKUP(A237,'Customer-details'!$A$1:$C$1001,3,FALSE)</f>
        <v>Female</v>
      </c>
      <c r="N237" s="31" t="str">
        <f>VLOOKUP(A237,'Product-details'!$A$1:$B$1001,2,FALSE)</f>
        <v>Sports and travel</v>
      </c>
      <c r="O237" s="31" t="str">
        <f>VLOOKUP(A237,'City-details'!$A$1:$C$1001,3,FALSE)</f>
        <v>Yangon</v>
      </c>
      <c r="P237" s="31" t="str">
        <f>VLOOKUP(A237,'City-details'!$A$1:$C$1001,2,FALSE)</f>
        <v>A</v>
      </c>
      <c r="Q237" s="31" t="str">
        <f t="shared" si="9"/>
        <v>Jan</v>
      </c>
      <c r="R237" s="34" t="str">
        <f t="shared" si="10"/>
        <v>Sun</v>
      </c>
      <c r="S237">
        <f t="shared" si="11"/>
        <v>8</v>
      </c>
      <c r="T237" t="str" cm="1">
        <f t="array" ref="T237">_xlfn.IFS(S237&lt;=12,"Morning",S237&lt;=16,"Afternoon",S237&lt;=21,"Evening",S237&lt;=24,"Night")</f>
        <v>Morning</v>
      </c>
    </row>
    <row r="238" spans="1:20" x14ac:dyDescent="0.25">
      <c r="A238" s="23" t="s">
        <v>272</v>
      </c>
      <c r="B238" s="19">
        <v>17.41</v>
      </c>
      <c r="C238" s="20">
        <v>5</v>
      </c>
      <c r="D238" s="19">
        <v>4.3525</v>
      </c>
      <c r="E238" s="19">
        <v>91.402500000000003</v>
      </c>
      <c r="F238" s="21">
        <v>43493</v>
      </c>
      <c r="G238" s="22">
        <v>10.380555555555601</v>
      </c>
      <c r="H238" s="23" t="s">
        <v>33</v>
      </c>
      <c r="I238" s="19">
        <v>87.05</v>
      </c>
      <c r="J238" s="24">
        <v>4.7619047620000003</v>
      </c>
      <c r="K238" s="25">
        <v>4.9000000000000004</v>
      </c>
      <c r="L238" s="23" t="str">
        <f>VLOOKUP(A238,'Customer-details'!$A$1:$C$1001,2,FALSE)</f>
        <v>Normal</v>
      </c>
      <c r="M238" s="23" t="str">
        <f>VLOOKUP(A238,'Customer-details'!$A$1:$C$1001,3,FALSE)</f>
        <v>Male</v>
      </c>
      <c r="N238" s="23" t="str">
        <f>VLOOKUP(A238,'Product-details'!$A$1:$B$1001,2,FALSE)</f>
        <v>Health and beauty</v>
      </c>
      <c r="O238" s="23" t="str">
        <f>VLOOKUP(A238,'City-details'!$A$1:$C$1001,3,FALSE)</f>
        <v>Naypyitaw</v>
      </c>
      <c r="P238" s="23" t="str">
        <f>VLOOKUP(A238,'City-details'!$A$1:$C$1001,2,FALSE)</f>
        <v>C</v>
      </c>
      <c r="Q238" s="23" t="str">
        <f t="shared" si="9"/>
        <v>Jan</v>
      </c>
      <c r="R238" s="26" t="str">
        <f t="shared" si="10"/>
        <v>Mon</v>
      </c>
      <c r="S238">
        <f t="shared" si="11"/>
        <v>9</v>
      </c>
      <c r="T238" t="str" cm="1">
        <f t="array" ref="T238">_xlfn.IFS(S238&lt;=12,"Morning",S238&lt;=16,"Afternoon",S238&lt;=21,"Evening",S238&lt;=24,"Night")</f>
        <v>Morning</v>
      </c>
    </row>
    <row r="239" spans="1:20" x14ac:dyDescent="0.25">
      <c r="A239" s="31" t="s">
        <v>273</v>
      </c>
      <c r="B239" s="27">
        <v>44.22</v>
      </c>
      <c r="C239" s="28">
        <v>5</v>
      </c>
      <c r="D239" s="27">
        <v>11.055</v>
      </c>
      <c r="E239" s="27">
        <v>232.155</v>
      </c>
      <c r="F239" s="29">
        <v>43529</v>
      </c>
      <c r="G239" s="30">
        <v>10.422222222222199</v>
      </c>
      <c r="H239" s="31" t="s">
        <v>33</v>
      </c>
      <c r="I239" s="27">
        <v>221.1</v>
      </c>
      <c r="J239" s="32">
        <v>4.7619047620000003</v>
      </c>
      <c r="K239" s="33">
        <v>8.6</v>
      </c>
      <c r="L239" s="31" t="str">
        <f>VLOOKUP(A239,'Customer-details'!$A$1:$C$1001,2,FALSE)</f>
        <v>Member</v>
      </c>
      <c r="M239" s="31" t="str">
        <f>VLOOKUP(A239,'Customer-details'!$A$1:$C$1001,3,FALSE)</f>
        <v>Female</v>
      </c>
      <c r="N239" s="31" t="str">
        <f>VLOOKUP(A239,'Product-details'!$A$1:$B$1001,2,FALSE)</f>
        <v>Fashion accessories</v>
      </c>
      <c r="O239" s="31" t="str">
        <f>VLOOKUP(A239,'City-details'!$A$1:$C$1001,3,FALSE)</f>
        <v>Naypyitaw</v>
      </c>
      <c r="P239" s="31" t="str">
        <f>VLOOKUP(A239,'City-details'!$A$1:$C$1001,2,FALSE)</f>
        <v>C</v>
      </c>
      <c r="Q239" s="31" t="str">
        <f t="shared" si="9"/>
        <v>Mar</v>
      </c>
      <c r="R239" s="34" t="str">
        <f t="shared" si="10"/>
        <v>Tue</v>
      </c>
      <c r="S239">
        <f t="shared" si="11"/>
        <v>10</v>
      </c>
      <c r="T239" t="str" cm="1">
        <f t="array" ref="T239">_xlfn.IFS(S239&lt;=12,"Morning",S239&lt;=16,"Afternoon",S239&lt;=21,"Evening",S239&lt;=24,"Night")</f>
        <v>Morning</v>
      </c>
    </row>
    <row r="240" spans="1:20" x14ac:dyDescent="0.25">
      <c r="A240" s="23" t="s">
        <v>274</v>
      </c>
      <c r="B240" s="19">
        <v>13.22</v>
      </c>
      <c r="C240" s="20">
        <v>5</v>
      </c>
      <c r="D240" s="19">
        <v>3.3050000000000002</v>
      </c>
      <c r="E240" s="19">
        <v>69.405000000000001</v>
      </c>
      <c r="F240" s="21">
        <v>43526</v>
      </c>
      <c r="G240" s="22">
        <v>10.463888888888899</v>
      </c>
      <c r="H240" s="23" t="s">
        <v>29</v>
      </c>
      <c r="I240" s="19">
        <v>66.099999999999994</v>
      </c>
      <c r="J240" s="24">
        <v>4.7619047620000003</v>
      </c>
      <c r="K240" s="25">
        <v>4.3</v>
      </c>
      <c r="L240" s="23" t="str">
        <f>VLOOKUP(A240,'Customer-details'!$A$1:$C$1001,2,FALSE)</f>
        <v>Member</v>
      </c>
      <c r="M240" s="23" t="str">
        <f>VLOOKUP(A240,'Customer-details'!$A$1:$C$1001,3,FALSE)</f>
        <v>Female</v>
      </c>
      <c r="N240" s="23" t="str">
        <f>VLOOKUP(A240,'Product-details'!$A$1:$B$1001,2,FALSE)</f>
        <v>Electronic accessories</v>
      </c>
      <c r="O240" s="23" t="str">
        <f>VLOOKUP(A240,'City-details'!$A$1:$C$1001,3,FALSE)</f>
        <v>Mandalay</v>
      </c>
      <c r="P240" s="23" t="str">
        <f>VLOOKUP(A240,'City-details'!$A$1:$C$1001,2,FALSE)</f>
        <v>B</v>
      </c>
      <c r="Q240" s="23" t="str">
        <f t="shared" si="9"/>
        <v>Mar</v>
      </c>
      <c r="R240" s="26" t="str">
        <f t="shared" si="10"/>
        <v>Sat</v>
      </c>
      <c r="S240">
        <f t="shared" si="11"/>
        <v>11</v>
      </c>
      <c r="T240" t="str" cm="1">
        <f t="array" ref="T240">_xlfn.IFS(S240&lt;=12,"Morning",S240&lt;=16,"Afternoon",S240&lt;=21,"Evening",S240&lt;=24,"Night")</f>
        <v>Morning</v>
      </c>
    </row>
    <row r="241" spans="1:20" x14ac:dyDescent="0.25">
      <c r="A241" s="31" t="s">
        <v>275</v>
      </c>
      <c r="B241" s="27">
        <v>89.69</v>
      </c>
      <c r="C241" s="28">
        <v>1</v>
      </c>
      <c r="D241" s="27">
        <v>4.4844999999999997</v>
      </c>
      <c r="E241" s="27">
        <v>94.174499999999995</v>
      </c>
      <c r="F241" s="29">
        <v>43476</v>
      </c>
      <c r="G241" s="30">
        <v>10.505555555555601</v>
      </c>
      <c r="H241" s="31" t="s">
        <v>23</v>
      </c>
      <c r="I241" s="27">
        <v>89.69</v>
      </c>
      <c r="J241" s="32">
        <v>4.7619047620000003</v>
      </c>
      <c r="K241" s="33">
        <v>4.9000000000000004</v>
      </c>
      <c r="L241" s="31" t="str">
        <f>VLOOKUP(A241,'Customer-details'!$A$1:$C$1001,2,FALSE)</f>
        <v>Normal</v>
      </c>
      <c r="M241" s="31" t="str">
        <f>VLOOKUP(A241,'Customer-details'!$A$1:$C$1001,3,FALSE)</f>
        <v>Male</v>
      </c>
      <c r="N241" s="31" t="str">
        <f>VLOOKUP(A241,'Product-details'!$A$1:$B$1001,2,FALSE)</f>
        <v>Fashion accessories</v>
      </c>
      <c r="O241" s="31" t="str">
        <f>VLOOKUP(A241,'City-details'!$A$1:$C$1001,3,FALSE)</f>
        <v>Yangon</v>
      </c>
      <c r="P241" s="31" t="str">
        <f>VLOOKUP(A241,'City-details'!$A$1:$C$1001,2,FALSE)</f>
        <v>A</v>
      </c>
      <c r="Q241" s="31" t="str">
        <f t="shared" si="9"/>
        <v>Jan</v>
      </c>
      <c r="R241" s="34" t="str">
        <f t="shared" si="10"/>
        <v>Fri</v>
      </c>
      <c r="S241">
        <f t="shared" si="11"/>
        <v>12</v>
      </c>
      <c r="T241" t="str" cm="1">
        <f t="array" ref="T241">_xlfn.IFS(S241&lt;=12,"Morning",S241&lt;=16,"Afternoon",S241&lt;=21,"Evening",S241&lt;=24,"Night")</f>
        <v>Morning</v>
      </c>
    </row>
    <row r="242" spans="1:20" x14ac:dyDescent="0.25">
      <c r="A242" s="23" t="s">
        <v>276</v>
      </c>
      <c r="B242" s="19">
        <v>24.94</v>
      </c>
      <c r="C242" s="20">
        <v>9</v>
      </c>
      <c r="D242" s="19">
        <v>11.223000000000001</v>
      </c>
      <c r="E242" s="19">
        <v>235.68299999999999</v>
      </c>
      <c r="F242" s="21">
        <v>43476</v>
      </c>
      <c r="G242" s="22">
        <v>10.547222222222199</v>
      </c>
      <c r="H242" s="23" t="s">
        <v>33</v>
      </c>
      <c r="I242" s="19">
        <v>224.46</v>
      </c>
      <c r="J242" s="24">
        <v>4.7619047620000003</v>
      </c>
      <c r="K242" s="25">
        <v>5.6</v>
      </c>
      <c r="L242" s="23" t="str">
        <f>VLOOKUP(A242,'Customer-details'!$A$1:$C$1001,2,FALSE)</f>
        <v>Normal</v>
      </c>
      <c r="M242" s="23" t="str">
        <f>VLOOKUP(A242,'Customer-details'!$A$1:$C$1001,3,FALSE)</f>
        <v>Male</v>
      </c>
      <c r="N242" s="23" t="str">
        <f>VLOOKUP(A242,'Product-details'!$A$1:$B$1001,2,FALSE)</f>
        <v>Food and beverages</v>
      </c>
      <c r="O242" s="23" t="str">
        <f>VLOOKUP(A242,'City-details'!$A$1:$C$1001,3,FALSE)</f>
        <v>Yangon</v>
      </c>
      <c r="P242" s="23" t="str">
        <f>VLOOKUP(A242,'City-details'!$A$1:$C$1001,2,FALSE)</f>
        <v>A</v>
      </c>
      <c r="Q242" s="23" t="str">
        <f t="shared" si="9"/>
        <v>Jan</v>
      </c>
      <c r="R242" s="26" t="str">
        <f t="shared" si="10"/>
        <v>Fri</v>
      </c>
      <c r="S242">
        <f t="shared" si="11"/>
        <v>13</v>
      </c>
      <c r="T242" t="str" cm="1">
        <f t="array" ref="T242">_xlfn.IFS(S242&lt;=12,"Morning",S242&lt;=16,"Afternoon",S242&lt;=21,"Evening",S242&lt;=24,"Night")</f>
        <v>Afternoon</v>
      </c>
    </row>
    <row r="243" spans="1:20" x14ac:dyDescent="0.25">
      <c r="A243" s="31" t="s">
        <v>277</v>
      </c>
      <c r="B243" s="27">
        <v>59.77</v>
      </c>
      <c r="C243" s="28">
        <v>2</v>
      </c>
      <c r="D243" s="27">
        <v>5.9770000000000003</v>
      </c>
      <c r="E243" s="27">
        <v>125.517</v>
      </c>
      <c r="F243" s="29">
        <v>43535</v>
      </c>
      <c r="G243" s="30">
        <v>10.588888888888899</v>
      </c>
      <c r="H243" s="31" t="s">
        <v>33</v>
      </c>
      <c r="I243" s="27">
        <v>119.54</v>
      </c>
      <c r="J243" s="32">
        <v>4.7619047620000003</v>
      </c>
      <c r="K243" s="33">
        <v>5.8</v>
      </c>
      <c r="L243" s="31" t="str">
        <f>VLOOKUP(A243,'Customer-details'!$A$1:$C$1001,2,FALSE)</f>
        <v>Normal</v>
      </c>
      <c r="M243" s="31" t="str">
        <f>VLOOKUP(A243,'Customer-details'!$A$1:$C$1001,3,FALSE)</f>
        <v>Male</v>
      </c>
      <c r="N243" s="31" t="str">
        <f>VLOOKUP(A243,'Product-details'!$A$1:$B$1001,2,FALSE)</f>
        <v>Health and beauty</v>
      </c>
      <c r="O243" s="31" t="str">
        <f>VLOOKUP(A243,'City-details'!$A$1:$C$1001,3,FALSE)</f>
        <v>Yangon</v>
      </c>
      <c r="P243" s="31" t="str">
        <f>VLOOKUP(A243,'City-details'!$A$1:$C$1001,2,FALSE)</f>
        <v>A</v>
      </c>
      <c r="Q243" s="31" t="str">
        <f t="shared" si="9"/>
        <v>Mar</v>
      </c>
      <c r="R243" s="34" t="str">
        <f t="shared" si="10"/>
        <v>Mon</v>
      </c>
      <c r="S243">
        <f t="shared" si="11"/>
        <v>14</v>
      </c>
      <c r="T243" t="str" cm="1">
        <f t="array" ref="T243">_xlfn.IFS(S243&lt;=12,"Morning",S243&lt;=16,"Afternoon",S243&lt;=21,"Evening",S243&lt;=24,"Night")</f>
        <v>Afternoon</v>
      </c>
    </row>
    <row r="244" spans="1:20" x14ac:dyDescent="0.25">
      <c r="A244" s="23" t="s">
        <v>278</v>
      </c>
      <c r="B244" s="19">
        <v>93.2</v>
      </c>
      <c r="C244" s="20">
        <v>2</v>
      </c>
      <c r="D244" s="19">
        <v>9.32</v>
      </c>
      <c r="E244" s="19">
        <v>195.72</v>
      </c>
      <c r="F244" s="21">
        <v>43524</v>
      </c>
      <c r="G244" s="22">
        <v>10.630555555555601</v>
      </c>
      <c r="H244" s="23" t="s">
        <v>33</v>
      </c>
      <c r="I244" s="19">
        <v>186.4</v>
      </c>
      <c r="J244" s="24">
        <v>4.7619047620000003</v>
      </c>
      <c r="K244" s="25">
        <v>6</v>
      </c>
      <c r="L244" s="23" t="str">
        <f>VLOOKUP(A244,'Customer-details'!$A$1:$C$1001,2,FALSE)</f>
        <v>Member</v>
      </c>
      <c r="M244" s="23" t="str">
        <f>VLOOKUP(A244,'Customer-details'!$A$1:$C$1001,3,FALSE)</f>
        <v>Male</v>
      </c>
      <c r="N244" s="23" t="str">
        <f>VLOOKUP(A244,'Product-details'!$A$1:$B$1001,2,FALSE)</f>
        <v>Fashion accessories</v>
      </c>
      <c r="O244" s="23" t="str">
        <f>VLOOKUP(A244,'City-details'!$A$1:$C$1001,3,FALSE)</f>
        <v>Naypyitaw</v>
      </c>
      <c r="P244" s="23" t="str">
        <f>VLOOKUP(A244,'City-details'!$A$1:$C$1001,2,FALSE)</f>
        <v>C</v>
      </c>
      <c r="Q244" s="23" t="str">
        <f t="shared" si="9"/>
        <v>Feb</v>
      </c>
      <c r="R244" s="26" t="str">
        <f t="shared" si="10"/>
        <v>Thu</v>
      </c>
      <c r="S244">
        <f t="shared" si="11"/>
        <v>15</v>
      </c>
      <c r="T244" t="str" cm="1">
        <f t="array" ref="T244">_xlfn.IFS(S244&lt;=12,"Morning",S244&lt;=16,"Afternoon",S244&lt;=21,"Evening",S244&lt;=24,"Night")</f>
        <v>Afternoon</v>
      </c>
    </row>
    <row r="245" spans="1:20" x14ac:dyDescent="0.25">
      <c r="A245" s="31" t="s">
        <v>279</v>
      </c>
      <c r="B245" s="27">
        <v>62.65</v>
      </c>
      <c r="C245" s="28">
        <v>4</v>
      </c>
      <c r="D245" s="27">
        <v>12.53</v>
      </c>
      <c r="E245" s="27">
        <v>263.13</v>
      </c>
      <c r="F245" s="29">
        <v>43470</v>
      </c>
      <c r="G245" s="30">
        <v>10.672222222222199</v>
      </c>
      <c r="H245" s="31" t="s">
        <v>29</v>
      </c>
      <c r="I245" s="27">
        <v>250.6</v>
      </c>
      <c r="J245" s="32">
        <v>4.7619047620000003</v>
      </c>
      <c r="K245" s="33">
        <v>4.2</v>
      </c>
      <c r="L245" s="31" t="str">
        <f>VLOOKUP(A245,'Customer-details'!$A$1:$C$1001,2,FALSE)</f>
        <v>Member</v>
      </c>
      <c r="M245" s="31" t="str">
        <f>VLOOKUP(A245,'Customer-details'!$A$1:$C$1001,3,FALSE)</f>
        <v>Male</v>
      </c>
      <c r="N245" s="31" t="str">
        <f>VLOOKUP(A245,'Product-details'!$A$1:$B$1001,2,FALSE)</f>
        <v>Home and lifestyle</v>
      </c>
      <c r="O245" s="31" t="str">
        <f>VLOOKUP(A245,'City-details'!$A$1:$C$1001,3,FALSE)</f>
        <v>Yangon</v>
      </c>
      <c r="P245" s="31" t="str">
        <f>VLOOKUP(A245,'City-details'!$A$1:$C$1001,2,FALSE)</f>
        <v>A</v>
      </c>
      <c r="Q245" s="31" t="str">
        <f t="shared" si="9"/>
        <v>Jan</v>
      </c>
      <c r="R245" s="34" t="str">
        <f t="shared" si="10"/>
        <v>Sat</v>
      </c>
      <c r="S245">
        <f t="shared" si="11"/>
        <v>16</v>
      </c>
      <c r="T245" t="str" cm="1">
        <f t="array" ref="T245">_xlfn.IFS(S245&lt;=12,"Morning",S245&lt;=16,"Afternoon",S245&lt;=21,"Evening",S245&lt;=24,"Night")</f>
        <v>Afternoon</v>
      </c>
    </row>
    <row r="246" spans="1:20" x14ac:dyDescent="0.25">
      <c r="A246" s="23" t="s">
        <v>280</v>
      </c>
      <c r="B246" s="19">
        <v>93.87</v>
      </c>
      <c r="C246" s="20">
        <v>8</v>
      </c>
      <c r="D246" s="19">
        <v>37.548000000000002</v>
      </c>
      <c r="E246" s="19">
        <v>788.50800000000004</v>
      </c>
      <c r="F246" s="21">
        <v>43498</v>
      </c>
      <c r="G246" s="22">
        <v>10.713888888888899</v>
      </c>
      <c r="H246" s="23" t="s">
        <v>33</v>
      </c>
      <c r="I246" s="19">
        <v>750.96</v>
      </c>
      <c r="J246" s="24">
        <v>4.7619047620000003</v>
      </c>
      <c r="K246" s="25">
        <v>8.3000000000000007</v>
      </c>
      <c r="L246" s="23" t="str">
        <f>VLOOKUP(A246,'Customer-details'!$A$1:$C$1001,2,FALSE)</f>
        <v>Normal</v>
      </c>
      <c r="M246" s="23" t="str">
        <f>VLOOKUP(A246,'Customer-details'!$A$1:$C$1001,3,FALSE)</f>
        <v>Male</v>
      </c>
      <c r="N246" s="23" t="str">
        <f>VLOOKUP(A246,'Product-details'!$A$1:$B$1001,2,FALSE)</f>
        <v>Home and lifestyle</v>
      </c>
      <c r="O246" s="23" t="str">
        <f>VLOOKUP(A246,'City-details'!$A$1:$C$1001,3,FALSE)</f>
        <v>Mandalay</v>
      </c>
      <c r="P246" s="23" t="str">
        <f>VLOOKUP(A246,'City-details'!$A$1:$C$1001,2,FALSE)</f>
        <v>B</v>
      </c>
      <c r="Q246" s="23" t="str">
        <f t="shared" si="9"/>
        <v>Feb</v>
      </c>
      <c r="R246" s="26" t="str">
        <f t="shared" si="10"/>
        <v>Sat</v>
      </c>
      <c r="S246">
        <f t="shared" si="11"/>
        <v>17</v>
      </c>
      <c r="T246" t="str" cm="1">
        <f t="array" ref="T246">_xlfn.IFS(S246&lt;=12,"Morning",S246&lt;=16,"Afternoon",S246&lt;=21,"Evening",S246&lt;=24,"Night")</f>
        <v>Evening</v>
      </c>
    </row>
    <row r="247" spans="1:20" x14ac:dyDescent="0.25">
      <c r="A247" s="31" t="s">
        <v>281</v>
      </c>
      <c r="B247" s="27">
        <v>47.59</v>
      </c>
      <c r="C247" s="28">
        <v>8</v>
      </c>
      <c r="D247" s="27">
        <v>19.036000000000001</v>
      </c>
      <c r="E247" s="27">
        <v>399.75599999999997</v>
      </c>
      <c r="F247" s="29">
        <v>43466</v>
      </c>
      <c r="G247" s="30">
        <v>10.755555555555601</v>
      </c>
      <c r="H247" s="31" t="s">
        <v>29</v>
      </c>
      <c r="I247" s="27">
        <v>380.72</v>
      </c>
      <c r="J247" s="32">
        <v>4.7619047620000003</v>
      </c>
      <c r="K247" s="33">
        <v>5.7</v>
      </c>
      <c r="L247" s="31" t="str">
        <f>VLOOKUP(A247,'Customer-details'!$A$1:$C$1001,2,FALSE)</f>
        <v>Member</v>
      </c>
      <c r="M247" s="31" t="str">
        <f>VLOOKUP(A247,'Customer-details'!$A$1:$C$1001,3,FALSE)</f>
        <v>Male</v>
      </c>
      <c r="N247" s="31" t="str">
        <f>VLOOKUP(A247,'Product-details'!$A$1:$B$1001,2,FALSE)</f>
        <v>Home and lifestyle</v>
      </c>
      <c r="O247" s="31" t="str">
        <f>VLOOKUP(A247,'City-details'!$A$1:$C$1001,3,FALSE)</f>
        <v>Yangon</v>
      </c>
      <c r="P247" s="31" t="str">
        <f>VLOOKUP(A247,'City-details'!$A$1:$C$1001,2,FALSE)</f>
        <v>A</v>
      </c>
      <c r="Q247" s="31" t="str">
        <f t="shared" si="9"/>
        <v>Jan</v>
      </c>
      <c r="R247" s="34" t="str">
        <f t="shared" si="10"/>
        <v>Tue</v>
      </c>
      <c r="S247">
        <f t="shared" si="11"/>
        <v>18</v>
      </c>
      <c r="T247" t="str" cm="1">
        <f t="array" ref="T247">_xlfn.IFS(S247&lt;=12,"Morning",S247&lt;=16,"Afternoon",S247&lt;=21,"Evening",S247&lt;=24,"Night")</f>
        <v>Evening</v>
      </c>
    </row>
    <row r="248" spans="1:20" x14ac:dyDescent="0.25">
      <c r="A248" s="23" t="s">
        <v>282</v>
      </c>
      <c r="B248" s="19">
        <v>81.400000000000006</v>
      </c>
      <c r="C248" s="20">
        <v>3</v>
      </c>
      <c r="D248" s="19">
        <v>12.21</v>
      </c>
      <c r="E248" s="19">
        <v>256.41000000000003</v>
      </c>
      <c r="F248" s="21">
        <v>43505</v>
      </c>
      <c r="G248" s="22">
        <v>10.797222222222199</v>
      </c>
      <c r="H248" s="23" t="s">
        <v>29</v>
      </c>
      <c r="I248" s="19">
        <v>244.2</v>
      </c>
      <c r="J248" s="24">
        <v>4.7619047620000003</v>
      </c>
      <c r="K248" s="25">
        <v>4.8</v>
      </c>
      <c r="L248" s="23" t="str">
        <f>VLOOKUP(A248,'Customer-details'!$A$1:$C$1001,2,FALSE)</f>
        <v>Member</v>
      </c>
      <c r="M248" s="23" t="str">
        <f>VLOOKUP(A248,'Customer-details'!$A$1:$C$1001,3,FALSE)</f>
        <v>Female</v>
      </c>
      <c r="N248" s="23" t="str">
        <f>VLOOKUP(A248,'Product-details'!$A$1:$B$1001,2,FALSE)</f>
        <v>Electronic accessories</v>
      </c>
      <c r="O248" s="23" t="str">
        <f>VLOOKUP(A248,'City-details'!$A$1:$C$1001,3,FALSE)</f>
        <v>Mandalay</v>
      </c>
      <c r="P248" s="23" t="str">
        <f>VLOOKUP(A248,'City-details'!$A$1:$C$1001,2,FALSE)</f>
        <v>B</v>
      </c>
      <c r="Q248" s="23" t="str">
        <f t="shared" si="9"/>
        <v>Feb</v>
      </c>
      <c r="R248" s="26" t="str">
        <f t="shared" si="10"/>
        <v>Sat</v>
      </c>
      <c r="S248">
        <f t="shared" si="11"/>
        <v>19</v>
      </c>
      <c r="T248" t="str" cm="1">
        <f t="array" ref="T248">_xlfn.IFS(S248&lt;=12,"Morning",S248&lt;=16,"Afternoon",S248&lt;=21,"Evening",S248&lt;=24,"Night")</f>
        <v>Evening</v>
      </c>
    </row>
    <row r="249" spans="1:20" x14ac:dyDescent="0.25">
      <c r="A249" s="31" t="s">
        <v>283</v>
      </c>
      <c r="B249" s="27">
        <v>17.940000000000001</v>
      </c>
      <c r="C249" s="28">
        <v>5</v>
      </c>
      <c r="D249" s="27">
        <v>4.4850000000000003</v>
      </c>
      <c r="E249" s="27">
        <v>94.185000000000002</v>
      </c>
      <c r="F249" s="29">
        <v>43488</v>
      </c>
      <c r="G249" s="30">
        <v>10.838888888888899</v>
      </c>
      <c r="H249" s="31" t="s">
        <v>23</v>
      </c>
      <c r="I249" s="27">
        <v>89.7</v>
      </c>
      <c r="J249" s="32">
        <v>4.7619047620000003</v>
      </c>
      <c r="K249" s="33">
        <v>6.8</v>
      </c>
      <c r="L249" s="31" t="str">
        <f>VLOOKUP(A249,'Customer-details'!$A$1:$C$1001,2,FALSE)</f>
        <v>Member</v>
      </c>
      <c r="M249" s="31" t="str">
        <f>VLOOKUP(A249,'Customer-details'!$A$1:$C$1001,3,FALSE)</f>
        <v>Male</v>
      </c>
      <c r="N249" s="31" t="str">
        <f>VLOOKUP(A249,'Product-details'!$A$1:$B$1001,2,FALSE)</f>
        <v>Fashion accessories</v>
      </c>
      <c r="O249" s="31" t="str">
        <f>VLOOKUP(A249,'City-details'!$A$1:$C$1001,3,FALSE)</f>
        <v>Yangon</v>
      </c>
      <c r="P249" s="31" t="str">
        <f>VLOOKUP(A249,'City-details'!$A$1:$C$1001,2,FALSE)</f>
        <v>A</v>
      </c>
      <c r="Q249" s="31" t="str">
        <f t="shared" si="9"/>
        <v>Jan</v>
      </c>
      <c r="R249" s="34" t="str">
        <f t="shared" si="10"/>
        <v>Wed</v>
      </c>
      <c r="S249">
        <f t="shared" si="11"/>
        <v>20</v>
      </c>
      <c r="T249" t="str" cm="1">
        <f t="array" ref="T249">_xlfn.IFS(S249&lt;=12,"Morning",S249&lt;=16,"Afternoon",S249&lt;=21,"Evening",S249&lt;=24,"Night")</f>
        <v>Evening</v>
      </c>
    </row>
    <row r="250" spans="1:20" x14ac:dyDescent="0.25">
      <c r="A250" s="23" t="s">
        <v>284</v>
      </c>
      <c r="B250" s="19">
        <v>77.72</v>
      </c>
      <c r="C250" s="20">
        <v>4</v>
      </c>
      <c r="D250" s="19">
        <v>15.544</v>
      </c>
      <c r="E250" s="19">
        <v>326.42399999999998</v>
      </c>
      <c r="F250" s="21">
        <v>43472</v>
      </c>
      <c r="G250" s="22">
        <v>10.880555555555601</v>
      </c>
      <c r="H250" s="23" t="s">
        <v>33</v>
      </c>
      <c r="I250" s="19">
        <v>310.88</v>
      </c>
      <c r="J250" s="24">
        <v>4.7619047620000003</v>
      </c>
      <c r="K250" s="25">
        <v>8.8000000000000007</v>
      </c>
      <c r="L250" s="23" t="str">
        <f>VLOOKUP(A250,'Customer-details'!$A$1:$C$1001,2,FALSE)</f>
        <v>Member</v>
      </c>
      <c r="M250" s="23" t="str">
        <f>VLOOKUP(A250,'Customer-details'!$A$1:$C$1001,3,FALSE)</f>
        <v>Male</v>
      </c>
      <c r="N250" s="23" t="str">
        <f>VLOOKUP(A250,'Product-details'!$A$1:$B$1001,2,FALSE)</f>
        <v>Electronic accessories</v>
      </c>
      <c r="O250" s="23" t="str">
        <f>VLOOKUP(A250,'City-details'!$A$1:$C$1001,3,FALSE)</f>
        <v>Yangon</v>
      </c>
      <c r="P250" s="23" t="str">
        <f>VLOOKUP(A250,'City-details'!$A$1:$C$1001,2,FALSE)</f>
        <v>A</v>
      </c>
      <c r="Q250" s="23" t="str">
        <f t="shared" si="9"/>
        <v>Jan</v>
      </c>
      <c r="R250" s="26" t="str">
        <f t="shared" si="10"/>
        <v>Mon</v>
      </c>
      <c r="S250">
        <f t="shared" si="11"/>
        <v>21</v>
      </c>
      <c r="T250" t="str" cm="1">
        <f t="array" ref="T250">_xlfn.IFS(S250&lt;=12,"Morning",S250&lt;=16,"Afternoon",S250&lt;=21,"Evening",S250&lt;=24,"Night")</f>
        <v>Evening</v>
      </c>
    </row>
    <row r="251" spans="1:20" x14ac:dyDescent="0.25">
      <c r="A251" s="31" t="s">
        <v>285</v>
      </c>
      <c r="B251" s="27">
        <v>73.06</v>
      </c>
      <c r="C251" s="28">
        <v>7</v>
      </c>
      <c r="D251" s="27">
        <v>25.571000000000002</v>
      </c>
      <c r="E251" s="27">
        <v>536.99099999999999</v>
      </c>
      <c r="F251" s="29">
        <v>43479</v>
      </c>
      <c r="G251" s="30">
        <v>10.922222222222199</v>
      </c>
      <c r="H251" s="31" t="s">
        <v>33</v>
      </c>
      <c r="I251" s="27">
        <v>511.42</v>
      </c>
      <c r="J251" s="32">
        <v>4.7619047620000003</v>
      </c>
      <c r="K251" s="33">
        <v>4.2</v>
      </c>
      <c r="L251" s="31" t="str">
        <f>VLOOKUP(A251,'Customer-details'!$A$1:$C$1001,2,FALSE)</f>
        <v>Normal</v>
      </c>
      <c r="M251" s="31" t="str">
        <f>VLOOKUP(A251,'Customer-details'!$A$1:$C$1001,3,FALSE)</f>
        <v>Male</v>
      </c>
      <c r="N251" s="31" t="str">
        <f>VLOOKUP(A251,'Product-details'!$A$1:$B$1001,2,FALSE)</f>
        <v>Food and beverages</v>
      </c>
      <c r="O251" s="31" t="str">
        <f>VLOOKUP(A251,'City-details'!$A$1:$C$1001,3,FALSE)</f>
        <v>Mandalay</v>
      </c>
      <c r="P251" s="31" t="str">
        <f>VLOOKUP(A251,'City-details'!$A$1:$C$1001,2,FALSE)</f>
        <v>B</v>
      </c>
      <c r="Q251" s="31" t="str">
        <f t="shared" si="9"/>
        <v>Jan</v>
      </c>
      <c r="R251" s="34" t="str">
        <f t="shared" si="10"/>
        <v>Mon</v>
      </c>
      <c r="S251">
        <f t="shared" si="11"/>
        <v>22</v>
      </c>
      <c r="T251" t="str" cm="1">
        <f t="array" ref="T251">_xlfn.IFS(S251&lt;=12,"Morning",S251&lt;=16,"Afternoon",S251&lt;=21,"Evening",S251&lt;=24,"Night")</f>
        <v>Night</v>
      </c>
    </row>
    <row r="252" spans="1:20" x14ac:dyDescent="0.25">
      <c r="A252" s="23" t="s">
        <v>286</v>
      </c>
      <c r="B252" s="19">
        <v>46.55</v>
      </c>
      <c r="C252" s="20">
        <v>9</v>
      </c>
      <c r="D252" s="19">
        <v>20.947500000000002</v>
      </c>
      <c r="E252" s="19">
        <v>439.89749999999998</v>
      </c>
      <c r="F252" s="21">
        <v>43498</v>
      </c>
      <c r="G252" s="22">
        <v>10.963888888888899</v>
      </c>
      <c r="H252" s="23" t="s">
        <v>23</v>
      </c>
      <c r="I252" s="19">
        <v>418.95</v>
      </c>
      <c r="J252" s="24">
        <v>4.7619047620000003</v>
      </c>
      <c r="K252" s="25">
        <v>6.4</v>
      </c>
      <c r="L252" s="23" t="str">
        <f>VLOOKUP(A252,'Customer-details'!$A$1:$C$1001,2,FALSE)</f>
        <v>Member</v>
      </c>
      <c r="M252" s="23" t="str">
        <f>VLOOKUP(A252,'Customer-details'!$A$1:$C$1001,3,FALSE)</f>
        <v>Male</v>
      </c>
      <c r="N252" s="23" t="str">
        <f>VLOOKUP(A252,'Product-details'!$A$1:$B$1001,2,FALSE)</f>
        <v>Food and beverages</v>
      </c>
      <c r="O252" s="23" t="str">
        <f>VLOOKUP(A252,'City-details'!$A$1:$C$1001,3,FALSE)</f>
        <v>Mandalay</v>
      </c>
      <c r="P252" s="23" t="str">
        <f>VLOOKUP(A252,'City-details'!$A$1:$C$1001,2,FALSE)</f>
        <v>B</v>
      </c>
      <c r="Q252" s="23" t="str">
        <f t="shared" si="9"/>
        <v>Feb</v>
      </c>
      <c r="R252" s="26" t="str">
        <f t="shared" si="10"/>
        <v>Sat</v>
      </c>
      <c r="S252">
        <f t="shared" si="11"/>
        <v>23</v>
      </c>
      <c r="T252" t="str" cm="1">
        <f t="array" ref="T252">_xlfn.IFS(S252&lt;=12,"Morning",S252&lt;=16,"Afternoon",S252&lt;=21,"Evening",S252&lt;=24,"Night")</f>
        <v>Night</v>
      </c>
    </row>
    <row r="253" spans="1:20" x14ac:dyDescent="0.25">
      <c r="A253" s="31" t="s">
        <v>287</v>
      </c>
      <c r="B253" s="27">
        <v>35.19</v>
      </c>
      <c r="C253" s="28">
        <v>10</v>
      </c>
      <c r="D253" s="27">
        <v>17.594999999999999</v>
      </c>
      <c r="E253" s="27">
        <v>369.495</v>
      </c>
      <c r="F253" s="29">
        <v>43541</v>
      </c>
      <c r="G253" s="30">
        <v>11.005555555555601</v>
      </c>
      <c r="H253" s="31" t="s">
        <v>33</v>
      </c>
      <c r="I253" s="27">
        <v>351.9</v>
      </c>
      <c r="J253" s="32">
        <v>4.7619047620000003</v>
      </c>
      <c r="K253" s="33">
        <v>8.4</v>
      </c>
      <c r="L253" s="31" t="str">
        <f>VLOOKUP(A253,'Customer-details'!$A$1:$C$1001,2,FALSE)</f>
        <v>Member</v>
      </c>
      <c r="M253" s="31" t="str">
        <f>VLOOKUP(A253,'Customer-details'!$A$1:$C$1001,3,FALSE)</f>
        <v>Male</v>
      </c>
      <c r="N253" s="31" t="str">
        <f>VLOOKUP(A253,'Product-details'!$A$1:$B$1001,2,FALSE)</f>
        <v>Fashion accessories</v>
      </c>
      <c r="O253" s="31" t="str">
        <f>VLOOKUP(A253,'City-details'!$A$1:$C$1001,3,FALSE)</f>
        <v>Naypyitaw</v>
      </c>
      <c r="P253" s="31" t="str">
        <f>VLOOKUP(A253,'City-details'!$A$1:$C$1001,2,FALSE)</f>
        <v>C</v>
      </c>
      <c r="Q253" s="31" t="str">
        <f t="shared" si="9"/>
        <v>Mar</v>
      </c>
      <c r="R253" s="34" t="str">
        <f t="shared" si="10"/>
        <v>Sun</v>
      </c>
      <c r="S253">
        <f t="shared" si="11"/>
        <v>0</v>
      </c>
      <c r="T253" t="str" cm="1">
        <f t="array" ref="T253">_xlfn.IFS(S253&lt;=12,"Morning",S253&lt;=16,"Afternoon",S253&lt;=21,"Evening",S253&lt;=24,"Night")</f>
        <v>Morning</v>
      </c>
    </row>
    <row r="254" spans="1:20" x14ac:dyDescent="0.25">
      <c r="A254" s="23" t="s">
        <v>288</v>
      </c>
      <c r="B254" s="19">
        <v>14.39</v>
      </c>
      <c r="C254" s="20">
        <v>2</v>
      </c>
      <c r="D254" s="19">
        <v>1.4390000000000001</v>
      </c>
      <c r="E254" s="19">
        <v>30.219000000000001</v>
      </c>
      <c r="F254" s="21">
        <v>43526</v>
      </c>
      <c r="G254" s="22">
        <v>11.047222222222199</v>
      </c>
      <c r="H254" s="23" t="s">
        <v>33</v>
      </c>
      <c r="I254" s="19">
        <v>28.78</v>
      </c>
      <c r="J254" s="24">
        <v>4.7619047620000003</v>
      </c>
      <c r="K254" s="25">
        <v>7.2</v>
      </c>
      <c r="L254" s="23" t="str">
        <f>VLOOKUP(A254,'Customer-details'!$A$1:$C$1001,2,FALSE)</f>
        <v>Normal</v>
      </c>
      <c r="M254" s="23" t="str">
        <f>VLOOKUP(A254,'Customer-details'!$A$1:$C$1001,3,FALSE)</f>
        <v>Female</v>
      </c>
      <c r="N254" s="23" t="str">
        <f>VLOOKUP(A254,'Product-details'!$A$1:$B$1001,2,FALSE)</f>
        <v>Sports and travel</v>
      </c>
      <c r="O254" s="23" t="str">
        <f>VLOOKUP(A254,'City-details'!$A$1:$C$1001,3,FALSE)</f>
        <v>Naypyitaw</v>
      </c>
      <c r="P254" s="23" t="str">
        <f>VLOOKUP(A254,'City-details'!$A$1:$C$1001,2,FALSE)</f>
        <v>C</v>
      </c>
      <c r="Q254" s="23" t="str">
        <f t="shared" si="9"/>
        <v>Mar</v>
      </c>
      <c r="R254" s="26" t="str">
        <f t="shared" si="10"/>
        <v>Sat</v>
      </c>
      <c r="S254">
        <f t="shared" si="11"/>
        <v>1</v>
      </c>
      <c r="T254" t="str" cm="1">
        <f t="array" ref="T254">_xlfn.IFS(S254&lt;=12,"Morning",S254&lt;=16,"Afternoon",S254&lt;=21,"Evening",S254&lt;=24,"Night")</f>
        <v>Morning</v>
      </c>
    </row>
    <row r="255" spans="1:20" x14ac:dyDescent="0.25">
      <c r="A255" s="31" t="s">
        <v>289</v>
      </c>
      <c r="B255" s="27">
        <v>23.75</v>
      </c>
      <c r="C255" s="28">
        <v>4</v>
      </c>
      <c r="D255" s="27">
        <v>4.75</v>
      </c>
      <c r="E255" s="27">
        <v>99.75</v>
      </c>
      <c r="F255" s="29">
        <v>43540</v>
      </c>
      <c r="G255" s="30">
        <v>11.088888888888899</v>
      </c>
      <c r="H255" s="31" t="s">
        <v>29</v>
      </c>
      <c r="I255" s="27">
        <v>95</v>
      </c>
      <c r="J255" s="32">
        <v>4.7619047620000003</v>
      </c>
      <c r="K255" s="33">
        <v>5.2</v>
      </c>
      <c r="L255" s="31" t="str">
        <f>VLOOKUP(A255,'Customer-details'!$A$1:$C$1001,2,FALSE)</f>
        <v>Normal</v>
      </c>
      <c r="M255" s="31" t="str">
        <f>VLOOKUP(A255,'Customer-details'!$A$1:$C$1001,3,FALSE)</f>
        <v>Male</v>
      </c>
      <c r="N255" s="31" t="str">
        <f>VLOOKUP(A255,'Product-details'!$A$1:$B$1001,2,FALSE)</f>
        <v>Home and lifestyle</v>
      </c>
      <c r="O255" s="31" t="str">
        <f>VLOOKUP(A255,'City-details'!$A$1:$C$1001,3,FALSE)</f>
        <v>Yangon</v>
      </c>
      <c r="P255" s="31" t="str">
        <f>VLOOKUP(A255,'City-details'!$A$1:$C$1001,2,FALSE)</f>
        <v>A</v>
      </c>
      <c r="Q255" s="31" t="str">
        <f t="shared" si="9"/>
        <v>Mar</v>
      </c>
      <c r="R255" s="34" t="str">
        <f t="shared" si="10"/>
        <v>Sat</v>
      </c>
      <c r="S255">
        <f t="shared" si="11"/>
        <v>2</v>
      </c>
      <c r="T255" t="str" cm="1">
        <f t="array" ref="T255">_xlfn.IFS(S255&lt;=12,"Morning",S255&lt;=16,"Afternoon",S255&lt;=21,"Evening",S255&lt;=24,"Night")</f>
        <v>Morning</v>
      </c>
    </row>
    <row r="256" spans="1:20" x14ac:dyDescent="0.25">
      <c r="A256" s="23" t="s">
        <v>290</v>
      </c>
      <c r="B256" s="19">
        <v>58.9</v>
      </c>
      <c r="C256" s="20">
        <v>8</v>
      </c>
      <c r="D256" s="19">
        <v>23.56</v>
      </c>
      <c r="E256" s="19">
        <v>494.76</v>
      </c>
      <c r="F256" s="21">
        <v>43471</v>
      </c>
      <c r="G256" s="22">
        <v>11.130555555555601</v>
      </c>
      <c r="H256" s="23" t="s">
        <v>29</v>
      </c>
      <c r="I256" s="19">
        <v>471.2</v>
      </c>
      <c r="J256" s="24">
        <v>4.7619047620000003</v>
      </c>
      <c r="K256" s="25">
        <v>8.9</v>
      </c>
      <c r="L256" s="23" t="str">
        <f>VLOOKUP(A256,'Customer-details'!$A$1:$C$1001,2,FALSE)</f>
        <v>Member</v>
      </c>
      <c r="M256" s="23" t="str">
        <f>VLOOKUP(A256,'Customer-details'!$A$1:$C$1001,3,FALSE)</f>
        <v>Male</v>
      </c>
      <c r="N256" s="23" t="str">
        <f>VLOOKUP(A256,'Product-details'!$A$1:$B$1001,2,FALSE)</f>
        <v>Home and lifestyle</v>
      </c>
      <c r="O256" s="23" t="str">
        <f>VLOOKUP(A256,'City-details'!$A$1:$C$1001,3,FALSE)</f>
        <v>Yangon</v>
      </c>
      <c r="P256" s="23" t="str">
        <f>VLOOKUP(A256,'City-details'!$A$1:$C$1001,2,FALSE)</f>
        <v>A</v>
      </c>
      <c r="Q256" s="23" t="str">
        <f t="shared" si="9"/>
        <v>Jan</v>
      </c>
      <c r="R256" s="26" t="str">
        <f t="shared" si="10"/>
        <v>Sun</v>
      </c>
      <c r="S256">
        <f t="shared" si="11"/>
        <v>3</v>
      </c>
      <c r="T256" t="str" cm="1">
        <f t="array" ref="T256">_xlfn.IFS(S256&lt;=12,"Morning",S256&lt;=16,"Afternoon",S256&lt;=21,"Evening",S256&lt;=24,"Night")</f>
        <v>Morning</v>
      </c>
    </row>
    <row r="257" spans="1:20" x14ac:dyDescent="0.25">
      <c r="A257" s="31" t="s">
        <v>291</v>
      </c>
      <c r="B257" s="27">
        <v>32.619999999999997</v>
      </c>
      <c r="C257" s="28">
        <v>4</v>
      </c>
      <c r="D257" s="27">
        <v>6.524</v>
      </c>
      <c r="E257" s="27">
        <v>137.00399999999999</v>
      </c>
      <c r="F257" s="29">
        <v>43494</v>
      </c>
      <c r="G257" s="30">
        <v>11.172222222222199</v>
      </c>
      <c r="H257" s="31" t="s">
        <v>29</v>
      </c>
      <c r="I257" s="27">
        <v>130.47999999999999</v>
      </c>
      <c r="J257" s="32">
        <v>4.7619047620000003</v>
      </c>
      <c r="K257" s="33">
        <v>9</v>
      </c>
      <c r="L257" s="31" t="str">
        <f>VLOOKUP(A257,'Customer-details'!$A$1:$C$1001,2,FALSE)</f>
        <v>Member</v>
      </c>
      <c r="M257" s="31" t="str">
        <f>VLOOKUP(A257,'Customer-details'!$A$1:$C$1001,3,FALSE)</f>
        <v>Male</v>
      </c>
      <c r="N257" s="31" t="str">
        <f>VLOOKUP(A257,'Product-details'!$A$1:$B$1001,2,FALSE)</f>
        <v>Fashion accessories</v>
      </c>
      <c r="O257" s="31" t="str">
        <f>VLOOKUP(A257,'City-details'!$A$1:$C$1001,3,FALSE)</f>
        <v>Mandalay</v>
      </c>
      <c r="P257" s="31" t="str">
        <f>VLOOKUP(A257,'City-details'!$A$1:$C$1001,2,FALSE)</f>
        <v>B</v>
      </c>
      <c r="Q257" s="31" t="str">
        <f t="shared" si="9"/>
        <v>Jan</v>
      </c>
      <c r="R257" s="34" t="str">
        <f t="shared" si="10"/>
        <v>Tue</v>
      </c>
      <c r="S257">
        <f t="shared" si="11"/>
        <v>4</v>
      </c>
      <c r="T257" t="str" cm="1">
        <f t="array" ref="T257">_xlfn.IFS(S257&lt;=12,"Morning",S257&lt;=16,"Afternoon",S257&lt;=21,"Evening",S257&lt;=24,"Night")</f>
        <v>Morning</v>
      </c>
    </row>
    <row r="258" spans="1:20" x14ac:dyDescent="0.25">
      <c r="A258" s="23" t="s">
        <v>292</v>
      </c>
      <c r="B258" s="19">
        <v>66.349999999999994</v>
      </c>
      <c r="C258" s="20">
        <v>1</v>
      </c>
      <c r="D258" s="19">
        <v>3.3174999999999999</v>
      </c>
      <c r="E258" s="19">
        <v>69.667500000000004</v>
      </c>
      <c r="F258" s="21">
        <v>43496</v>
      </c>
      <c r="G258" s="22">
        <v>11.213888888888899</v>
      </c>
      <c r="H258" s="23" t="s">
        <v>33</v>
      </c>
      <c r="I258" s="19">
        <v>66.349999999999994</v>
      </c>
      <c r="J258" s="24">
        <v>4.7619047620000003</v>
      </c>
      <c r="K258" s="25">
        <v>9.6999999999999993</v>
      </c>
      <c r="L258" s="23" t="str">
        <f>VLOOKUP(A258,'Customer-details'!$A$1:$C$1001,2,FALSE)</f>
        <v>Member</v>
      </c>
      <c r="M258" s="23" t="str">
        <f>VLOOKUP(A258,'Customer-details'!$A$1:$C$1001,3,FALSE)</f>
        <v>Male</v>
      </c>
      <c r="N258" s="23" t="str">
        <f>VLOOKUP(A258,'Product-details'!$A$1:$B$1001,2,FALSE)</f>
        <v>Electronic accessories</v>
      </c>
      <c r="O258" s="23" t="str">
        <f>VLOOKUP(A258,'City-details'!$A$1:$C$1001,3,FALSE)</f>
        <v>Yangon</v>
      </c>
      <c r="P258" s="23" t="str">
        <f>VLOOKUP(A258,'City-details'!$A$1:$C$1001,2,FALSE)</f>
        <v>A</v>
      </c>
      <c r="Q258" s="23" t="str">
        <f t="shared" si="9"/>
        <v>Jan</v>
      </c>
      <c r="R258" s="26" t="str">
        <f t="shared" si="10"/>
        <v>Thu</v>
      </c>
      <c r="S258">
        <f t="shared" si="11"/>
        <v>5</v>
      </c>
      <c r="T258" t="str" cm="1">
        <f t="array" ref="T258">_xlfn.IFS(S258&lt;=12,"Morning",S258&lt;=16,"Afternoon",S258&lt;=21,"Evening",S258&lt;=24,"Night")</f>
        <v>Morning</v>
      </c>
    </row>
    <row r="259" spans="1:20" x14ac:dyDescent="0.25">
      <c r="A259" s="31" t="s">
        <v>293</v>
      </c>
      <c r="B259" s="27">
        <v>25.91</v>
      </c>
      <c r="C259" s="28">
        <v>6</v>
      </c>
      <c r="D259" s="27">
        <v>7.7729999999999997</v>
      </c>
      <c r="E259" s="27">
        <v>163.233</v>
      </c>
      <c r="F259" s="29">
        <v>43501</v>
      </c>
      <c r="G259" s="30">
        <v>11.255555555555601</v>
      </c>
      <c r="H259" s="31" t="s">
        <v>23</v>
      </c>
      <c r="I259" s="27">
        <v>155.46</v>
      </c>
      <c r="J259" s="32">
        <v>4.7619047620000003</v>
      </c>
      <c r="K259" s="33">
        <v>8.6999999999999993</v>
      </c>
      <c r="L259" s="31" t="str">
        <f>VLOOKUP(A259,'Customer-details'!$A$1:$C$1001,2,FALSE)</f>
        <v>Member</v>
      </c>
      <c r="M259" s="31" t="str">
        <f>VLOOKUP(A259,'Customer-details'!$A$1:$C$1001,3,FALSE)</f>
        <v>Male</v>
      </c>
      <c r="N259" s="31" t="str">
        <f>VLOOKUP(A259,'Product-details'!$A$1:$B$1001,2,FALSE)</f>
        <v>Home and lifestyle</v>
      </c>
      <c r="O259" s="31" t="str">
        <f>VLOOKUP(A259,'City-details'!$A$1:$C$1001,3,FALSE)</f>
        <v>Yangon</v>
      </c>
      <c r="P259" s="31" t="str">
        <f>VLOOKUP(A259,'City-details'!$A$1:$C$1001,2,FALSE)</f>
        <v>A</v>
      </c>
      <c r="Q259" s="31" t="str">
        <f t="shared" ref="Q259:Q322" si="12">TEXT(F259,"mmm")</f>
        <v>Feb</v>
      </c>
      <c r="R259" s="34" t="str">
        <f t="shared" ref="R259:R322" si="13">TEXT(F259,"ddd")</f>
        <v>Tue</v>
      </c>
      <c r="S259">
        <f t="shared" ref="S259:S322" si="14">HOUR(G259)</f>
        <v>6</v>
      </c>
      <c r="T259" t="str" cm="1">
        <f t="array" ref="T259">_xlfn.IFS(S259&lt;=12,"Morning",S259&lt;=16,"Afternoon",S259&lt;=21,"Evening",S259&lt;=24,"Night")</f>
        <v>Morning</v>
      </c>
    </row>
    <row r="260" spans="1:20" x14ac:dyDescent="0.25">
      <c r="A260" s="23" t="s">
        <v>294</v>
      </c>
      <c r="B260" s="19">
        <v>32.25</v>
      </c>
      <c r="C260" s="20">
        <v>4</v>
      </c>
      <c r="D260" s="19">
        <v>6.45</v>
      </c>
      <c r="E260" s="19">
        <v>135.44999999999999</v>
      </c>
      <c r="F260" s="21">
        <v>43509</v>
      </c>
      <c r="G260" s="22">
        <v>11.297222222222199</v>
      </c>
      <c r="H260" s="23" t="s">
        <v>23</v>
      </c>
      <c r="I260" s="19">
        <v>129</v>
      </c>
      <c r="J260" s="24">
        <v>4.7619047620000003</v>
      </c>
      <c r="K260" s="25">
        <v>6.5</v>
      </c>
      <c r="L260" s="23" t="str">
        <f>VLOOKUP(A260,'Customer-details'!$A$1:$C$1001,2,FALSE)</f>
        <v>Member</v>
      </c>
      <c r="M260" s="23" t="str">
        <f>VLOOKUP(A260,'Customer-details'!$A$1:$C$1001,3,FALSE)</f>
        <v>Male</v>
      </c>
      <c r="N260" s="23" t="str">
        <f>VLOOKUP(A260,'Product-details'!$A$1:$B$1001,2,FALSE)</f>
        <v>Electronic accessories</v>
      </c>
      <c r="O260" s="23" t="str">
        <f>VLOOKUP(A260,'City-details'!$A$1:$C$1001,3,FALSE)</f>
        <v>Yangon</v>
      </c>
      <c r="P260" s="23" t="str">
        <f>VLOOKUP(A260,'City-details'!$A$1:$C$1001,2,FALSE)</f>
        <v>A</v>
      </c>
      <c r="Q260" s="23" t="str">
        <f t="shared" si="12"/>
        <v>Feb</v>
      </c>
      <c r="R260" s="26" t="str">
        <f t="shared" si="13"/>
        <v>Wed</v>
      </c>
      <c r="S260">
        <f t="shared" si="14"/>
        <v>7</v>
      </c>
      <c r="T260" t="str" cm="1">
        <f t="array" ref="T260">_xlfn.IFS(S260&lt;=12,"Morning",S260&lt;=16,"Afternoon",S260&lt;=21,"Evening",S260&lt;=24,"Night")</f>
        <v>Morning</v>
      </c>
    </row>
    <row r="261" spans="1:20" x14ac:dyDescent="0.25">
      <c r="A261" s="31" t="s">
        <v>295</v>
      </c>
      <c r="B261" s="27">
        <v>65.94</v>
      </c>
      <c r="C261" s="28">
        <v>4</v>
      </c>
      <c r="D261" s="27">
        <v>13.188000000000001</v>
      </c>
      <c r="E261" s="27">
        <v>276.94799999999998</v>
      </c>
      <c r="F261" s="29">
        <v>43503</v>
      </c>
      <c r="G261" s="30">
        <v>11.338888888888899</v>
      </c>
      <c r="H261" s="31" t="s">
        <v>33</v>
      </c>
      <c r="I261" s="27">
        <v>263.76</v>
      </c>
      <c r="J261" s="32">
        <v>4.7619047620000003</v>
      </c>
      <c r="K261" s="33">
        <v>6.9</v>
      </c>
      <c r="L261" s="31" t="str">
        <f>VLOOKUP(A261,'Customer-details'!$A$1:$C$1001,2,FALSE)</f>
        <v>Member</v>
      </c>
      <c r="M261" s="31" t="str">
        <f>VLOOKUP(A261,'Customer-details'!$A$1:$C$1001,3,FALSE)</f>
        <v>Male</v>
      </c>
      <c r="N261" s="31" t="str">
        <f>VLOOKUP(A261,'Product-details'!$A$1:$B$1001,2,FALSE)</f>
        <v>Electronic accessories</v>
      </c>
      <c r="O261" s="31" t="str">
        <f>VLOOKUP(A261,'City-details'!$A$1:$C$1001,3,FALSE)</f>
        <v>Naypyitaw</v>
      </c>
      <c r="P261" s="31" t="str">
        <f>VLOOKUP(A261,'City-details'!$A$1:$C$1001,2,FALSE)</f>
        <v>C</v>
      </c>
      <c r="Q261" s="31" t="str">
        <f t="shared" si="12"/>
        <v>Feb</v>
      </c>
      <c r="R261" s="34" t="str">
        <f t="shared" si="13"/>
        <v>Thu</v>
      </c>
      <c r="S261">
        <f t="shared" si="14"/>
        <v>8</v>
      </c>
      <c r="T261" t="str" cm="1">
        <f t="array" ref="T261">_xlfn.IFS(S261&lt;=12,"Morning",S261&lt;=16,"Afternoon",S261&lt;=21,"Evening",S261&lt;=24,"Night")</f>
        <v>Morning</v>
      </c>
    </row>
    <row r="262" spans="1:20" x14ac:dyDescent="0.25">
      <c r="A262" s="23" t="s">
        <v>296</v>
      </c>
      <c r="B262" s="19">
        <v>75.06</v>
      </c>
      <c r="C262" s="20">
        <v>9</v>
      </c>
      <c r="D262" s="19">
        <v>33.777000000000001</v>
      </c>
      <c r="E262" s="19">
        <v>709.31700000000001</v>
      </c>
      <c r="F262" s="21">
        <v>43543</v>
      </c>
      <c r="G262" s="22">
        <v>11.380555555555601</v>
      </c>
      <c r="H262" s="23" t="s">
        <v>23</v>
      </c>
      <c r="I262" s="19">
        <v>675.54</v>
      </c>
      <c r="J262" s="24">
        <v>4.7619047620000003</v>
      </c>
      <c r="K262" s="25">
        <v>6.2</v>
      </c>
      <c r="L262" s="23" t="str">
        <f>VLOOKUP(A262,'Customer-details'!$A$1:$C$1001,2,FALSE)</f>
        <v>Normal</v>
      </c>
      <c r="M262" s="23" t="str">
        <f>VLOOKUP(A262,'Customer-details'!$A$1:$C$1001,3,FALSE)</f>
        <v>Female</v>
      </c>
      <c r="N262" s="23" t="str">
        <f>VLOOKUP(A262,'Product-details'!$A$1:$B$1001,2,FALSE)</f>
        <v>Electronic accessories</v>
      </c>
      <c r="O262" s="23" t="str">
        <f>VLOOKUP(A262,'City-details'!$A$1:$C$1001,3,FALSE)</f>
        <v>Yangon</v>
      </c>
      <c r="P262" s="23" t="str">
        <f>VLOOKUP(A262,'City-details'!$A$1:$C$1001,2,FALSE)</f>
        <v>A</v>
      </c>
      <c r="Q262" s="23" t="str">
        <f t="shared" si="12"/>
        <v>Mar</v>
      </c>
      <c r="R262" s="26" t="str">
        <f t="shared" si="13"/>
        <v>Tue</v>
      </c>
      <c r="S262">
        <f t="shared" si="14"/>
        <v>9</v>
      </c>
      <c r="T262" t="str" cm="1">
        <f t="array" ref="T262">_xlfn.IFS(S262&lt;=12,"Morning",S262&lt;=16,"Afternoon",S262&lt;=21,"Evening",S262&lt;=24,"Night")</f>
        <v>Morning</v>
      </c>
    </row>
    <row r="263" spans="1:20" x14ac:dyDescent="0.25">
      <c r="A263" s="31" t="s">
        <v>297</v>
      </c>
      <c r="B263" s="27">
        <v>16.45</v>
      </c>
      <c r="C263" s="28">
        <v>4</v>
      </c>
      <c r="D263" s="27">
        <v>3.29</v>
      </c>
      <c r="E263" s="27">
        <v>69.09</v>
      </c>
      <c r="F263" s="29">
        <v>43531</v>
      </c>
      <c r="G263" s="30">
        <v>11.422222222222199</v>
      </c>
      <c r="H263" s="31" t="s">
        <v>23</v>
      </c>
      <c r="I263" s="27">
        <v>65.8</v>
      </c>
      <c r="J263" s="32">
        <v>4.7619047620000003</v>
      </c>
      <c r="K263" s="33">
        <v>5.6</v>
      </c>
      <c r="L263" s="31" t="str">
        <f>VLOOKUP(A263,'Customer-details'!$A$1:$C$1001,2,FALSE)</f>
        <v>Normal</v>
      </c>
      <c r="M263" s="31" t="str">
        <f>VLOOKUP(A263,'Customer-details'!$A$1:$C$1001,3,FALSE)</f>
        <v>Female</v>
      </c>
      <c r="N263" s="31" t="str">
        <f>VLOOKUP(A263,'Product-details'!$A$1:$B$1001,2,FALSE)</f>
        <v>Fashion accessories</v>
      </c>
      <c r="O263" s="31" t="str">
        <f>VLOOKUP(A263,'City-details'!$A$1:$C$1001,3,FALSE)</f>
        <v>Naypyitaw</v>
      </c>
      <c r="P263" s="31" t="str">
        <f>VLOOKUP(A263,'City-details'!$A$1:$C$1001,2,FALSE)</f>
        <v>C</v>
      </c>
      <c r="Q263" s="31" t="str">
        <f t="shared" si="12"/>
        <v>Mar</v>
      </c>
      <c r="R263" s="34" t="str">
        <f t="shared" si="13"/>
        <v>Thu</v>
      </c>
      <c r="S263">
        <f t="shared" si="14"/>
        <v>10</v>
      </c>
      <c r="T263" t="str" cm="1">
        <f t="array" ref="T263">_xlfn.IFS(S263&lt;=12,"Morning",S263&lt;=16,"Afternoon",S263&lt;=21,"Evening",S263&lt;=24,"Night")</f>
        <v>Morning</v>
      </c>
    </row>
    <row r="264" spans="1:20" x14ac:dyDescent="0.25">
      <c r="A264" s="23" t="s">
        <v>298</v>
      </c>
      <c r="B264" s="19">
        <v>38.299999999999997</v>
      </c>
      <c r="C264" s="20">
        <v>4</v>
      </c>
      <c r="D264" s="19">
        <v>7.66</v>
      </c>
      <c r="E264" s="19">
        <v>160.86000000000001</v>
      </c>
      <c r="F264" s="21">
        <v>43537</v>
      </c>
      <c r="G264" s="22">
        <v>11.463888888888899</v>
      </c>
      <c r="H264" s="23" t="s">
        <v>29</v>
      </c>
      <c r="I264" s="19">
        <v>153.19999999999999</v>
      </c>
      <c r="J264" s="24">
        <v>4.7619047620000003</v>
      </c>
      <c r="K264" s="25">
        <v>5.7</v>
      </c>
      <c r="L264" s="23" t="str">
        <f>VLOOKUP(A264,'Customer-details'!$A$1:$C$1001,2,FALSE)</f>
        <v>Member</v>
      </c>
      <c r="M264" s="23" t="str">
        <f>VLOOKUP(A264,'Customer-details'!$A$1:$C$1001,3,FALSE)</f>
        <v>Female</v>
      </c>
      <c r="N264" s="23" t="str">
        <f>VLOOKUP(A264,'Product-details'!$A$1:$B$1001,2,FALSE)</f>
        <v>Fashion accessories</v>
      </c>
      <c r="O264" s="23" t="str">
        <f>VLOOKUP(A264,'City-details'!$A$1:$C$1001,3,FALSE)</f>
        <v>Mandalay</v>
      </c>
      <c r="P264" s="23" t="str">
        <f>VLOOKUP(A264,'City-details'!$A$1:$C$1001,2,FALSE)</f>
        <v>B</v>
      </c>
      <c r="Q264" s="23" t="str">
        <f t="shared" si="12"/>
        <v>Mar</v>
      </c>
      <c r="R264" s="26" t="str">
        <f t="shared" si="13"/>
        <v>Wed</v>
      </c>
      <c r="S264">
        <f t="shared" si="14"/>
        <v>11</v>
      </c>
      <c r="T264" t="str" cm="1">
        <f t="array" ref="T264">_xlfn.IFS(S264&lt;=12,"Morning",S264&lt;=16,"Afternoon",S264&lt;=21,"Evening",S264&lt;=24,"Night")</f>
        <v>Morning</v>
      </c>
    </row>
    <row r="265" spans="1:20" x14ac:dyDescent="0.25">
      <c r="A265" s="31" t="s">
        <v>299</v>
      </c>
      <c r="B265" s="27">
        <v>22.24</v>
      </c>
      <c r="C265" s="28">
        <v>10</v>
      </c>
      <c r="D265" s="27">
        <v>11.12</v>
      </c>
      <c r="E265" s="27">
        <v>233.52</v>
      </c>
      <c r="F265" s="29">
        <v>43505</v>
      </c>
      <c r="G265" s="30">
        <v>11.505555555555601</v>
      </c>
      <c r="H265" s="31" t="s">
        <v>29</v>
      </c>
      <c r="I265" s="27">
        <v>222.4</v>
      </c>
      <c r="J265" s="32">
        <v>4.7619047620000003</v>
      </c>
      <c r="K265" s="33">
        <v>4.2</v>
      </c>
      <c r="L265" s="31" t="str">
        <f>VLOOKUP(A265,'Customer-details'!$A$1:$C$1001,2,FALSE)</f>
        <v>Member</v>
      </c>
      <c r="M265" s="31" t="str">
        <f>VLOOKUP(A265,'Customer-details'!$A$1:$C$1001,3,FALSE)</f>
        <v>Female</v>
      </c>
      <c r="N265" s="31" t="str">
        <f>VLOOKUP(A265,'Product-details'!$A$1:$B$1001,2,FALSE)</f>
        <v>Sports and travel</v>
      </c>
      <c r="O265" s="31" t="str">
        <f>VLOOKUP(A265,'City-details'!$A$1:$C$1001,3,FALSE)</f>
        <v>Yangon</v>
      </c>
      <c r="P265" s="31" t="str">
        <f>VLOOKUP(A265,'City-details'!$A$1:$C$1001,2,FALSE)</f>
        <v>A</v>
      </c>
      <c r="Q265" s="31" t="str">
        <f t="shared" si="12"/>
        <v>Feb</v>
      </c>
      <c r="R265" s="34" t="str">
        <f t="shared" si="13"/>
        <v>Sat</v>
      </c>
      <c r="S265">
        <f t="shared" si="14"/>
        <v>12</v>
      </c>
      <c r="T265" t="str" cm="1">
        <f t="array" ref="T265">_xlfn.IFS(S265&lt;=12,"Morning",S265&lt;=16,"Afternoon",S265&lt;=21,"Evening",S265&lt;=24,"Night")</f>
        <v>Morning</v>
      </c>
    </row>
    <row r="266" spans="1:20" x14ac:dyDescent="0.25">
      <c r="A266" s="23" t="s">
        <v>300</v>
      </c>
      <c r="B266" s="19">
        <v>54.45</v>
      </c>
      <c r="C266" s="20">
        <v>1</v>
      </c>
      <c r="D266" s="19">
        <v>2.7225000000000001</v>
      </c>
      <c r="E266" s="19">
        <v>57.172499999999999</v>
      </c>
      <c r="F266" s="21">
        <v>43522</v>
      </c>
      <c r="G266" s="22">
        <v>11.547222222222199</v>
      </c>
      <c r="H266" s="23" t="s">
        <v>23</v>
      </c>
      <c r="I266" s="19">
        <v>54.45</v>
      </c>
      <c r="J266" s="24">
        <v>4.7619047620000003</v>
      </c>
      <c r="K266" s="25">
        <v>7.9</v>
      </c>
      <c r="L266" s="23" t="str">
        <f>VLOOKUP(A266,'Customer-details'!$A$1:$C$1001,2,FALSE)</f>
        <v>Normal</v>
      </c>
      <c r="M266" s="23" t="str">
        <f>VLOOKUP(A266,'Customer-details'!$A$1:$C$1001,3,FALSE)</f>
        <v>Male</v>
      </c>
      <c r="N266" s="23" t="str">
        <f>VLOOKUP(A266,'Product-details'!$A$1:$B$1001,2,FALSE)</f>
        <v>Sports and travel</v>
      </c>
      <c r="O266" s="23" t="str">
        <f>VLOOKUP(A266,'City-details'!$A$1:$C$1001,3,FALSE)</f>
        <v>Mandalay</v>
      </c>
      <c r="P266" s="23" t="str">
        <f>VLOOKUP(A266,'City-details'!$A$1:$C$1001,2,FALSE)</f>
        <v>B</v>
      </c>
      <c r="Q266" s="23" t="str">
        <f t="shared" si="12"/>
        <v>Feb</v>
      </c>
      <c r="R266" s="26" t="str">
        <f t="shared" si="13"/>
        <v>Tue</v>
      </c>
      <c r="S266">
        <f t="shared" si="14"/>
        <v>13</v>
      </c>
      <c r="T266" t="str" cm="1">
        <f t="array" ref="T266">_xlfn.IFS(S266&lt;=12,"Morning",S266&lt;=16,"Afternoon",S266&lt;=21,"Evening",S266&lt;=24,"Night")</f>
        <v>Afternoon</v>
      </c>
    </row>
    <row r="267" spans="1:20" x14ac:dyDescent="0.25">
      <c r="A267" s="31" t="s">
        <v>301</v>
      </c>
      <c r="B267" s="27">
        <v>98.4</v>
      </c>
      <c r="C267" s="28">
        <v>7</v>
      </c>
      <c r="D267" s="27">
        <v>34.44</v>
      </c>
      <c r="E267" s="27">
        <v>723.24</v>
      </c>
      <c r="F267" s="29">
        <v>43536</v>
      </c>
      <c r="G267" s="30">
        <v>11.588888888888899</v>
      </c>
      <c r="H267" s="31" t="s">
        <v>33</v>
      </c>
      <c r="I267" s="27">
        <v>688.8</v>
      </c>
      <c r="J267" s="32">
        <v>4.7619047620000003</v>
      </c>
      <c r="K267" s="33">
        <v>8.6999999999999993</v>
      </c>
      <c r="L267" s="31" t="str">
        <f>VLOOKUP(A267,'Customer-details'!$A$1:$C$1001,2,FALSE)</f>
        <v>Member</v>
      </c>
      <c r="M267" s="31" t="str">
        <f>VLOOKUP(A267,'Customer-details'!$A$1:$C$1001,3,FALSE)</f>
        <v>Female</v>
      </c>
      <c r="N267" s="31" t="str">
        <f>VLOOKUP(A267,'Product-details'!$A$1:$B$1001,2,FALSE)</f>
        <v>Sports and travel</v>
      </c>
      <c r="O267" s="31" t="str">
        <f>VLOOKUP(A267,'City-details'!$A$1:$C$1001,3,FALSE)</f>
        <v>Yangon</v>
      </c>
      <c r="P267" s="31" t="str">
        <f>VLOOKUP(A267,'City-details'!$A$1:$C$1001,2,FALSE)</f>
        <v>A</v>
      </c>
      <c r="Q267" s="31" t="str">
        <f t="shared" si="12"/>
        <v>Mar</v>
      </c>
      <c r="R267" s="34" t="str">
        <f t="shared" si="13"/>
        <v>Tue</v>
      </c>
      <c r="S267">
        <f t="shared" si="14"/>
        <v>14</v>
      </c>
      <c r="T267" t="str" cm="1">
        <f t="array" ref="T267">_xlfn.IFS(S267&lt;=12,"Morning",S267&lt;=16,"Afternoon",S267&lt;=21,"Evening",S267&lt;=24,"Night")</f>
        <v>Afternoon</v>
      </c>
    </row>
    <row r="268" spans="1:20" x14ac:dyDescent="0.25">
      <c r="A268" s="23" t="s">
        <v>302</v>
      </c>
      <c r="B268" s="19">
        <v>35.47</v>
      </c>
      <c r="C268" s="20">
        <v>4</v>
      </c>
      <c r="D268" s="19">
        <v>7.0940000000000003</v>
      </c>
      <c r="E268" s="19">
        <v>148.97399999999999</v>
      </c>
      <c r="F268" s="21">
        <v>43538</v>
      </c>
      <c r="G268" s="22">
        <v>11.630555555555601</v>
      </c>
      <c r="H268" s="23" t="s">
        <v>33</v>
      </c>
      <c r="I268" s="19">
        <v>141.88</v>
      </c>
      <c r="J268" s="24">
        <v>4.7619047620000003</v>
      </c>
      <c r="K268" s="25">
        <v>6.9</v>
      </c>
      <c r="L268" s="23" t="str">
        <f>VLOOKUP(A268,'Customer-details'!$A$1:$C$1001,2,FALSE)</f>
        <v>Normal</v>
      </c>
      <c r="M268" s="23" t="str">
        <f>VLOOKUP(A268,'Customer-details'!$A$1:$C$1001,3,FALSE)</f>
        <v>Male</v>
      </c>
      <c r="N268" s="23" t="str">
        <f>VLOOKUP(A268,'Product-details'!$A$1:$B$1001,2,FALSE)</f>
        <v>Home and lifestyle</v>
      </c>
      <c r="O268" s="23" t="str">
        <f>VLOOKUP(A268,'City-details'!$A$1:$C$1001,3,FALSE)</f>
        <v>Naypyitaw</v>
      </c>
      <c r="P268" s="23" t="str">
        <f>VLOOKUP(A268,'City-details'!$A$1:$C$1001,2,FALSE)</f>
        <v>C</v>
      </c>
      <c r="Q268" s="23" t="str">
        <f t="shared" si="12"/>
        <v>Mar</v>
      </c>
      <c r="R268" s="26" t="str">
        <f t="shared" si="13"/>
        <v>Thu</v>
      </c>
      <c r="S268">
        <f t="shared" si="14"/>
        <v>15</v>
      </c>
      <c r="T268" t="str" cm="1">
        <f t="array" ref="T268">_xlfn.IFS(S268&lt;=12,"Morning",S268&lt;=16,"Afternoon",S268&lt;=21,"Evening",S268&lt;=24,"Night")</f>
        <v>Afternoon</v>
      </c>
    </row>
    <row r="269" spans="1:20" x14ac:dyDescent="0.25">
      <c r="A269" s="31" t="s">
        <v>303</v>
      </c>
      <c r="B269" s="27">
        <v>74.599999999999994</v>
      </c>
      <c r="C269" s="28">
        <v>10</v>
      </c>
      <c r="D269" s="27">
        <v>37.299999999999997</v>
      </c>
      <c r="E269" s="27">
        <v>783.3</v>
      </c>
      <c r="F269" s="29">
        <v>43473</v>
      </c>
      <c r="G269" s="30">
        <v>11.672222222222199</v>
      </c>
      <c r="H269" s="31" t="s">
        <v>29</v>
      </c>
      <c r="I269" s="27">
        <v>746</v>
      </c>
      <c r="J269" s="32">
        <v>4.7619047620000003</v>
      </c>
      <c r="K269" s="33">
        <v>9.5</v>
      </c>
      <c r="L269" s="31" t="str">
        <f>VLOOKUP(A269,'Customer-details'!$A$1:$C$1001,2,FALSE)</f>
        <v>Member</v>
      </c>
      <c r="M269" s="31" t="str">
        <f>VLOOKUP(A269,'Customer-details'!$A$1:$C$1001,3,FALSE)</f>
        <v>Female</v>
      </c>
      <c r="N269" s="31" t="str">
        <f>VLOOKUP(A269,'Product-details'!$A$1:$B$1001,2,FALSE)</f>
        <v>Food and beverages</v>
      </c>
      <c r="O269" s="31" t="str">
        <f>VLOOKUP(A269,'City-details'!$A$1:$C$1001,3,FALSE)</f>
        <v>Mandalay</v>
      </c>
      <c r="P269" s="31" t="str">
        <f>VLOOKUP(A269,'City-details'!$A$1:$C$1001,2,FALSE)</f>
        <v>B</v>
      </c>
      <c r="Q269" s="31" t="str">
        <f t="shared" si="12"/>
        <v>Jan</v>
      </c>
      <c r="R269" s="34" t="str">
        <f t="shared" si="13"/>
        <v>Tue</v>
      </c>
      <c r="S269">
        <f t="shared" si="14"/>
        <v>16</v>
      </c>
      <c r="T269" t="str" cm="1">
        <f t="array" ref="T269">_xlfn.IFS(S269&lt;=12,"Morning",S269&lt;=16,"Afternoon",S269&lt;=21,"Evening",S269&lt;=24,"Night")</f>
        <v>Afternoon</v>
      </c>
    </row>
    <row r="270" spans="1:20" x14ac:dyDescent="0.25">
      <c r="A270" s="23" t="s">
        <v>304</v>
      </c>
      <c r="B270" s="19">
        <v>70.739999999999995</v>
      </c>
      <c r="C270" s="20">
        <v>4</v>
      </c>
      <c r="D270" s="19">
        <v>14.148</v>
      </c>
      <c r="E270" s="19">
        <v>297.108</v>
      </c>
      <c r="F270" s="21">
        <v>43470</v>
      </c>
      <c r="G270" s="22">
        <v>11.713888888888899</v>
      </c>
      <c r="H270" s="23" t="s">
        <v>33</v>
      </c>
      <c r="I270" s="19">
        <v>282.95999999999998</v>
      </c>
      <c r="J270" s="24">
        <v>4.7619047620000003</v>
      </c>
      <c r="K270" s="25">
        <v>4.4000000000000004</v>
      </c>
      <c r="L270" s="23" t="str">
        <f>VLOOKUP(A270,'Customer-details'!$A$1:$C$1001,2,FALSE)</f>
        <v>Member</v>
      </c>
      <c r="M270" s="23" t="str">
        <f>VLOOKUP(A270,'Customer-details'!$A$1:$C$1001,3,FALSE)</f>
        <v>Male</v>
      </c>
      <c r="N270" s="23" t="str">
        <f>VLOOKUP(A270,'Product-details'!$A$1:$B$1001,2,FALSE)</f>
        <v>Home and lifestyle</v>
      </c>
      <c r="O270" s="23" t="str">
        <f>VLOOKUP(A270,'City-details'!$A$1:$C$1001,3,FALSE)</f>
        <v>Yangon</v>
      </c>
      <c r="P270" s="23" t="str">
        <f>VLOOKUP(A270,'City-details'!$A$1:$C$1001,2,FALSE)</f>
        <v>A</v>
      </c>
      <c r="Q270" s="23" t="str">
        <f t="shared" si="12"/>
        <v>Jan</v>
      </c>
      <c r="R270" s="26" t="str">
        <f t="shared" si="13"/>
        <v>Sat</v>
      </c>
      <c r="S270">
        <f t="shared" si="14"/>
        <v>17</v>
      </c>
      <c r="T270" t="str" cm="1">
        <f t="array" ref="T270">_xlfn.IFS(S270&lt;=12,"Morning",S270&lt;=16,"Afternoon",S270&lt;=21,"Evening",S270&lt;=24,"Night")</f>
        <v>Evening</v>
      </c>
    </row>
    <row r="271" spans="1:20" x14ac:dyDescent="0.25">
      <c r="A271" s="31" t="s">
        <v>305</v>
      </c>
      <c r="B271" s="27">
        <v>35.54</v>
      </c>
      <c r="C271" s="28">
        <v>10</v>
      </c>
      <c r="D271" s="27">
        <v>17.77</v>
      </c>
      <c r="E271" s="27">
        <v>373.17</v>
      </c>
      <c r="F271" s="29">
        <v>43469</v>
      </c>
      <c r="G271" s="30">
        <v>11.755555555555601</v>
      </c>
      <c r="H271" s="31" t="s">
        <v>23</v>
      </c>
      <c r="I271" s="27">
        <v>355.4</v>
      </c>
      <c r="J271" s="32">
        <v>4.7619047620000003</v>
      </c>
      <c r="K271" s="33">
        <v>7</v>
      </c>
      <c r="L271" s="31" t="str">
        <f>VLOOKUP(A271,'Customer-details'!$A$1:$C$1001,2,FALSE)</f>
        <v>Member</v>
      </c>
      <c r="M271" s="31" t="str">
        <f>VLOOKUP(A271,'Customer-details'!$A$1:$C$1001,3,FALSE)</f>
        <v>Female</v>
      </c>
      <c r="N271" s="31" t="str">
        <f>VLOOKUP(A271,'Product-details'!$A$1:$B$1001,2,FALSE)</f>
        <v>Home and lifestyle</v>
      </c>
      <c r="O271" s="31" t="str">
        <f>VLOOKUP(A271,'City-details'!$A$1:$C$1001,3,FALSE)</f>
        <v>Yangon</v>
      </c>
      <c r="P271" s="31" t="str">
        <f>VLOOKUP(A271,'City-details'!$A$1:$C$1001,2,FALSE)</f>
        <v>A</v>
      </c>
      <c r="Q271" s="31" t="str">
        <f t="shared" si="12"/>
        <v>Jan</v>
      </c>
      <c r="R271" s="34" t="str">
        <f t="shared" si="13"/>
        <v>Fri</v>
      </c>
      <c r="S271">
        <f t="shared" si="14"/>
        <v>18</v>
      </c>
      <c r="T271" t="str" cm="1">
        <f t="array" ref="T271">_xlfn.IFS(S271&lt;=12,"Morning",S271&lt;=16,"Afternoon",S271&lt;=21,"Evening",S271&lt;=24,"Night")</f>
        <v>Evening</v>
      </c>
    </row>
    <row r="272" spans="1:20" x14ac:dyDescent="0.25">
      <c r="A272" s="23" t="s">
        <v>306</v>
      </c>
      <c r="B272" s="19">
        <v>67.430000000000007</v>
      </c>
      <c r="C272" s="20">
        <v>5</v>
      </c>
      <c r="D272" s="19">
        <v>16.857500000000002</v>
      </c>
      <c r="E272" s="19">
        <v>354.00749999999999</v>
      </c>
      <c r="F272" s="21">
        <v>43530</v>
      </c>
      <c r="G272" s="22">
        <v>11.797222222222199</v>
      </c>
      <c r="H272" s="23" t="s">
        <v>23</v>
      </c>
      <c r="I272" s="19">
        <v>337.15</v>
      </c>
      <c r="J272" s="24">
        <v>4.7619047620000003</v>
      </c>
      <c r="K272" s="25">
        <v>6.3</v>
      </c>
      <c r="L272" s="23" t="str">
        <f>VLOOKUP(A272,'Customer-details'!$A$1:$C$1001,2,FALSE)</f>
        <v>Normal</v>
      </c>
      <c r="M272" s="23" t="str">
        <f>VLOOKUP(A272,'Customer-details'!$A$1:$C$1001,3,FALSE)</f>
        <v>Female</v>
      </c>
      <c r="N272" s="23" t="str">
        <f>VLOOKUP(A272,'Product-details'!$A$1:$B$1001,2,FALSE)</f>
        <v>Sports and travel</v>
      </c>
      <c r="O272" s="23" t="str">
        <f>VLOOKUP(A272,'City-details'!$A$1:$C$1001,3,FALSE)</f>
        <v>Mandalay</v>
      </c>
      <c r="P272" s="23" t="str">
        <f>VLOOKUP(A272,'City-details'!$A$1:$C$1001,2,FALSE)</f>
        <v>B</v>
      </c>
      <c r="Q272" s="23" t="str">
        <f t="shared" si="12"/>
        <v>Mar</v>
      </c>
      <c r="R272" s="26" t="str">
        <f t="shared" si="13"/>
        <v>Wed</v>
      </c>
      <c r="S272">
        <f t="shared" si="14"/>
        <v>19</v>
      </c>
      <c r="T272" t="str" cm="1">
        <f t="array" ref="T272">_xlfn.IFS(S272&lt;=12,"Morning",S272&lt;=16,"Afternoon",S272&lt;=21,"Evening",S272&lt;=24,"Night")</f>
        <v>Evening</v>
      </c>
    </row>
    <row r="273" spans="1:20" x14ac:dyDescent="0.25">
      <c r="A273" s="31" t="s">
        <v>307</v>
      </c>
      <c r="B273" s="27">
        <v>21.12</v>
      </c>
      <c r="C273" s="28">
        <v>2</v>
      </c>
      <c r="D273" s="27">
        <v>2.1120000000000001</v>
      </c>
      <c r="E273" s="27">
        <v>44.351999999999997</v>
      </c>
      <c r="F273" s="29">
        <v>43468</v>
      </c>
      <c r="G273" s="30">
        <v>11.838888888888899</v>
      </c>
      <c r="H273" s="31" t="s">
        <v>29</v>
      </c>
      <c r="I273" s="27">
        <v>42.24</v>
      </c>
      <c r="J273" s="32">
        <v>4.7619047620000003</v>
      </c>
      <c r="K273" s="33">
        <v>9.6999999999999993</v>
      </c>
      <c r="L273" s="31" t="str">
        <f>VLOOKUP(A273,'Customer-details'!$A$1:$C$1001,2,FALSE)</f>
        <v>Member</v>
      </c>
      <c r="M273" s="31" t="str">
        <f>VLOOKUP(A273,'Customer-details'!$A$1:$C$1001,3,FALSE)</f>
        <v>Female</v>
      </c>
      <c r="N273" s="31" t="str">
        <f>VLOOKUP(A273,'Product-details'!$A$1:$B$1001,2,FALSE)</f>
        <v>Health and beauty</v>
      </c>
      <c r="O273" s="31" t="str">
        <f>VLOOKUP(A273,'City-details'!$A$1:$C$1001,3,FALSE)</f>
        <v>Naypyitaw</v>
      </c>
      <c r="P273" s="31" t="str">
        <f>VLOOKUP(A273,'City-details'!$A$1:$C$1001,2,FALSE)</f>
        <v>C</v>
      </c>
      <c r="Q273" s="31" t="str">
        <f t="shared" si="12"/>
        <v>Jan</v>
      </c>
      <c r="R273" s="34" t="str">
        <f t="shared" si="13"/>
        <v>Thu</v>
      </c>
      <c r="S273">
        <f t="shared" si="14"/>
        <v>20</v>
      </c>
      <c r="T273" t="str" cm="1">
        <f t="array" ref="T273">_xlfn.IFS(S273&lt;=12,"Morning",S273&lt;=16,"Afternoon",S273&lt;=21,"Evening",S273&lt;=24,"Night")</f>
        <v>Evening</v>
      </c>
    </row>
    <row r="274" spans="1:20" x14ac:dyDescent="0.25">
      <c r="A274" s="23" t="s">
        <v>308</v>
      </c>
      <c r="B274" s="19">
        <v>21.54</v>
      </c>
      <c r="C274" s="20">
        <v>9</v>
      </c>
      <c r="D274" s="19">
        <v>9.6929999999999996</v>
      </c>
      <c r="E274" s="19">
        <v>203.553</v>
      </c>
      <c r="F274" s="21">
        <v>43472</v>
      </c>
      <c r="G274" s="22">
        <v>11.880555555555601</v>
      </c>
      <c r="H274" s="23" t="s">
        <v>33</v>
      </c>
      <c r="I274" s="19">
        <v>193.86</v>
      </c>
      <c r="J274" s="24">
        <v>4.7619047620000003</v>
      </c>
      <c r="K274" s="25">
        <v>8.8000000000000007</v>
      </c>
      <c r="L274" s="23" t="str">
        <f>VLOOKUP(A274,'Customer-details'!$A$1:$C$1001,2,FALSE)</f>
        <v>Member</v>
      </c>
      <c r="M274" s="23" t="str">
        <f>VLOOKUP(A274,'Customer-details'!$A$1:$C$1001,3,FALSE)</f>
        <v>Female</v>
      </c>
      <c r="N274" s="23" t="str">
        <f>VLOOKUP(A274,'Product-details'!$A$1:$B$1001,2,FALSE)</f>
        <v>Home and lifestyle</v>
      </c>
      <c r="O274" s="23" t="str">
        <f>VLOOKUP(A274,'City-details'!$A$1:$C$1001,3,FALSE)</f>
        <v>Yangon</v>
      </c>
      <c r="P274" s="23" t="str">
        <f>VLOOKUP(A274,'City-details'!$A$1:$C$1001,2,FALSE)</f>
        <v>A</v>
      </c>
      <c r="Q274" s="23" t="str">
        <f t="shared" si="12"/>
        <v>Jan</v>
      </c>
      <c r="R274" s="26" t="str">
        <f t="shared" si="13"/>
        <v>Mon</v>
      </c>
      <c r="S274">
        <f t="shared" si="14"/>
        <v>21</v>
      </c>
      <c r="T274" t="str" cm="1">
        <f t="array" ref="T274">_xlfn.IFS(S274&lt;=12,"Morning",S274&lt;=16,"Afternoon",S274&lt;=21,"Evening",S274&lt;=24,"Night")</f>
        <v>Evening</v>
      </c>
    </row>
    <row r="275" spans="1:20" x14ac:dyDescent="0.25">
      <c r="A275" s="31" t="s">
        <v>309</v>
      </c>
      <c r="B275" s="27">
        <v>12.03</v>
      </c>
      <c r="C275" s="28">
        <v>2</v>
      </c>
      <c r="D275" s="27">
        <v>1.2030000000000001</v>
      </c>
      <c r="E275" s="27">
        <v>25.263000000000002</v>
      </c>
      <c r="F275" s="29">
        <v>43492</v>
      </c>
      <c r="G275" s="30">
        <v>11.922222222222199</v>
      </c>
      <c r="H275" s="31" t="s">
        <v>29</v>
      </c>
      <c r="I275" s="27">
        <v>24.06</v>
      </c>
      <c r="J275" s="32">
        <v>4.7619047620000003</v>
      </c>
      <c r="K275" s="33">
        <v>5.0999999999999996</v>
      </c>
      <c r="L275" s="31" t="str">
        <f>VLOOKUP(A275,'Customer-details'!$A$1:$C$1001,2,FALSE)</f>
        <v>Normal</v>
      </c>
      <c r="M275" s="31" t="str">
        <f>VLOOKUP(A275,'Customer-details'!$A$1:$C$1001,3,FALSE)</f>
        <v>Female</v>
      </c>
      <c r="N275" s="31" t="str">
        <f>VLOOKUP(A275,'Product-details'!$A$1:$B$1001,2,FALSE)</f>
        <v>Home and lifestyle</v>
      </c>
      <c r="O275" s="31" t="str">
        <f>VLOOKUP(A275,'City-details'!$A$1:$C$1001,3,FALSE)</f>
        <v>Yangon</v>
      </c>
      <c r="P275" s="31" t="str">
        <f>VLOOKUP(A275,'City-details'!$A$1:$C$1001,2,FALSE)</f>
        <v>A</v>
      </c>
      <c r="Q275" s="31" t="str">
        <f t="shared" si="12"/>
        <v>Jan</v>
      </c>
      <c r="R275" s="34" t="str">
        <f t="shared" si="13"/>
        <v>Sun</v>
      </c>
      <c r="S275">
        <f t="shared" si="14"/>
        <v>22</v>
      </c>
      <c r="T275" t="str" cm="1">
        <f t="array" ref="T275">_xlfn.IFS(S275&lt;=12,"Morning",S275&lt;=16,"Afternoon",S275&lt;=21,"Evening",S275&lt;=24,"Night")</f>
        <v>Night</v>
      </c>
    </row>
    <row r="276" spans="1:20" x14ac:dyDescent="0.25">
      <c r="A276" s="23" t="s">
        <v>310</v>
      </c>
      <c r="B276" s="19">
        <v>99.71</v>
      </c>
      <c r="C276" s="20">
        <v>6</v>
      </c>
      <c r="D276" s="19">
        <v>29.913</v>
      </c>
      <c r="E276" s="19">
        <v>628.173</v>
      </c>
      <c r="F276" s="21">
        <v>43522</v>
      </c>
      <c r="G276" s="22">
        <v>11.963888888888899</v>
      </c>
      <c r="H276" s="23" t="s">
        <v>23</v>
      </c>
      <c r="I276" s="19">
        <v>598.26</v>
      </c>
      <c r="J276" s="24">
        <v>4.7619047620000003</v>
      </c>
      <c r="K276" s="25">
        <v>7.9</v>
      </c>
      <c r="L276" s="23" t="str">
        <f>VLOOKUP(A276,'Customer-details'!$A$1:$C$1001,2,FALSE)</f>
        <v>Normal</v>
      </c>
      <c r="M276" s="23" t="str">
        <f>VLOOKUP(A276,'Customer-details'!$A$1:$C$1001,3,FALSE)</f>
        <v>Female</v>
      </c>
      <c r="N276" s="23" t="str">
        <f>VLOOKUP(A276,'Product-details'!$A$1:$B$1001,2,FALSE)</f>
        <v>Health and beauty</v>
      </c>
      <c r="O276" s="23" t="str">
        <f>VLOOKUP(A276,'City-details'!$A$1:$C$1001,3,FALSE)</f>
        <v>Mandalay</v>
      </c>
      <c r="P276" s="23" t="str">
        <f>VLOOKUP(A276,'City-details'!$A$1:$C$1001,2,FALSE)</f>
        <v>B</v>
      </c>
      <c r="Q276" s="23" t="str">
        <f t="shared" si="12"/>
        <v>Feb</v>
      </c>
      <c r="R276" s="26" t="str">
        <f t="shared" si="13"/>
        <v>Tue</v>
      </c>
      <c r="S276">
        <f t="shared" si="14"/>
        <v>23</v>
      </c>
      <c r="T276" t="str" cm="1">
        <f t="array" ref="T276">_xlfn.IFS(S276&lt;=12,"Morning",S276&lt;=16,"Afternoon",S276&lt;=21,"Evening",S276&lt;=24,"Night")</f>
        <v>Night</v>
      </c>
    </row>
    <row r="277" spans="1:20" x14ac:dyDescent="0.25">
      <c r="A277" s="31" t="s">
        <v>311</v>
      </c>
      <c r="B277" s="27">
        <v>47.97</v>
      </c>
      <c r="C277" s="28">
        <v>7</v>
      </c>
      <c r="D277" s="27">
        <v>16.7895</v>
      </c>
      <c r="E277" s="27">
        <v>352.5795</v>
      </c>
      <c r="F277" s="29">
        <v>43472</v>
      </c>
      <c r="G277" s="30">
        <v>12.005555555555601</v>
      </c>
      <c r="H277" s="31" t="s">
        <v>29</v>
      </c>
      <c r="I277" s="27">
        <v>335.79</v>
      </c>
      <c r="J277" s="32">
        <v>4.7619047620000003</v>
      </c>
      <c r="K277" s="33">
        <v>6.2</v>
      </c>
      <c r="L277" s="31" t="str">
        <f>VLOOKUP(A277,'Customer-details'!$A$1:$C$1001,2,FALSE)</f>
        <v>Normal</v>
      </c>
      <c r="M277" s="31" t="str">
        <f>VLOOKUP(A277,'Customer-details'!$A$1:$C$1001,3,FALSE)</f>
        <v>Male</v>
      </c>
      <c r="N277" s="31" t="str">
        <f>VLOOKUP(A277,'Product-details'!$A$1:$B$1001,2,FALSE)</f>
        <v>Fashion accessories</v>
      </c>
      <c r="O277" s="31" t="str">
        <f>VLOOKUP(A277,'City-details'!$A$1:$C$1001,3,FALSE)</f>
        <v>Mandalay</v>
      </c>
      <c r="P277" s="31" t="str">
        <f>VLOOKUP(A277,'City-details'!$A$1:$C$1001,2,FALSE)</f>
        <v>B</v>
      </c>
      <c r="Q277" s="31" t="str">
        <f t="shared" si="12"/>
        <v>Jan</v>
      </c>
      <c r="R277" s="34" t="str">
        <f t="shared" si="13"/>
        <v>Mon</v>
      </c>
      <c r="S277">
        <f t="shared" si="14"/>
        <v>0</v>
      </c>
      <c r="T277" t="str" cm="1">
        <f t="array" ref="T277">_xlfn.IFS(S277&lt;=12,"Morning",S277&lt;=16,"Afternoon",S277&lt;=21,"Evening",S277&lt;=24,"Night")</f>
        <v>Morning</v>
      </c>
    </row>
    <row r="278" spans="1:20" x14ac:dyDescent="0.25">
      <c r="A278" s="23" t="s">
        <v>312</v>
      </c>
      <c r="B278" s="19">
        <v>21.82</v>
      </c>
      <c r="C278" s="20">
        <v>10</v>
      </c>
      <c r="D278" s="19">
        <v>10.91</v>
      </c>
      <c r="E278" s="19">
        <v>229.11</v>
      </c>
      <c r="F278" s="21">
        <v>43472</v>
      </c>
      <c r="G278" s="22">
        <v>12.047222222222199</v>
      </c>
      <c r="H278" s="23" t="s">
        <v>29</v>
      </c>
      <c r="I278" s="19">
        <v>218.2</v>
      </c>
      <c r="J278" s="24">
        <v>4.7619047620000003</v>
      </c>
      <c r="K278" s="25">
        <v>7.1</v>
      </c>
      <c r="L278" s="23" t="str">
        <f>VLOOKUP(A278,'Customer-details'!$A$1:$C$1001,2,FALSE)</f>
        <v>Member</v>
      </c>
      <c r="M278" s="23" t="str">
        <f>VLOOKUP(A278,'Customer-details'!$A$1:$C$1001,3,FALSE)</f>
        <v>Female</v>
      </c>
      <c r="N278" s="23" t="str">
        <f>VLOOKUP(A278,'Product-details'!$A$1:$B$1001,2,FALSE)</f>
        <v>Home and lifestyle</v>
      </c>
      <c r="O278" s="23" t="str">
        <f>VLOOKUP(A278,'City-details'!$A$1:$C$1001,3,FALSE)</f>
        <v>Naypyitaw</v>
      </c>
      <c r="P278" s="23" t="str">
        <f>VLOOKUP(A278,'City-details'!$A$1:$C$1001,2,FALSE)</f>
        <v>C</v>
      </c>
      <c r="Q278" s="23" t="str">
        <f t="shared" si="12"/>
        <v>Jan</v>
      </c>
      <c r="R278" s="26" t="str">
        <f t="shared" si="13"/>
        <v>Mon</v>
      </c>
      <c r="S278">
        <f t="shared" si="14"/>
        <v>1</v>
      </c>
      <c r="T278" t="str" cm="1">
        <f t="array" ref="T278">_xlfn.IFS(S278&lt;=12,"Morning",S278&lt;=16,"Afternoon",S278&lt;=21,"Evening",S278&lt;=24,"Night")</f>
        <v>Morning</v>
      </c>
    </row>
    <row r="279" spans="1:20" x14ac:dyDescent="0.25">
      <c r="A279" s="31" t="s">
        <v>313</v>
      </c>
      <c r="B279" s="27">
        <v>95.42</v>
      </c>
      <c r="C279" s="28">
        <v>4</v>
      </c>
      <c r="D279" s="27">
        <v>19.084</v>
      </c>
      <c r="E279" s="27">
        <v>400.76400000000001</v>
      </c>
      <c r="F279" s="29">
        <v>43498</v>
      </c>
      <c r="G279" s="30">
        <v>12.088888888888899</v>
      </c>
      <c r="H279" s="31" t="s">
        <v>23</v>
      </c>
      <c r="I279" s="27">
        <v>381.68</v>
      </c>
      <c r="J279" s="32">
        <v>4.7619047620000003</v>
      </c>
      <c r="K279" s="33">
        <v>6.4</v>
      </c>
      <c r="L279" s="31" t="str">
        <f>VLOOKUP(A279,'Customer-details'!$A$1:$C$1001,2,FALSE)</f>
        <v>Normal</v>
      </c>
      <c r="M279" s="31" t="str">
        <f>VLOOKUP(A279,'Customer-details'!$A$1:$C$1001,3,FALSE)</f>
        <v>Female</v>
      </c>
      <c r="N279" s="31" t="str">
        <f>VLOOKUP(A279,'Product-details'!$A$1:$B$1001,2,FALSE)</f>
        <v>Fashion accessories</v>
      </c>
      <c r="O279" s="31" t="str">
        <f>VLOOKUP(A279,'City-details'!$A$1:$C$1001,3,FALSE)</f>
        <v>Naypyitaw</v>
      </c>
      <c r="P279" s="31" t="str">
        <f>VLOOKUP(A279,'City-details'!$A$1:$C$1001,2,FALSE)</f>
        <v>C</v>
      </c>
      <c r="Q279" s="31" t="str">
        <f t="shared" si="12"/>
        <v>Feb</v>
      </c>
      <c r="R279" s="34" t="str">
        <f t="shared" si="13"/>
        <v>Sat</v>
      </c>
      <c r="S279">
        <f t="shared" si="14"/>
        <v>2</v>
      </c>
      <c r="T279" t="str" cm="1">
        <f t="array" ref="T279">_xlfn.IFS(S279&lt;=12,"Morning",S279&lt;=16,"Afternoon",S279&lt;=21,"Evening",S279&lt;=24,"Night")</f>
        <v>Morning</v>
      </c>
    </row>
    <row r="280" spans="1:20" x14ac:dyDescent="0.25">
      <c r="A280" s="23" t="s">
        <v>314</v>
      </c>
      <c r="B280" s="19">
        <v>70.989999999999995</v>
      </c>
      <c r="C280" s="20">
        <v>10</v>
      </c>
      <c r="D280" s="19">
        <v>35.494999999999997</v>
      </c>
      <c r="E280" s="19">
        <v>745.39499999999998</v>
      </c>
      <c r="F280" s="21">
        <v>43544</v>
      </c>
      <c r="G280" s="22">
        <v>12.130555555555601</v>
      </c>
      <c r="H280" s="23" t="s">
        <v>29</v>
      </c>
      <c r="I280" s="19">
        <v>709.9</v>
      </c>
      <c r="J280" s="24">
        <v>4.7619047620000003</v>
      </c>
      <c r="K280" s="25">
        <v>5.7</v>
      </c>
      <c r="L280" s="23" t="str">
        <f>VLOOKUP(A280,'Customer-details'!$A$1:$C$1001,2,FALSE)</f>
        <v>Member</v>
      </c>
      <c r="M280" s="23" t="str">
        <f>VLOOKUP(A280,'Customer-details'!$A$1:$C$1001,3,FALSE)</f>
        <v>Male</v>
      </c>
      <c r="N280" s="23" t="str">
        <f>VLOOKUP(A280,'Product-details'!$A$1:$B$1001,2,FALSE)</f>
        <v>Fashion accessories</v>
      </c>
      <c r="O280" s="23" t="str">
        <f>VLOOKUP(A280,'City-details'!$A$1:$C$1001,3,FALSE)</f>
        <v>Naypyitaw</v>
      </c>
      <c r="P280" s="23" t="str">
        <f>VLOOKUP(A280,'City-details'!$A$1:$C$1001,2,FALSE)</f>
        <v>C</v>
      </c>
      <c r="Q280" s="23" t="str">
        <f t="shared" si="12"/>
        <v>Mar</v>
      </c>
      <c r="R280" s="26" t="str">
        <f t="shared" si="13"/>
        <v>Wed</v>
      </c>
      <c r="S280">
        <f t="shared" si="14"/>
        <v>3</v>
      </c>
      <c r="T280" t="str" cm="1">
        <f t="array" ref="T280">_xlfn.IFS(S280&lt;=12,"Morning",S280&lt;=16,"Afternoon",S280&lt;=21,"Evening",S280&lt;=24,"Night")</f>
        <v>Morning</v>
      </c>
    </row>
    <row r="281" spans="1:20" x14ac:dyDescent="0.25">
      <c r="A281" s="31" t="s">
        <v>315</v>
      </c>
      <c r="B281" s="27">
        <v>44.02</v>
      </c>
      <c r="C281" s="28">
        <v>10</v>
      </c>
      <c r="D281" s="27">
        <v>22.01</v>
      </c>
      <c r="E281" s="27">
        <v>462.21</v>
      </c>
      <c r="F281" s="29">
        <v>43544</v>
      </c>
      <c r="G281" s="30">
        <v>12.172222222222199</v>
      </c>
      <c r="H281" s="31" t="s">
        <v>33</v>
      </c>
      <c r="I281" s="27">
        <v>440.2</v>
      </c>
      <c r="J281" s="32">
        <v>4.7619047620000003</v>
      </c>
      <c r="K281" s="33">
        <v>9.6</v>
      </c>
      <c r="L281" s="31" t="str">
        <f>VLOOKUP(A281,'Customer-details'!$A$1:$C$1001,2,FALSE)</f>
        <v>Member</v>
      </c>
      <c r="M281" s="31" t="str">
        <f>VLOOKUP(A281,'Customer-details'!$A$1:$C$1001,3,FALSE)</f>
        <v>Male</v>
      </c>
      <c r="N281" s="31" t="str">
        <f>VLOOKUP(A281,'Product-details'!$A$1:$B$1001,2,FALSE)</f>
        <v>Sports and travel</v>
      </c>
      <c r="O281" s="31" t="str">
        <f>VLOOKUP(A281,'City-details'!$A$1:$C$1001,3,FALSE)</f>
        <v>Yangon</v>
      </c>
      <c r="P281" s="31" t="str">
        <f>VLOOKUP(A281,'City-details'!$A$1:$C$1001,2,FALSE)</f>
        <v>A</v>
      </c>
      <c r="Q281" s="31" t="str">
        <f t="shared" si="12"/>
        <v>Mar</v>
      </c>
      <c r="R281" s="34" t="str">
        <f t="shared" si="13"/>
        <v>Wed</v>
      </c>
      <c r="S281">
        <f t="shared" si="14"/>
        <v>4</v>
      </c>
      <c r="T281" t="str" cm="1">
        <f t="array" ref="T281">_xlfn.IFS(S281&lt;=12,"Morning",S281&lt;=16,"Afternoon",S281&lt;=21,"Evening",S281&lt;=24,"Night")</f>
        <v>Morning</v>
      </c>
    </row>
    <row r="282" spans="1:20" x14ac:dyDescent="0.25">
      <c r="A282" s="23" t="s">
        <v>316</v>
      </c>
      <c r="B282" s="19">
        <v>69.959999999999994</v>
      </c>
      <c r="C282" s="20">
        <v>8</v>
      </c>
      <c r="D282" s="19">
        <v>27.984000000000002</v>
      </c>
      <c r="E282" s="19">
        <v>587.66399999999999</v>
      </c>
      <c r="F282" s="21">
        <v>43511</v>
      </c>
      <c r="G282" s="22">
        <v>12.213888888888899</v>
      </c>
      <c r="H282" s="23" t="s">
        <v>33</v>
      </c>
      <c r="I282" s="19">
        <v>559.67999999999995</v>
      </c>
      <c r="J282" s="24">
        <v>4.7619047620000003</v>
      </c>
      <c r="K282" s="25">
        <v>6.4</v>
      </c>
      <c r="L282" s="23" t="str">
        <f>VLOOKUP(A282,'Customer-details'!$A$1:$C$1001,2,FALSE)</f>
        <v>Normal</v>
      </c>
      <c r="M282" s="23" t="str">
        <f>VLOOKUP(A282,'Customer-details'!$A$1:$C$1001,3,FALSE)</f>
        <v>Female</v>
      </c>
      <c r="N282" s="23" t="str">
        <f>VLOOKUP(A282,'Product-details'!$A$1:$B$1001,2,FALSE)</f>
        <v>Home and lifestyle</v>
      </c>
      <c r="O282" s="23" t="str">
        <f>VLOOKUP(A282,'City-details'!$A$1:$C$1001,3,FALSE)</f>
        <v>Yangon</v>
      </c>
      <c r="P282" s="23" t="str">
        <f>VLOOKUP(A282,'City-details'!$A$1:$C$1001,2,FALSE)</f>
        <v>A</v>
      </c>
      <c r="Q282" s="23" t="str">
        <f t="shared" si="12"/>
        <v>Feb</v>
      </c>
      <c r="R282" s="26" t="str">
        <f t="shared" si="13"/>
        <v>Fri</v>
      </c>
      <c r="S282">
        <f t="shared" si="14"/>
        <v>5</v>
      </c>
      <c r="T282" t="str" cm="1">
        <f t="array" ref="T282">_xlfn.IFS(S282&lt;=12,"Morning",S282&lt;=16,"Afternoon",S282&lt;=21,"Evening",S282&lt;=24,"Night")</f>
        <v>Morning</v>
      </c>
    </row>
    <row r="283" spans="1:20" x14ac:dyDescent="0.25">
      <c r="A283" s="31" t="s">
        <v>317</v>
      </c>
      <c r="B283" s="27">
        <v>37</v>
      </c>
      <c r="C283" s="28">
        <v>1</v>
      </c>
      <c r="D283" s="27">
        <v>1.85</v>
      </c>
      <c r="E283" s="27">
        <v>38.85</v>
      </c>
      <c r="F283" s="29">
        <v>43530</v>
      </c>
      <c r="G283" s="30">
        <v>12.255555555555601</v>
      </c>
      <c r="H283" s="31" t="s">
        <v>33</v>
      </c>
      <c r="I283" s="27">
        <v>37</v>
      </c>
      <c r="J283" s="32">
        <v>4.7619047620000003</v>
      </c>
      <c r="K283" s="33">
        <v>7.9</v>
      </c>
      <c r="L283" s="31" t="str">
        <f>VLOOKUP(A283,'Customer-details'!$A$1:$C$1001,2,FALSE)</f>
        <v>Normal</v>
      </c>
      <c r="M283" s="31" t="str">
        <f>VLOOKUP(A283,'Customer-details'!$A$1:$C$1001,3,FALSE)</f>
        <v>Male</v>
      </c>
      <c r="N283" s="31" t="str">
        <f>VLOOKUP(A283,'Product-details'!$A$1:$B$1001,2,FALSE)</f>
        <v>Home and lifestyle</v>
      </c>
      <c r="O283" s="31" t="str">
        <f>VLOOKUP(A283,'City-details'!$A$1:$C$1001,3,FALSE)</f>
        <v>Naypyitaw</v>
      </c>
      <c r="P283" s="31" t="str">
        <f>VLOOKUP(A283,'City-details'!$A$1:$C$1001,2,FALSE)</f>
        <v>C</v>
      </c>
      <c r="Q283" s="31" t="str">
        <f t="shared" si="12"/>
        <v>Mar</v>
      </c>
      <c r="R283" s="34" t="str">
        <f t="shared" si="13"/>
        <v>Wed</v>
      </c>
      <c r="S283">
        <f t="shared" si="14"/>
        <v>6</v>
      </c>
      <c r="T283" t="str" cm="1">
        <f t="array" ref="T283">_xlfn.IFS(S283&lt;=12,"Morning",S283&lt;=16,"Afternoon",S283&lt;=21,"Evening",S283&lt;=24,"Night")</f>
        <v>Morning</v>
      </c>
    </row>
    <row r="284" spans="1:20" x14ac:dyDescent="0.25">
      <c r="A284" s="23" t="s">
        <v>318</v>
      </c>
      <c r="B284" s="19">
        <v>15.34</v>
      </c>
      <c r="C284" s="20">
        <v>1</v>
      </c>
      <c r="D284" s="19">
        <v>0.76700000000000002</v>
      </c>
      <c r="E284" s="19">
        <v>16.106999999999999</v>
      </c>
      <c r="F284" s="21">
        <v>43471</v>
      </c>
      <c r="G284" s="22">
        <v>12.297222222222199</v>
      </c>
      <c r="H284" s="23" t="s">
        <v>29</v>
      </c>
      <c r="I284" s="19">
        <v>15.34</v>
      </c>
      <c r="J284" s="24">
        <v>4.7619047620000003</v>
      </c>
      <c r="K284" s="25">
        <v>6.5</v>
      </c>
      <c r="L284" s="23" t="str">
        <f>VLOOKUP(A284,'Customer-details'!$A$1:$C$1001,2,FALSE)</f>
        <v>Normal</v>
      </c>
      <c r="M284" s="23" t="str">
        <f>VLOOKUP(A284,'Customer-details'!$A$1:$C$1001,3,FALSE)</f>
        <v>Female</v>
      </c>
      <c r="N284" s="23" t="str">
        <f>VLOOKUP(A284,'Product-details'!$A$1:$B$1001,2,FALSE)</f>
        <v>Sports and travel</v>
      </c>
      <c r="O284" s="23" t="str">
        <f>VLOOKUP(A284,'City-details'!$A$1:$C$1001,3,FALSE)</f>
        <v>Yangon</v>
      </c>
      <c r="P284" s="23" t="str">
        <f>VLOOKUP(A284,'City-details'!$A$1:$C$1001,2,FALSE)</f>
        <v>A</v>
      </c>
      <c r="Q284" s="23" t="str">
        <f t="shared" si="12"/>
        <v>Jan</v>
      </c>
      <c r="R284" s="26" t="str">
        <f t="shared" si="13"/>
        <v>Sun</v>
      </c>
      <c r="S284">
        <f t="shared" si="14"/>
        <v>7</v>
      </c>
      <c r="T284" t="str" cm="1">
        <f t="array" ref="T284">_xlfn.IFS(S284&lt;=12,"Morning",S284&lt;=16,"Afternoon",S284&lt;=21,"Evening",S284&lt;=24,"Night")</f>
        <v>Morning</v>
      </c>
    </row>
    <row r="285" spans="1:20" x14ac:dyDescent="0.25">
      <c r="A285" s="31" t="s">
        <v>319</v>
      </c>
      <c r="B285" s="27">
        <v>99.83</v>
      </c>
      <c r="C285" s="28">
        <v>6</v>
      </c>
      <c r="D285" s="27">
        <v>29.949000000000002</v>
      </c>
      <c r="E285" s="27">
        <v>628.92899999999997</v>
      </c>
      <c r="F285" s="29">
        <v>43528</v>
      </c>
      <c r="G285" s="30">
        <v>12.338888888888899</v>
      </c>
      <c r="H285" s="31" t="s">
        <v>23</v>
      </c>
      <c r="I285" s="27">
        <v>598.98</v>
      </c>
      <c r="J285" s="32">
        <v>4.7619047620000003</v>
      </c>
      <c r="K285" s="33">
        <v>8.5</v>
      </c>
      <c r="L285" s="31" t="str">
        <f>VLOOKUP(A285,'Customer-details'!$A$1:$C$1001,2,FALSE)</f>
        <v>Member</v>
      </c>
      <c r="M285" s="31" t="str">
        <f>VLOOKUP(A285,'Customer-details'!$A$1:$C$1001,3,FALSE)</f>
        <v>Male</v>
      </c>
      <c r="N285" s="31" t="str">
        <f>VLOOKUP(A285,'Product-details'!$A$1:$B$1001,2,FALSE)</f>
        <v>Health and beauty</v>
      </c>
      <c r="O285" s="31" t="str">
        <f>VLOOKUP(A285,'City-details'!$A$1:$C$1001,3,FALSE)</f>
        <v>Yangon</v>
      </c>
      <c r="P285" s="31" t="str">
        <f>VLOOKUP(A285,'City-details'!$A$1:$C$1001,2,FALSE)</f>
        <v>A</v>
      </c>
      <c r="Q285" s="31" t="str">
        <f t="shared" si="12"/>
        <v>Mar</v>
      </c>
      <c r="R285" s="34" t="str">
        <f t="shared" si="13"/>
        <v>Mon</v>
      </c>
      <c r="S285">
        <f t="shared" si="14"/>
        <v>8</v>
      </c>
      <c r="T285" t="str" cm="1">
        <f t="array" ref="T285">_xlfn.IFS(S285&lt;=12,"Morning",S285&lt;=16,"Afternoon",S285&lt;=21,"Evening",S285&lt;=24,"Night")</f>
        <v>Morning</v>
      </c>
    </row>
    <row r="286" spans="1:20" x14ac:dyDescent="0.25">
      <c r="A286" s="23" t="s">
        <v>320</v>
      </c>
      <c r="B286" s="19">
        <v>47.67</v>
      </c>
      <c r="C286" s="20">
        <v>4</v>
      </c>
      <c r="D286" s="19">
        <v>9.5340000000000007</v>
      </c>
      <c r="E286" s="19">
        <v>200.214</v>
      </c>
      <c r="F286" s="21">
        <v>43536</v>
      </c>
      <c r="G286" s="22">
        <v>12.380555555555601</v>
      </c>
      <c r="H286" s="23" t="s">
        <v>29</v>
      </c>
      <c r="I286" s="19">
        <v>190.68</v>
      </c>
      <c r="J286" s="24">
        <v>4.7619047620000003</v>
      </c>
      <c r="K286" s="25">
        <v>9.1</v>
      </c>
      <c r="L286" s="23" t="str">
        <f>VLOOKUP(A286,'Customer-details'!$A$1:$C$1001,2,FALSE)</f>
        <v>Member</v>
      </c>
      <c r="M286" s="23" t="str">
        <f>VLOOKUP(A286,'Customer-details'!$A$1:$C$1001,3,FALSE)</f>
        <v>Female</v>
      </c>
      <c r="N286" s="23" t="str">
        <f>VLOOKUP(A286,'Product-details'!$A$1:$B$1001,2,FALSE)</f>
        <v>Health and beauty</v>
      </c>
      <c r="O286" s="23" t="str">
        <f>VLOOKUP(A286,'City-details'!$A$1:$C$1001,3,FALSE)</f>
        <v>Yangon</v>
      </c>
      <c r="P286" s="23" t="str">
        <f>VLOOKUP(A286,'City-details'!$A$1:$C$1001,2,FALSE)</f>
        <v>A</v>
      </c>
      <c r="Q286" s="23" t="str">
        <f t="shared" si="12"/>
        <v>Mar</v>
      </c>
      <c r="R286" s="26" t="str">
        <f t="shared" si="13"/>
        <v>Tue</v>
      </c>
      <c r="S286">
        <f t="shared" si="14"/>
        <v>9</v>
      </c>
      <c r="T286" t="str" cm="1">
        <f t="array" ref="T286">_xlfn.IFS(S286&lt;=12,"Morning",S286&lt;=16,"Afternoon",S286&lt;=21,"Evening",S286&lt;=24,"Night")</f>
        <v>Morning</v>
      </c>
    </row>
    <row r="287" spans="1:20" x14ac:dyDescent="0.25">
      <c r="A287" s="31" t="s">
        <v>321</v>
      </c>
      <c r="B287" s="27">
        <v>66.680000000000007</v>
      </c>
      <c r="C287" s="28">
        <v>5</v>
      </c>
      <c r="D287" s="27">
        <v>16.670000000000002</v>
      </c>
      <c r="E287" s="27">
        <v>350.07</v>
      </c>
      <c r="F287" s="29">
        <v>43516</v>
      </c>
      <c r="G287" s="30">
        <v>12.422222222222199</v>
      </c>
      <c r="H287" s="31" t="s">
        <v>29</v>
      </c>
      <c r="I287" s="27">
        <v>333.4</v>
      </c>
      <c r="J287" s="32">
        <v>4.7619047620000003</v>
      </c>
      <c r="K287" s="33">
        <v>7.6</v>
      </c>
      <c r="L287" s="31" t="str">
        <f>VLOOKUP(A287,'Customer-details'!$A$1:$C$1001,2,FALSE)</f>
        <v>Normal</v>
      </c>
      <c r="M287" s="31" t="str">
        <f>VLOOKUP(A287,'Customer-details'!$A$1:$C$1001,3,FALSE)</f>
        <v>Male</v>
      </c>
      <c r="N287" s="31" t="str">
        <f>VLOOKUP(A287,'Product-details'!$A$1:$B$1001,2,FALSE)</f>
        <v>Health and beauty</v>
      </c>
      <c r="O287" s="31" t="str">
        <f>VLOOKUP(A287,'City-details'!$A$1:$C$1001,3,FALSE)</f>
        <v>Mandalay</v>
      </c>
      <c r="P287" s="31" t="str">
        <f>VLOOKUP(A287,'City-details'!$A$1:$C$1001,2,FALSE)</f>
        <v>B</v>
      </c>
      <c r="Q287" s="31" t="str">
        <f t="shared" si="12"/>
        <v>Feb</v>
      </c>
      <c r="R287" s="34" t="str">
        <f t="shared" si="13"/>
        <v>Wed</v>
      </c>
      <c r="S287">
        <f t="shared" si="14"/>
        <v>10</v>
      </c>
      <c r="T287" t="str" cm="1">
        <f t="array" ref="T287">_xlfn.IFS(S287&lt;=12,"Morning",S287&lt;=16,"Afternoon",S287&lt;=21,"Evening",S287&lt;=24,"Night")</f>
        <v>Morning</v>
      </c>
    </row>
    <row r="288" spans="1:20" x14ac:dyDescent="0.25">
      <c r="A288" s="23" t="s">
        <v>322</v>
      </c>
      <c r="B288" s="19">
        <v>74.86</v>
      </c>
      <c r="C288" s="20">
        <v>1</v>
      </c>
      <c r="D288" s="19">
        <v>3.7429999999999999</v>
      </c>
      <c r="E288" s="19">
        <v>78.602999999999994</v>
      </c>
      <c r="F288" s="21">
        <v>43548</v>
      </c>
      <c r="G288" s="22">
        <v>12.463888888888899</v>
      </c>
      <c r="H288" s="23" t="s">
        <v>29</v>
      </c>
      <c r="I288" s="19">
        <v>74.86</v>
      </c>
      <c r="J288" s="24">
        <v>4.7619047620000003</v>
      </c>
      <c r="K288" s="25">
        <v>6.9</v>
      </c>
      <c r="L288" s="23" t="str">
        <f>VLOOKUP(A288,'Customer-details'!$A$1:$C$1001,2,FALSE)</f>
        <v>Member</v>
      </c>
      <c r="M288" s="23" t="str">
        <f>VLOOKUP(A288,'Customer-details'!$A$1:$C$1001,3,FALSE)</f>
        <v>Male</v>
      </c>
      <c r="N288" s="23" t="str">
        <f>VLOOKUP(A288,'Product-details'!$A$1:$B$1001,2,FALSE)</f>
        <v>Home and lifestyle</v>
      </c>
      <c r="O288" s="23" t="str">
        <f>VLOOKUP(A288,'City-details'!$A$1:$C$1001,3,FALSE)</f>
        <v>Naypyitaw</v>
      </c>
      <c r="P288" s="23" t="str">
        <f>VLOOKUP(A288,'City-details'!$A$1:$C$1001,2,FALSE)</f>
        <v>C</v>
      </c>
      <c r="Q288" s="23" t="str">
        <f t="shared" si="12"/>
        <v>Mar</v>
      </c>
      <c r="R288" s="26" t="str">
        <f t="shared" si="13"/>
        <v>Sun</v>
      </c>
      <c r="S288">
        <f t="shared" si="14"/>
        <v>11</v>
      </c>
      <c r="T288" t="str" cm="1">
        <f t="array" ref="T288">_xlfn.IFS(S288&lt;=12,"Morning",S288&lt;=16,"Afternoon",S288&lt;=21,"Evening",S288&lt;=24,"Night")</f>
        <v>Morning</v>
      </c>
    </row>
    <row r="289" spans="1:20" x14ac:dyDescent="0.25">
      <c r="A289" s="31" t="s">
        <v>323</v>
      </c>
      <c r="B289" s="27">
        <v>23.75</v>
      </c>
      <c r="C289" s="28">
        <v>9</v>
      </c>
      <c r="D289" s="27">
        <v>10.6875</v>
      </c>
      <c r="E289" s="27">
        <v>224.4375</v>
      </c>
      <c r="F289" s="29">
        <v>43496</v>
      </c>
      <c r="G289" s="30">
        <v>12.505555555555601</v>
      </c>
      <c r="H289" s="31" t="s">
        <v>29</v>
      </c>
      <c r="I289" s="27">
        <v>213.75</v>
      </c>
      <c r="J289" s="32">
        <v>4.7619047620000003</v>
      </c>
      <c r="K289" s="33">
        <v>9.5</v>
      </c>
      <c r="L289" s="31" t="str">
        <f>VLOOKUP(A289,'Customer-details'!$A$1:$C$1001,2,FALSE)</f>
        <v>Normal</v>
      </c>
      <c r="M289" s="31" t="str">
        <f>VLOOKUP(A289,'Customer-details'!$A$1:$C$1001,3,FALSE)</f>
        <v>Female</v>
      </c>
      <c r="N289" s="31" t="str">
        <f>VLOOKUP(A289,'Product-details'!$A$1:$B$1001,2,FALSE)</f>
        <v>Sports and travel</v>
      </c>
      <c r="O289" s="31" t="str">
        <f>VLOOKUP(A289,'City-details'!$A$1:$C$1001,3,FALSE)</f>
        <v>Naypyitaw</v>
      </c>
      <c r="P289" s="31" t="str">
        <f>VLOOKUP(A289,'City-details'!$A$1:$C$1001,2,FALSE)</f>
        <v>C</v>
      </c>
      <c r="Q289" s="31" t="str">
        <f t="shared" si="12"/>
        <v>Jan</v>
      </c>
      <c r="R289" s="34" t="str">
        <f t="shared" si="13"/>
        <v>Thu</v>
      </c>
      <c r="S289">
        <f t="shared" si="14"/>
        <v>12</v>
      </c>
      <c r="T289" t="str" cm="1">
        <f t="array" ref="T289">_xlfn.IFS(S289&lt;=12,"Morning",S289&lt;=16,"Afternoon",S289&lt;=21,"Evening",S289&lt;=24,"Night")</f>
        <v>Morning</v>
      </c>
    </row>
    <row r="290" spans="1:20" x14ac:dyDescent="0.25">
      <c r="A290" s="23" t="s">
        <v>324</v>
      </c>
      <c r="B290" s="19">
        <v>48.51</v>
      </c>
      <c r="C290" s="20">
        <v>7</v>
      </c>
      <c r="D290" s="19">
        <v>16.9785</v>
      </c>
      <c r="E290" s="19">
        <v>356.54849999999999</v>
      </c>
      <c r="F290" s="21">
        <v>43490</v>
      </c>
      <c r="G290" s="22">
        <v>12.547222222222199</v>
      </c>
      <c r="H290" s="23" t="s">
        <v>33</v>
      </c>
      <c r="I290" s="19">
        <v>339.57</v>
      </c>
      <c r="J290" s="24">
        <v>4.7619047620000003</v>
      </c>
      <c r="K290" s="25">
        <v>5.2</v>
      </c>
      <c r="L290" s="23" t="str">
        <f>VLOOKUP(A290,'Customer-details'!$A$1:$C$1001,2,FALSE)</f>
        <v>Normal</v>
      </c>
      <c r="M290" s="23" t="str">
        <f>VLOOKUP(A290,'Customer-details'!$A$1:$C$1001,3,FALSE)</f>
        <v>Female</v>
      </c>
      <c r="N290" s="23" t="str">
        <f>VLOOKUP(A290,'Product-details'!$A$1:$B$1001,2,FALSE)</f>
        <v>Food and beverages</v>
      </c>
      <c r="O290" s="23" t="str">
        <f>VLOOKUP(A290,'City-details'!$A$1:$C$1001,3,FALSE)</f>
        <v>Mandalay</v>
      </c>
      <c r="P290" s="23" t="str">
        <f>VLOOKUP(A290,'City-details'!$A$1:$C$1001,2,FALSE)</f>
        <v>B</v>
      </c>
      <c r="Q290" s="23" t="str">
        <f t="shared" si="12"/>
        <v>Jan</v>
      </c>
      <c r="R290" s="26" t="str">
        <f t="shared" si="13"/>
        <v>Fri</v>
      </c>
      <c r="S290">
        <f t="shared" si="14"/>
        <v>13</v>
      </c>
      <c r="T290" t="str" cm="1">
        <f t="array" ref="T290">_xlfn.IFS(S290&lt;=12,"Morning",S290&lt;=16,"Afternoon",S290&lt;=21,"Evening",S290&lt;=24,"Night")</f>
        <v>Afternoon</v>
      </c>
    </row>
    <row r="291" spans="1:20" x14ac:dyDescent="0.25">
      <c r="A291" s="31" t="s">
        <v>325</v>
      </c>
      <c r="B291" s="27">
        <v>94.88</v>
      </c>
      <c r="C291" s="28">
        <v>7</v>
      </c>
      <c r="D291" s="27">
        <v>33.207999999999998</v>
      </c>
      <c r="E291" s="27">
        <v>697.36800000000005</v>
      </c>
      <c r="F291" s="29">
        <v>43499</v>
      </c>
      <c r="G291" s="30">
        <v>12.588888888888899</v>
      </c>
      <c r="H291" s="31" t="s">
        <v>29</v>
      </c>
      <c r="I291" s="27">
        <v>664.16</v>
      </c>
      <c r="J291" s="32">
        <v>4.7619047620000003</v>
      </c>
      <c r="K291" s="33">
        <v>4.2</v>
      </c>
      <c r="L291" s="31" t="str">
        <f>VLOOKUP(A291,'Customer-details'!$A$1:$C$1001,2,FALSE)</f>
        <v>Member</v>
      </c>
      <c r="M291" s="31" t="str">
        <f>VLOOKUP(A291,'Customer-details'!$A$1:$C$1001,3,FALSE)</f>
        <v>Female</v>
      </c>
      <c r="N291" s="31" t="str">
        <f>VLOOKUP(A291,'Product-details'!$A$1:$B$1001,2,FALSE)</f>
        <v>Home and lifestyle</v>
      </c>
      <c r="O291" s="31" t="str">
        <f>VLOOKUP(A291,'City-details'!$A$1:$C$1001,3,FALSE)</f>
        <v>Yangon</v>
      </c>
      <c r="P291" s="31" t="str">
        <f>VLOOKUP(A291,'City-details'!$A$1:$C$1001,2,FALSE)</f>
        <v>A</v>
      </c>
      <c r="Q291" s="31" t="str">
        <f t="shared" si="12"/>
        <v>Feb</v>
      </c>
      <c r="R291" s="34" t="str">
        <f t="shared" si="13"/>
        <v>Sun</v>
      </c>
      <c r="S291">
        <f t="shared" si="14"/>
        <v>14</v>
      </c>
      <c r="T291" t="str" cm="1">
        <f t="array" ref="T291">_xlfn.IFS(S291&lt;=12,"Morning",S291&lt;=16,"Afternoon",S291&lt;=21,"Evening",S291&lt;=24,"Night")</f>
        <v>Afternoon</v>
      </c>
    </row>
    <row r="292" spans="1:20" x14ac:dyDescent="0.25">
      <c r="A292" s="23" t="s">
        <v>326</v>
      </c>
      <c r="B292" s="19">
        <v>40.299999999999997</v>
      </c>
      <c r="C292" s="20">
        <v>10</v>
      </c>
      <c r="D292" s="19">
        <v>20.149999999999999</v>
      </c>
      <c r="E292" s="19">
        <v>423.15</v>
      </c>
      <c r="F292" s="21">
        <v>43489</v>
      </c>
      <c r="G292" s="22">
        <v>12.630555555555601</v>
      </c>
      <c r="H292" s="23" t="s">
        <v>33</v>
      </c>
      <c r="I292" s="19">
        <v>403</v>
      </c>
      <c r="J292" s="24">
        <v>4.7619047620000003</v>
      </c>
      <c r="K292" s="25">
        <v>7</v>
      </c>
      <c r="L292" s="23" t="str">
        <f>VLOOKUP(A292,'Customer-details'!$A$1:$C$1001,2,FALSE)</f>
        <v>Member</v>
      </c>
      <c r="M292" s="23" t="str">
        <f>VLOOKUP(A292,'Customer-details'!$A$1:$C$1001,3,FALSE)</f>
        <v>Male</v>
      </c>
      <c r="N292" s="23" t="str">
        <f>VLOOKUP(A292,'Product-details'!$A$1:$B$1001,2,FALSE)</f>
        <v>Electronic accessories</v>
      </c>
      <c r="O292" s="23" t="str">
        <f>VLOOKUP(A292,'City-details'!$A$1:$C$1001,3,FALSE)</f>
        <v>Mandalay</v>
      </c>
      <c r="P292" s="23" t="str">
        <f>VLOOKUP(A292,'City-details'!$A$1:$C$1001,2,FALSE)</f>
        <v>B</v>
      </c>
      <c r="Q292" s="23" t="str">
        <f t="shared" si="12"/>
        <v>Jan</v>
      </c>
      <c r="R292" s="26" t="str">
        <f t="shared" si="13"/>
        <v>Thu</v>
      </c>
      <c r="S292">
        <f t="shared" si="14"/>
        <v>15</v>
      </c>
      <c r="T292" t="str" cm="1">
        <f t="array" ref="T292">_xlfn.IFS(S292&lt;=12,"Morning",S292&lt;=16,"Afternoon",S292&lt;=21,"Evening",S292&lt;=24,"Night")</f>
        <v>Afternoon</v>
      </c>
    </row>
    <row r="293" spans="1:20" x14ac:dyDescent="0.25">
      <c r="A293" s="31" t="s">
        <v>327</v>
      </c>
      <c r="B293" s="27">
        <v>27.85</v>
      </c>
      <c r="C293" s="28">
        <v>7</v>
      </c>
      <c r="D293" s="27">
        <v>9.7475000000000005</v>
      </c>
      <c r="E293" s="27">
        <v>204.69749999999999</v>
      </c>
      <c r="F293" s="29">
        <v>43538</v>
      </c>
      <c r="G293" s="30">
        <v>12.672222222222199</v>
      </c>
      <c r="H293" s="31" t="s">
        <v>23</v>
      </c>
      <c r="I293" s="27">
        <v>194.95</v>
      </c>
      <c r="J293" s="32">
        <v>4.7619047620000003</v>
      </c>
      <c r="K293" s="33">
        <v>6</v>
      </c>
      <c r="L293" s="31" t="str">
        <f>VLOOKUP(A293,'Customer-details'!$A$1:$C$1001,2,FALSE)</f>
        <v>Normal</v>
      </c>
      <c r="M293" s="31" t="str">
        <f>VLOOKUP(A293,'Customer-details'!$A$1:$C$1001,3,FALSE)</f>
        <v>Male</v>
      </c>
      <c r="N293" s="31" t="str">
        <f>VLOOKUP(A293,'Product-details'!$A$1:$B$1001,2,FALSE)</f>
        <v>Electronic accessories</v>
      </c>
      <c r="O293" s="31" t="str">
        <f>VLOOKUP(A293,'City-details'!$A$1:$C$1001,3,FALSE)</f>
        <v>Naypyitaw</v>
      </c>
      <c r="P293" s="31" t="str">
        <f>VLOOKUP(A293,'City-details'!$A$1:$C$1001,2,FALSE)</f>
        <v>C</v>
      </c>
      <c r="Q293" s="31" t="str">
        <f t="shared" si="12"/>
        <v>Mar</v>
      </c>
      <c r="R293" s="34" t="str">
        <f t="shared" si="13"/>
        <v>Thu</v>
      </c>
      <c r="S293">
        <f t="shared" si="14"/>
        <v>16</v>
      </c>
      <c r="T293" t="str" cm="1">
        <f t="array" ref="T293">_xlfn.IFS(S293&lt;=12,"Morning",S293&lt;=16,"Afternoon",S293&lt;=21,"Evening",S293&lt;=24,"Night")</f>
        <v>Afternoon</v>
      </c>
    </row>
    <row r="294" spans="1:20" x14ac:dyDescent="0.25">
      <c r="A294" s="23" t="s">
        <v>328</v>
      </c>
      <c r="B294" s="19">
        <v>62.48</v>
      </c>
      <c r="C294" s="20">
        <v>1</v>
      </c>
      <c r="D294" s="19">
        <v>3.1240000000000001</v>
      </c>
      <c r="E294" s="19">
        <v>65.603999999999999</v>
      </c>
      <c r="F294" s="21">
        <v>43514</v>
      </c>
      <c r="G294" s="22">
        <v>12.713888888888899</v>
      </c>
      <c r="H294" s="23" t="s">
        <v>29</v>
      </c>
      <c r="I294" s="19">
        <v>62.48</v>
      </c>
      <c r="J294" s="24">
        <v>4.7619047620000003</v>
      </c>
      <c r="K294" s="25">
        <v>4.7</v>
      </c>
      <c r="L294" s="23" t="str">
        <f>VLOOKUP(A294,'Customer-details'!$A$1:$C$1001,2,FALSE)</f>
        <v>Member</v>
      </c>
      <c r="M294" s="23" t="str">
        <f>VLOOKUP(A294,'Customer-details'!$A$1:$C$1001,3,FALSE)</f>
        <v>Female</v>
      </c>
      <c r="N294" s="23" t="str">
        <f>VLOOKUP(A294,'Product-details'!$A$1:$B$1001,2,FALSE)</f>
        <v>Electronic accessories</v>
      </c>
      <c r="O294" s="23" t="str">
        <f>VLOOKUP(A294,'City-details'!$A$1:$C$1001,3,FALSE)</f>
        <v>Yangon</v>
      </c>
      <c r="P294" s="23" t="str">
        <f>VLOOKUP(A294,'City-details'!$A$1:$C$1001,2,FALSE)</f>
        <v>A</v>
      </c>
      <c r="Q294" s="23" t="str">
        <f t="shared" si="12"/>
        <v>Feb</v>
      </c>
      <c r="R294" s="26" t="str">
        <f t="shared" si="13"/>
        <v>Mon</v>
      </c>
      <c r="S294">
        <f t="shared" si="14"/>
        <v>17</v>
      </c>
      <c r="T294" t="str" cm="1">
        <f t="array" ref="T294">_xlfn.IFS(S294&lt;=12,"Morning",S294&lt;=16,"Afternoon",S294&lt;=21,"Evening",S294&lt;=24,"Night")</f>
        <v>Evening</v>
      </c>
    </row>
    <row r="295" spans="1:20" x14ac:dyDescent="0.25">
      <c r="A295" s="31" t="s">
        <v>329</v>
      </c>
      <c r="B295" s="27">
        <v>36.36</v>
      </c>
      <c r="C295" s="28">
        <v>2</v>
      </c>
      <c r="D295" s="27">
        <v>3.6360000000000001</v>
      </c>
      <c r="E295" s="27">
        <v>76.355999999999995</v>
      </c>
      <c r="F295" s="29">
        <v>43486</v>
      </c>
      <c r="G295" s="30">
        <v>12.755555555555601</v>
      </c>
      <c r="H295" s="31" t="s">
        <v>29</v>
      </c>
      <c r="I295" s="27">
        <v>72.72</v>
      </c>
      <c r="J295" s="32">
        <v>4.7619047620000003</v>
      </c>
      <c r="K295" s="33">
        <v>7.1</v>
      </c>
      <c r="L295" s="31" t="str">
        <f>VLOOKUP(A295,'Customer-details'!$A$1:$C$1001,2,FALSE)</f>
        <v>Member</v>
      </c>
      <c r="M295" s="31" t="str">
        <f>VLOOKUP(A295,'Customer-details'!$A$1:$C$1001,3,FALSE)</f>
        <v>Female</v>
      </c>
      <c r="N295" s="31" t="str">
        <f>VLOOKUP(A295,'Product-details'!$A$1:$B$1001,2,FALSE)</f>
        <v>Food and beverages</v>
      </c>
      <c r="O295" s="31" t="str">
        <f>VLOOKUP(A295,'City-details'!$A$1:$C$1001,3,FALSE)</f>
        <v>Yangon</v>
      </c>
      <c r="P295" s="31" t="str">
        <f>VLOOKUP(A295,'City-details'!$A$1:$C$1001,2,FALSE)</f>
        <v>A</v>
      </c>
      <c r="Q295" s="31" t="str">
        <f t="shared" si="12"/>
        <v>Jan</v>
      </c>
      <c r="R295" s="34" t="str">
        <f t="shared" si="13"/>
        <v>Mon</v>
      </c>
      <c r="S295">
        <f t="shared" si="14"/>
        <v>18</v>
      </c>
      <c r="T295" t="str" cm="1">
        <f t="array" ref="T295">_xlfn.IFS(S295&lt;=12,"Morning",S295&lt;=16,"Afternoon",S295&lt;=21,"Evening",S295&lt;=24,"Night")</f>
        <v>Evening</v>
      </c>
    </row>
    <row r="296" spans="1:20" x14ac:dyDescent="0.25">
      <c r="A296" s="23" t="s">
        <v>330</v>
      </c>
      <c r="B296" s="19">
        <v>18.11</v>
      </c>
      <c r="C296" s="20">
        <v>10</v>
      </c>
      <c r="D296" s="19">
        <v>9.0549999999999997</v>
      </c>
      <c r="E296" s="19">
        <v>190.155</v>
      </c>
      <c r="F296" s="21">
        <v>43537</v>
      </c>
      <c r="G296" s="22">
        <v>12.797222222222199</v>
      </c>
      <c r="H296" s="23" t="s">
        <v>23</v>
      </c>
      <c r="I296" s="19">
        <v>181.1</v>
      </c>
      <c r="J296" s="24">
        <v>4.7619047620000003</v>
      </c>
      <c r="K296" s="25">
        <v>5.9</v>
      </c>
      <c r="L296" s="23" t="str">
        <f>VLOOKUP(A296,'Customer-details'!$A$1:$C$1001,2,FALSE)</f>
        <v>Normal</v>
      </c>
      <c r="M296" s="23" t="str">
        <f>VLOOKUP(A296,'Customer-details'!$A$1:$C$1001,3,FALSE)</f>
        <v>Male</v>
      </c>
      <c r="N296" s="23" t="str">
        <f>VLOOKUP(A296,'Product-details'!$A$1:$B$1001,2,FALSE)</f>
        <v>Health and beauty</v>
      </c>
      <c r="O296" s="23" t="str">
        <f>VLOOKUP(A296,'City-details'!$A$1:$C$1001,3,FALSE)</f>
        <v>Mandalay</v>
      </c>
      <c r="P296" s="23" t="str">
        <f>VLOOKUP(A296,'City-details'!$A$1:$C$1001,2,FALSE)</f>
        <v>B</v>
      </c>
      <c r="Q296" s="23" t="str">
        <f t="shared" si="12"/>
        <v>Mar</v>
      </c>
      <c r="R296" s="26" t="str">
        <f t="shared" si="13"/>
        <v>Wed</v>
      </c>
      <c r="S296">
        <f t="shared" si="14"/>
        <v>19</v>
      </c>
      <c r="T296" t="str" cm="1">
        <f t="array" ref="T296">_xlfn.IFS(S296&lt;=12,"Morning",S296&lt;=16,"Afternoon",S296&lt;=21,"Evening",S296&lt;=24,"Night")</f>
        <v>Evening</v>
      </c>
    </row>
    <row r="297" spans="1:20" x14ac:dyDescent="0.25">
      <c r="A297" s="31" t="s">
        <v>331</v>
      </c>
      <c r="B297" s="27">
        <v>51.92</v>
      </c>
      <c r="C297" s="28">
        <v>5</v>
      </c>
      <c r="D297" s="27">
        <v>12.98</v>
      </c>
      <c r="E297" s="27">
        <v>272.58</v>
      </c>
      <c r="F297" s="29">
        <v>43527</v>
      </c>
      <c r="G297" s="30">
        <v>12.838888888888899</v>
      </c>
      <c r="H297" s="31" t="s">
        <v>29</v>
      </c>
      <c r="I297" s="27">
        <v>259.60000000000002</v>
      </c>
      <c r="J297" s="32">
        <v>4.7619047620000003</v>
      </c>
      <c r="K297" s="33">
        <v>7.5</v>
      </c>
      <c r="L297" s="31" t="str">
        <f>VLOOKUP(A297,'Customer-details'!$A$1:$C$1001,2,FALSE)</f>
        <v>Member</v>
      </c>
      <c r="M297" s="31" t="str">
        <f>VLOOKUP(A297,'Customer-details'!$A$1:$C$1001,3,FALSE)</f>
        <v>Female</v>
      </c>
      <c r="N297" s="31" t="str">
        <f>VLOOKUP(A297,'Product-details'!$A$1:$B$1001,2,FALSE)</f>
        <v>Electronic accessories</v>
      </c>
      <c r="O297" s="31" t="str">
        <f>VLOOKUP(A297,'City-details'!$A$1:$C$1001,3,FALSE)</f>
        <v>Naypyitaw</v>
      </c>
      <c r="P297" s="31" t="str">
        <f>VLOOKUP(A297,'City-details'!$A$1:$C$1001,2,FALSE)</f>
        <v>C</v>
      </c>
      <c r="Q297" s="31" t="str">
        <f t="shared" si="12"/>
        <v>Mar</v>
      </c>
      <c r="R297" s="34" t="str">
        <f t="shared" si="13"/>
        <v>Sun</v>
      </c>
      <c r="S297">
        <f t="shared" si="14"/>
        <v>20</v>
      </c>
      <c r="T297" t="str" cm="1">
        <f t="array" ref="T297">_xlfn.IFS(S297&lt;=12,"Morning",S297&lt;=16,"Afternoon",S297&lt;=21,"Evening",S297&lt;=24,"Night")</f>
        <v>Evening</v>
      </c>
    </row>
    <row r="298" spans="1:20" x14ac:dyDescent="0.25">
      <c r="A298" s="23" t="s">
        <v>332</v>
      </c>
      <c r="B298" s="19">
        <v>28.84</v>
      </c>
      <c r="C298" s="20">
        <v>4</v>
      </c>
      <c r="D298" s="19">
        <v>5.7679999999999998</v>
      </c>
      <c r="E298" s="19">
        <v>121.128</v>
      </c>
      <c r="F298" s="21">
        <v>43553</v>
      </c>
      <c r="G298" s="22">
        <v>12.880555555555601</v>
      </c>
      <c r="H298" s="23" t="s">
        <v>29</v>
      </c>
      <c r="I298" s="19">
        <v>115.36</v>
      </c>
      <c r="J298" s="24">
        <v>4.7619047620000003</v>
      </c>
      <c r="K298" s="25">
        <v>6.4</v>
      </c>
      <c r="L298" s="23" t="str">
        <f>VLOOKUP(A298,'Customer-details'!$A$1:$C$1001,2,FALSE)</f>
        <v>Normal</v>
      </c>
      <c r="M298" s="23" t="str">
        <f>VLOOKUP(A298,'Customer-details'!$A$1:$C$1001,3,FALSE)</f>
        <v>Male</v>
      </c>
      <c r="N298" s="23" t="str">
        <f>VLOOKUP(A298,'Product-details'!$A$1:$B$1001,2,FALSE)</f>
        <v>Electronic accessories</v>
      </c>
      <c r="O298" s="23" t="str">
        <f>VLOOKUP(A298,'City-details'!$A$1:$C$1001,3,FALSE)</f>
        <v>Naypyitaw</v>
      </c>
      <c r="P298" s="23" t="str">
        <f>VLOOKUP(A298,'City-details'!$A$1:$C$1001,2,FALSE)</f>
        <v>C</v>
      </c>
      <c r="Q298" s="23" t="str">
        <f t="shared" si="12"/>
        <v>Mar</v>
      </c>
      <c r="R298" s="26" t="str">
        <f t="shared" si="13"/>
        <v>Fri</v>
      </c>
      <c r="S298">
        <f t="shared" si="14"/>
        <v>21</v>
      </c>
      <c r="T298" t="str" cm="1">
        <f t="array" ref="T298">_xlfn.IFS(S298&lt;=12,"Morning",S298&lt;=16,"Afternoon",S298&lt;=21,"Evening",S298&lt;=24,"Night")</f>
        <v>Evening</v>
      </c>
    </row>
    <row r="299" spans="1:20" x14ac:dyDescent="0.25">
      <c r="A299" s="31" t="s">
        <v>333</v>
      </c>
      <c r="B299" s="27">
        <v>78.38</v>
      </c>
      <c r="C299" s="28">
        <v>6</v>
      </c>
      <c r="D299" s="27">
        <v>23.513999999999999</v>
      </c>
      <c r="E299" s="27">
        <v>493.79399999999998</v>
      </c>
      <c r="F299" s="29">
        <v>43475</v>
      </c>
      <c r="G299" s="30">
        <v>12.922222222222199</v>
      </c>
      <c r="H299" s="31" t="s">
        <v>23</v>
      </c>
      <c r="I299" s="27">
        <v>470.28</v>
      </c>
      <c r="J299" s="32">
        <v>4.7619047620000003</v>
      </c>
      <c r="K299" s="33">
        <v>5.8</v>
      </c>
      <c r="L299" s="31" t="str">
        <f>VLOOKUP(A299,'Customer-details'!$A$1:$C$1001,2,FALSE)</f>
        <v>Member</v>
      </c>
      <c r="M299" s="31" t="str">
        <f>VLOOKUP(A299,'Customer-details'!$A$1:$C$1001,3,FALSE)</f>
        <v>Male</v>
      </c>
      <c r="N299" s="31" t="str">
        <f>VLOOKUP(A299,'Product-details'!$A$1:$B$1001,2,FALSE)</f>
        <v>Home and lifestyle</v>
      </c>
      <c r="O299" s="31" t="str">
        <f>VLOOKUP(A299,'City-details'!$A$1:$C$1001,3,FALSE)</f>
        <v>Yangon</v>
      </c>
      <c r="P299" s="31" t="str">
        <f>VLOOKUP(A299,'City-details'!$A$1:$C$1001,2,FALSE)</f>
        <v>A</v>
      </c>
      <c r="Q299" s="31" t="str">
        <f t="shared" si="12"/>
        <v>Jan</v>
      </c>
      <c r="R299" s="34" t="str">
        <f t="shared" si="13"/>
        <v>Thu</v>
      </c>
      <c r="S299">
        <f t="shared" si="14"/>
        <v>22</v>
      </c>
      <c r="T299" t="str" cm="1">
        <f t="array" ref="T299">_xlfn.IFS(S299&lt;=12,"Morning",S299&lt;=16,"Afternoon",S299&lt;=21,"Evening",S299&lt;=24,"Night")</f>
        <v>Night</v>
      </c>
    </row>
    <row r="300" spans="1:20" x14ac:dyDescent="0.25">
      <c r="A300" s="23" t="s">
        <v>334</v>
      </c>
      <c r="B300" s="19">
        <v>60.01</v>
      </c>
      <c r="C300" s="20">
        <v>4</v>
      </c>
      <c r="D300" s="19">
        <v>12.002000000000001</v>
      </c>
      <c r="E300" s="19">
        <v>252.042</v>
      </c>
      <c r="F300" s="21">
        <v>43490</v>
      </c>
      <c r="G300" s="22">
        <v>12.963888888888899</v>
      </c>
      <c r="H300" s="23" t="s">
        <v>29</v>
      </c>
      <c r="I300" s="19">
        <v>240.04</v>
      </c>
      <c r="J300" s="24">
        <v>4.7619047620000003</v>
      </c>
      <c r="K300" s="25">
        <v>4.5</v>
      </c>
      <c r="L300" s="23" t="str">
        <f>VLOOKUP(A300,'Customer-details'!$A$1:$C$1001,2,FALSE)</f>
        <v>Member</v>
      </c>
      <c r="M300" s="23" t="str">
        <f>VLOOKUP(A300,'Customer-details'!$A$1:$C$1001,3,FALSE)</f>
        <v>Male</v>
      </c>
      <c r="N300" s="23" t="str">
        <f>VLOOKUP(A300,'Product-details'!$A$1:$B$1001,2,FALSE)</f>
        <v>Home and lifestyle</v>
      </c>
      <c r="O300" s="23" t="str">
        <f>VLOOKUP(A300,'City-details'!$A$1:$C$1001,3,FALSE)</f>
        <v>Yangon</v>
      </c>
      <c r="P300" s="23" t="str">
        <f>VLOOKUP(A300,'City-details'!$A$1:$C$1001,2,FALSE)</f>
        <v>A</v>
      </c>
      <c r="Q300" s="23" t="str">
        <f t="shared" si="12"/>
        <v>Jan</v>
      </c>
      <c r="R300" s="26" t="str">
        <f t="shared" si="13"/>
        <v>Fri</v>
      </c>
      <c r="S300">
        <f t="shared" si="14"/>
        <v>23</v>
      </c>
      <c r="T300" t="str" cm="1">
        <f t="array" ref="T300">_xlfn.IFS(S300&lt;=12,"Morning",S300&lt;=16,"Afternoon",S300&lt;=21,"Evening",S300&lt;=24,"Night")</f>
        <v>Night</v>
      </c>
    </row>
    <row r="301" spans="1:20" x14ac:dyDescent="0.25">
      <c r="A301" s="31" t="s">
        <v>335</v>
      </c>
      <c r="B301" s="27">
        <v>88.61</v>
      </c>
      <c r="C301" s="28">
        <v>1</v>
      </c>
      <c r="D301" s="27">
        <v>4.4305000000000003</v>
      </c>
      <c r="E301" s="27">
        <v>93.040499999999994</v>
      </c>
      <c r="F301" s="29">
        <v>43484</v>
      </c>
      <c r="G301" s="30">
        <v>13.005555555555601</v>
      </c>
      <c r="H301" s="31" t="s">
        <v>29</v>
      </c>
      <c r="I301" s="27">
        <v>88.61</v>
      </c>
      <c r="J301" s="32">
        <v>4.7619047620000003</v>
      </c>
      <c r="K301" s="33">
        <v>7.7</v>
      </c>
      <c r="L301" s="31" t="str">
        <f>VLOOKUP(A301,'Customer-details'!$A$1:$C$1001,2,FALSE)</f>
        <v>Member</v>
      </c>
      <c r="M301" s="31" t="str">
        <f>VLOOKUP(A301,'Customer-details'!$A$1:$C$1001,3,FALSE)</f>
        <v>Female</v>
      </c>
      <c r="N301" s="31" t="str">
        <f>VLOOKUP(A301,'Product-details'!$A$1:$B$1001,2,FALSE)</f>
        <v>Home and lifestyle</v>
      </c>
      <c r="O301" s="31" t="str">
        <f>VLOOKUP(A301,'City-details'!$A$1:$C$1001,3,FALSE)</f>
        <v>Naypyitaw</v>
      </c>
      <c r="P301" s="31" t="str">
        <f>VLOOKUP(A301,'City-details'!$A$1:$C$1001,2,FALSE)</f>
        <v>C</v>
      </c>
      <c r="Q301" s="31" t="str">
        <f t="shared" si="12"/>
        <v>Jan</v>
      </c>
      <c r="R301" s="34" t="str">
        <f t="shared" si="13"/>
        <v>Sat</v>
      </c>
      <c r="S301">
        <f t="shared" si="14"/>
        <v>0</v>
      </c>
      <c r="T301" t="str" cm="1">
        <f t="array" ref="T301">_xlfn.IFS(S301&lt;=12,"Morning",S301&lt;=16,"Afternoon",S301&lt;=21,"Evening",S301&lt;=24,"Night")</f>
        <v>Morning</v>
      </c>
    </row>
    <row r="302" spans="1:20" x14ac:dyDescent="0.25">
      <c r="A302" s="23" t="s">
        <v>336</v>
      </c>
      <c r="B302" s="19">
        <v>99.82</v>
      </c>
      <c r="C302" s="20">
        <v>2</v>
      </c>
      <c r="D302" s="19">
        <v>9.9819999999999993</v>
      </c>
      <c r="E302" s="19">
        <v>209.62200000000001</v>
      </c>
      <c r="F302" s="21">
        <v>43467</v>
      </c>
      <c r="G302" s="22">
        <v>13.047222222222199</v>
      </c>
      <c r="H302" s="23" t="s">
        <v>33</v>
      </c>
      <c r="I302" s="19">
        <v>199.64</v>
      </c>
      <c r="J302" s="24">
        <v>4.7619047620000003</v>
      </c>
      <c r="K302" s="25">
        <v>6.7</v>
      </c>
      <c r="L302" s="23" t="str">
        <f>VLOOKUP(A302,'Customer-details'!$A$1:$C$1001,2,FALSE)</f>
        <v>Normal</v>
      </c>
      <c r="M302" s="23" t="str">
        <f>VLOOKUP(A302,'Customer-details'!$A$1:$C$1001,3,FALSE)</f>
        <v>Male</v>
      </c>
      <c r="N302" s="23" t="str">
        <f>VLOOKUP(A302,'Product-details'!$A$1:$B$1001,2,FALSE)</f>
        <v>Fashion accessories</v>
      </c>
      <c r="O302" s="23" t="str">
        <f>VLOOKUP(A302,'City-details'!$A$1:$C$1001,3,FALSE)</f>
        <v>Naypyitaw</v>
      </c>
      <c r="P302" s="23" t="str">
        <f>VLOOKUP(A302,'City-details'!$A$1:$C$1001,2,FALSE)</f>
        <v>C</v>
      </c>
      <c r="Q302" s="23" t="str">
        <f t="shared" si="12"/>
        <v>Jan</v>
      </c>
      <c r="R302" s="26" t="str">
        <f t="shared" si="13"/>
        <v>Wed</v>
      </c>
      <c r="S302">
        <f t="shared" si="14"/>
        <v>1</v>
      </c>
      <c r="T302" t="str" cm="1">
        <f t="array" ref="T302">_xlfn.IFS(S302&lt;=12,"Morning",S302&lt;=16,"Afternoon",S302&lt;=21,"Evening",S302&lt;=24,"Night")</f>
        <v>Morning</v>
      </c>
    </row>
    <row r="303" spans="1:20" x14ac:dyDescent="0.25">
      <c r="A303" s="31" t="s">
        <v>337</v>
      </c>
      <c r="B303" s="27">
        <v>39.01</v>
      </c>
      <c r="C303" s="28">
        <v>1</v>
      </c>
      <c r="D303" s="27">
        <v>1.9504999999999999</v>
      </c>
      <c r="E303" s="27">
        <v>40.960500000000003</v>
      </c>
      <c r="F303" s="29">
        <v>43536</v>
      </c>
      <c r="G303" s="30">
        <v>13.088888888888899</v>
      </c>
      <c r="H303" s="31" t="s">
        <v>33</v>
      </c>
      <c r="I303" s="27">
        <v>39.01</v>
      </c>
      <c r="J303" s="32">
        <v>4.7619047620000003</v>
      </c>
      <c r="K303" s="33">
        <v>4.7</v>
      </c>
      <c r="L303" s="31" t="str">
        <f>VLOOKUP(A303,'Customer-details'!$A$1:$C$1001,2,FALSE)</f>
        <v>Member</v>
      </c>
      <c r="M303" s="31" t="str">
        <f>VLOOKUP(A303,'Customer-details'!$A$1:$C$1001,3,FALSE)</f>
        <v>Male</v>
      </c>
      <c r="N303" s="31" t="str">
        <f>VLOOKUP(A303,'Product-details'!$A$1:$B$1001,2,FALSE)</f>
        <v>Health and beauty</v>
      </c>
      <c r="O303" s="31" t="str">
        <f>VLOOKUP(A303,'City-details'!$A$1:$C$1001,3,FALSE)</f>
        <v>Mandalay</v>
      </c>
      <c r="P303" s="31" t="str">
        <f>VLOOKUP(A303,'City-details'!$A$1:$C$1001,2,FALSE)</f>
        <v>B</v>
      </c>
      <c r="Q303" s="31" t="str">
        <f t="shared" si="12"/>
        <v>Mar</v>
      </c>
      <c r="R303" s="34" t="str">
        <f t="shared" si="13"/>
        <v>Tue</v>
      </c>
      <c r="S303">
        <f t="shared" si="14"/>
        <v>2</v>
      </c>
      <c r="T303" t="str" cm="1">
        <f t="array" ref="T303">_xlfn.IFS(S303&lt;=12,"Morning",S303&lt;=16,"Afternoon",S303&lt;=21,"Evening",S303&lt;=24,"Night")</f>
        <v>Morning</v>
      </c>
    </row>
    <row r="304" spans="1:20" x14ac:dyDescent="0.25">
      <c r="A304" s="23" t="s">
        <v>338</v>
      </c>
      <c r="B304" s="19">
        <v>48.61</v>
      </c>
      <c r="C304" s="20">
        <v>1</v>
      </c>
      <c r="D304" s="19">
        <v>2.4304999999999999</v>
      </c>
      <c r="E304" s="19">
        <v>51.040500000000002</v>
      </c>
      <c r="F304" s="21">
        <v>43521</v>
      </c>
      <c r="G304" s="22">
        <v>13.130555555555601</v>
      </c>
      <c r="H304" s="23" t="s">
        <v>29</v>
      </c>
      <c r="I304" s="19">
        <v>48.61</v>
      </c>
      <c r="J304" s="24">
        <v>4.7619047620000003</v>
      </c>
      <c r="K304" s="25">
        <v>4.4000000000000004</v>
      </c>
      <c r="L304" s="23" t="str">
        <f>VLOOKUP(A304,'Customer-details'!$A$1:$C$1001,2,FALSE)</f>
        <v>Normal</v>
      </c>
      <c r="M304" s="23" t="str">
        <f>VLOOKUP(A304,'Customer-details'!$A$1:$C$1001,3,FALSE)</f>
        <v>Male</v>
      </c>
      <c r="N304" s="23" t="str">
        <f>VLOOKUP(A304,'Product-details'!$A$1:$B$1001,2,FALSE)</f>
        <v>Food and beverages</v>
      </c>
      <c r="O304" s="23" t="str">
        <f>VLOOKUP(A304,'City-details'!$A$1:$C$1001,3,FALSE)</f>
        <v>Naypyitaw</v>
      </c>
      <c r="P304" s="23" t="str">
        <f>VLOOKUP(A304,'City-details'!$A$1:$C$1001,2,FALSE)</f>
        <v>C</v>
      </c>
      <c r="Q304" s="23" t="str">
        <f t="shared" si="12"/>
        <v>Feb</v>
      </c>
      <c r="R304" s="26" t="str">
        <f t="shared" si="13"/>
        <v>Mon</v>
      </c>
      <c r="S304">
        <f t="shared" si="14"/>
        <v>3</v>
      </c>
      <c r="T304" t="str" cm="1">
        <f t="array" ref="T304">_xlfn.IFS(S304&lt;=12,"Morning",S304&lt;=16,"Afternoon",S304&lt;=21,"Evening",S304&lt;=24,"Night")</f>
        <v>Morning</v>
      </c>
    </row>
    <row r="305" spans="1:20" x14ac:dyDescent="0.25">
      <c r="A305" s="31" t="s">
        <v>339</v>
      </c>
      <c r="B305" s="27">
        <v>51.19</v>
      </c>
      <c r="C305" s="28">
        <v>4</v>
      </c>
      <c r="D305" s="27">
        <v>10.238</v>
      </c>
      <c r="E305" s="27">
        <v>214.99799999999999</v>
      </c>
      <c r="F305" s="29">
        <v>43542</v>
      </c>
      <c r="G305" s="30">
        <v>13.172222222222199</v>
      </c>
      <c r="H305" s="31" t="s">
        <v>33</v>
      </c>
      <c r="I305" s="27">
        <v>204.76</v>
      </c>
      <c r="J305" s="32">
        <v>4.7619047620000003</v>
      </c>
      <c r="K305" s="33">
        <v>4.7</v>
      </c>
      <c r="L305" s="31" t="str">
        <f>VLOOKUP(A305,'Customer-details'!$A$1:$C$1001,2,FALSE)</f>
        <v>Normal</v>
      </c>
      <c r="M305" s="31" t="str">
        <f>VLOOKUP(A305,'Customer-details'!$A$1:$C$1001,3,FALSE)</f>
        <v>Female</v>
      </c>
      <c r="N305" s="31" t="str">
        <f>VLOOKUP(A305,'Product-details'!$A$1:$B$1001,2,FALSE)</f>
        <v>Electronic accessories</v>
      </c>
      <c r="O305" s="31" t="str">
        <f>VLOOKUP(A305,'City-details'!$A$1:$C$1001,3,FALSE)</f>
        <v>Yangon</v>
      </c>
      <c r="P305" s="31" t="str">
        <f>VLOOKUP(A305,'City-details'!$A$1:$C$1001,2,FALSE)</f>
        <v>A</v>
      </c>
      <c r="Q305" s="31" t="str">
        <f t="shared" si="12"/>
        <v>Mar</v>
      </c>
      <c r="R305" s="34" t="str">
        <f t="shared" si="13"/>
        <v>Mon</v>
      </c>
      <c r="S305">
        <f t="shared" si="14"/>
        <v>4</v>
      </c>
      <c r="T305" t="str" cm="1">
        <f t="array" ref="T305">_xlfn.IFS(S305&lt;=12,"Morning",S305&lt;=16,"Afternoon",S305&lt;=21,"Evening",S305&lt;=24,"Night")</f>
        <v>Morning</v>
      </c>
    </row>
    <row r="306" spans="1:20" x14ac:dyDescent="0.25">
      <c r="A306" s="23" t="s">
        <v>340</v>
      </c>
      <c r="B306" s="19">
        <v>14.96</v>
      </c>
      <c r="C306" s="20">
        <v>8</v>
      </c>
      <c r="D306" s="19">
        <v>5.984</v>
      </c>
      <c r="E306" s="19">
        <v>125.664</v>
      </c>
      <c r="F306" s="21">
        <v>43519</v>
      </c>
      <c r="G306" s="22">
        <v>13.213888888888899</v>
      </c>
      <c r="H306" s="23" t="s">
        <v>29</v>
      </c>
      <c r="I306" s="19">
        <v>119.68</v>
      </c>
      <c r="J306" s="24">
        <v>4.7619047620000003</v>
      </c>
      <c r="K306" s="25">
        <v>8.6</v>
      </c>
      <c r="L306" s="23" t="str">
        <f>VLOOKUP(A306,'Customer-details'!$A$1:$C$1001,2,FALSE)</f>
        <v>Normal</v>
      </c>
      <c r="M306" s="23" t="str">
        <f>VLOOKUP(A306,'Customer-details'!$A$1:$C$1001,3,FALSE)</f>
        <v>Female</v>
      </c>
      <c r="N306" s="23" t="str">
        <f>VLOOKUP(A306,'Product-details'!$A$1:$B$1001,2,FALSE)</f>
        <v>Electronic accessories</v>
      </c>
      <c r="O306" s="23" t="str">
        <f>VLOOKUP(A306,'City-details'!$A$1:$C$1001,3,FALSE)</f>
        <v>Mandalay</v>
      </c>
      <c r="P306" s="23" t="str">
        <f>VLOOKUP(A306,'City-details'!$A$1:$C$1001,2,FALSE)</f>
        <v>B</v>
      </c>
      <c r="Q306" s="23" t="str">
        <f t="shared" si="12"/>
        <v>Feb</v>
      </c>
      <c r="R306" s="26" t="str">
        <f t="shared" si="13"/>
        <v>Sat</v>
      </c>
      <c r="S306">
        <f t="shared" si="14"/>
        <v>5</v>
      </c>
      <c r="T306" t="str" cm="1">
        <f t="array" ref="T306">_xlfn.IFS(S306&lt;=12,"Morning",S306&lt;=16,"Afternoon",S306&lt;=21,"Evening",S306&lt;=24,"Night")</f>
        <v>Morning</v>
      </c>
    </row>
    <row r="307" spans="1:20" x14ac:dyDescent="0.25">
      <c r="A307" s="31" t="s">
        <v>341</v>
      </c>
      <c r="B307" s="27">
        <v>72.2</v>
      </c>
      <c r="C307" s="28">
        <v>7</v>
      </c>
      <c r="D307" s="27">
        <v>25.27</v>
      </c>
      <c r="E307" s="27">
        <v>530.66999999999996</v>
      </c>
      <c r="F307" s="29">
        <v>43550</v>
      </c>
      <c r="G307" s="30">
        <v>13.255555555555601</v>
      </c>
      <c r="H307" s="31" t="s">
        <v>23</v>
      </c>
      <c r="I307" s="27">
        <v>505.4</v>
      </c>
      <c r="J307" s="32">
        <v>4.7619047620000003</v>
      </c>
      <c r="K307" s="33">
        <v>4.3</v>
      </c>
      <c r="L307" s="31" t="str">
        <f>VLOOKUP(A307,'Customer-details'!$A$1:$C$1001,2,FALSE)</f>
        <v>Member</v>
      </c>
      <c r="M307" s="31" t="str">
        <f>VLOOKUP(A307,'Customer-details'!$A$1:$C$1001,3,FALSE)</f>
        <v>Male</v>
      </c>
      <c r="N307" s="31" t="str">
        <f>VLOOKUP(A307,'Product-details'!$A$1:$B$1001,2,FALSE)</f>
        <v>Electronic accessories</v>
      </c>
      <c r="O307" s="31" t="str">
        <f>VLOOKUP(A307,'City-details'!$A$1:$C$1001,3,FALSE)</f>
        <v>Yangon</v>
      </c>
      <c r="P307" s="31" t="str">
        <f>VLOOKUP(A307,'City-details'!$A$1:$C$1001,2,FALSE)</f>
        <v>A</v>
      </c>
      <c r="Q307" s="31" t="str">
        <f t="shared" si="12"/>
        <v>Mar</v>
      </c>
      <c r="R307" s="34" t="str">
        <f t="shared" si="13"/>
        <v>Tue</v>
      </c>
      <c r="S307">
        <f t="shared" si="14"/>
        <v>6</v>
      </c>
      <c r="T307" t="str" cm="1">
        <f t="array" ref="T307">_xlfn.IFS(S307&lt;=12,"Morning",S307&lt;=16,"Afternoon",S307&lt;=21,"Evening",S307&lt;=24,"Night")</f>
        <v>Morning</v>
      </c>
    </row>
    <row r="308" spans="1:20" x14ac:dyDescent="0.25">
      <c r="A308" s="23" t="s">
        <v>342</v>
      </c>
      <c r="B308" s="19">
        <v>40.229999999999997</v>
      </c>
      <c r="C308" s="20">
        <v>7</v>
      </c>
      <c r="D308" s="19">
        <v>14.080500000000001</v>
      </c>
      <c r="E308" s="19">
        <v>295.69049999999999</v>
      </c>
      <c r="F308" s="21">
        <v>43554</v>
      </c>
      <c r="G308" s="22">
        <v>13.297222222222199</v>
      </c>
      <c r="H308" s="23" t="s">
        <v>29</v>
      </c>
      <c r="I308" s="19">
        <v>281.61</v>
      </c>
      <c r="J308" s="24">
        <v>4.7619047620000003</v>
      </c>
      <c r="K308" s="25">
        <v>9.6</v>
      </c>
      <c r="L308" s="23" t="str">
        <f>VLOOKUP(A308,'Customer-details'!$A$1:$C$1001,2,FALSE)</f>
        <v>Normal</v>
      </c>
      <c r="M308" s="23" t="str">
        <f>VLOOKUP(A308,'Customer-details'!$A$1:$C$1001,3,FALSE)</f>
        <v>Female</v>
      </c>
      <c r="N308" s="23" t="str">
        <f>VLOOKUP(A308,'Product-details'!$A$1:$B$1001,2,FALSE)</f>
        <v>Sports and travel</v>
      </c>
      <c r="O308" s="23" t="str">
        <f>VLOOKUP(A308,'City-details'!$A$1:$C$1001,3,FALSE)</f>
        <v>Yangon</v>
      </c>
      <c r="P308" s="23" t="str">
        <f>VLOOKUP(A308,'City-details'!$A$1:$C$1001,2,FALSE)</f>
        <v>A</v>
      </c>
      <c r="Q308" s="23" t="str">
        <f t="shared" si="12"/>
        <v>Mar</v>
      </c>
      <c r="R308" s="26" t="str">
        <f t="shared" si="13"/>
        <v>Sat</v>
      </c>
      <c r="S308">
        <f t="shared" si="14"/>
        <v>7</v>
      </c>
      <c r="T308" t="str" cm="1">
        <f t="array" ref="T308">_xlfn.IFS(S308&lt;=12,"Morning",S308&lt;=16,"Afternoon",S308&lt;=21,"Evening",S308&lt;=24,"Night")</f>
        <v>Morning</v>
      </c>
    </row>
    <row r="309" spans="1:20" x14ac:dyDescent="0.25">
      <c r="A309" s="31" t="s">
        <v>343</v>
      </c>
      <c r="B309" s="27">
        <v>88.79</v>
      </c>
      <c r="C309" s="28">
        <v>8</v>
      </c>
      <c r="D309" s="27">
        <v>35.515999999999998</v>
      </c>
      <c r="E309" s="27">
        <v>745.83600000000001</v>
      </c>
      <c r="F309" s="29">
        <v>43513</v>
      </c>
      <c r="G309" s="30">
        <v>13.338888888888899</v>
      </c>
      <c r="H309" s="31" t="s">
        <v>29</v>
      </c>
      <c r="I309" s="27">
        <v>710.32</v>
      </c>
      <c r="J309" s="32">
        <v>4.7619047620000003</v>
      </c>
      <c r="K309" s="33">
        <v>4.0999999999999996</v>
      </c>
      <c r="L309" s="31" t="str">
        <f>VLOOKUP(A309,'Customer-details'!$A$1:$C$1001,2,FALSE)</f>
        <v>Member</v>
      </c>
      <c r="M309" s="31" t="str">
        <f>VLOOKUP(A309,'Customer-details'!$A$1:$C$1001,3,FALSE)</f>
        <v>Female</v>
      </c>
      <c r="N309" s="31" t="str">
        <f>VLOOKUP(A309,'Product-details'!$A$1:$B$1001,2,FALSE)</f>
        <v>Home and lifestyle</v>
      </c>
      <c r="O309" s="31" t="str">
        <f>VLOOKUP(A309,'City-details'!$A$1:$C$1001,3,FALSE)</f>
        <v>Yangon</v>
      </c>
      <c r="P309" s="31" t="str">
        <f>VLOOKUP(A309,'City-details'!$A$1:$C$1001,2,FALSE)</f>
        <v>A</v>
      </c>
      <c r="Q309" s="31" t="str">
        <f t="shared" si="12"/>
        <v>Feb</v>
      </c>
      <c r="R309" s="34" t="str">
        <f t="shared" si="13"/>
        <v>Sun</v>
      </c>
      <c r="S309">
        <f t="shared" si="14"/>
        <v>8</v>
      </c>
      <c r="T309" t="str" cm="1">
        <f t="array" ref="T309">_xlfn.IFS(S309&lt;=12,"Morning",S309&lt;=16,"Afternoon",S309&lt;=21,"Evening",S309&lt;=24,"Night")</f>
        <v>Morning</v>
      </c>
    </row>
    <row r="310" spans="1:20" x14ac:dyDescent="0.25">
      <c r="A310" s="23" t="s">
        <v>344</v>
      </c>
      <c r="B310" s="19">
        <v>26.48</v>
      </c>
      <c r="C310" s="20">
        <v>3</v>
      </c>
      <c r="D310" s="19">
        <v>3.972</v>
      </c>
      <c r="E310" s="19">
        <v>83.412000000000006</v>
      </c>
      <c r="F310" s="21">
        <v>43545</v>
      </c>
      <c r="G310" s="22">
        <v>13.380555555555601</v>
      </c>
      <c r="H310" s="23" t="s">
        <v>23</v>
      </c>
      <c r="I310" s="19">
        <v>79.44</v>
      </c>
      <c r="J310" s="24">
        <v>4.7619047620000003</v>
      </c>
      <c r="K310" s="25">
        <v>4.7</v>
      </c>
      <c r="L310" s="23" t="str">
        <f>VLOOKUP(A310,'Customer-details'!$A$1:$C$1001,2,FALSE)</f>
        <v>Member</v>
      </c>
      <c r="M310" s="23" t="str">
        <f>VLOOKUP(A310,'Customer-details'!$A$1:$C$1001,3,FALSE)</f>
        <v>Female</v>
      </c>
      <c r="N310" s="23" t="str">
        <f>VLOOKUP(A310,'Product-details'!$A$1:$B$1001,2,FALSE)</f>
        <v>Electronic accessories</v>
      </c>
      <c r="O310" s="23" t="str">
        <f>VLOOKUP(A310,'City-details'!$A$1:$C$1001,3,FALSE)</f>
        <v>Yangon</v>
      </c>
      <c r="P310" s="23" t="str">
        <f>VLOOKUP(A310,'City-details'!$A$1:$C$1001,2,FALSE)</f>
        <v>A</v>
      </c>
      <c r="Q310" s="23" t="str">
        <f t="shared" si="12"/>
        <v>Mar</v>
      </c>
      <c r="R310" s="26" t="str">
        <f t="shared" si="13"/>
        <v>Thu</v>
      </c>
      <c r="S310">
        <f t="shared" si="14"/>
        <v>9</v>
      </c>
      <c r="T310" t="str" cm="1">
        <f t="array" ref="T310">_xlfn.IFS(S310&lt;=12,"Morning",S310&lt;=16,"Afternoon",S310&lt;=21,"Evening",S310&lt;=24,"Night")</f>
        <v>Morning</v>
      </c>
    </row>
    <row r="311" spans="1:20" x14ac:dyDescent="0.25">
      <c r="A311" s="31" t="s">
        <v>345</v>
      </c>
      <c r="B311" s="27">
        <v>81.91</v>
      </c>
      <c r="C311" s="28">
        <v>2</v>
      </c>
      <c r="D311" s="27">
        <v>8.1910000000000007</v>
      </c>
      <c r="E311" s="27">
        <v>172.011</v>
      </c>
      <c r="F311" s="29">
        <v>43529</v>
      </c>
      <c r="G311" s="30">
        <v>13.422222222222199</v>
      </c>
      <c r="H311" s="31" t="s">
        <v>29</v>
      </c>
      <c r="I311" s="27">
        <v>163.82</v>
      </c>
      <c r="J311" s="32">
        <v>4.7619047620000003</v>
      </c>
      <c r="K311" s="33">
        <v>7.8</v>
      </c>
      <c r="L311" s="31" t="str">
        <f>VLOOKUP(A311,'Customer-details'!$A$1:$C$1001,2,FALSE)</f>
        <v>Normal</v>
      </c>
      <c r="M311" s="31" t="str">
        <f>VLOOKUP(A311,'Customer-details'!$A$1:$C$1001,3,FALSE)</f>
        <v>Female</v>
      </c>
      <c r="N311" s="31" t="str">
        <f>VLOOKUP(A311,'Product-details'!$A$1:$B$1001,2,FALSE)</f>
        <v>Fashion accessories</v>
      </c>
      <c r="O311" s="31" t="str">
        <f>VLOOKUP(A311,'City-details'!$A$1:$C$1001,3,FALSE)</f>
        <v>Yangon</v>
      </c>
      <c r="P311" s="31" t="str">
        <f>VLOOKUP(A311,'City-details'!$A$1:$C$1001,2,FALSE)</f>
        <v>A</v>
      </c>
      <c r="Q311" s="31" t="str">
        <f t="shared" si="12"/>
        <v>Mar</v>
      </c>
      <c r="R311" s="34" t="str">
        <f t="shared" si="13"/>
        <v>Tue</v>
      </c>
      <c r="S311">
        <f t="shared" si="14"/>
        <v>10</v>
      </c>
      <c r="T311" t="str" cm="1">
        <f t="array" ref="T311">_xlfn.IFS(S311&lt;=12,"Morning",S311&lt;=16,"Afternoon",S311&lt;=21,"Evening",S311&lt;=24,"Night")</f>
        <v>Morning</v>
      </c>
    </row>
    <row r="312" spans="1:20" x14ac:dyDescent="0.25">
      <c r="A312" s="23" t="s">
        <v>346</v>
      </c>
      <c r="B312" s="19">
        <v>79.930000000000007</v>
      </c>
      <c r="C312" s="20">
        <v>6</v>
      </c>
      <c r="D312" s="19">
        <v>23.978999999999999</v>
      </c>
      <c r="E312" s="19">
        <v>503.55900000000003</v>
      </c>
      <c r="F312" s="21">
        <v>43496</v>
      </c>
      <c r="G312" s="22">
        <v>13.463888888888899</v>
      </c>
      <c r="H312" s="23" t="s">
        <v>29</v>
      </c>
      <c r="I312" s="19">
        <v>479.58</v>
      </c>
      <c r="J312" s="24">
        <v>4.7619047620000003</v>
      </c>
      <c r="K312" s="25">
        <v>5.5</v>
      </c>
      <c r="L312" s="23" t="str">
        <f>VLOOKUP(A312,'Customer-details'!$A$1:$C$1001,2,FALSE)</f>
        <v>Member</v>
      </c>
      <c r="M312" s="23" t="str">
        <f>VLOOKUP(A312,'Customer-details'!$A$1:$C$1001,3,FALSE)</f>
        <v>Male</v>
      </c>
      <c r="N312" s="23" t="str">
        <f>VLOOKUP(A312,'Product-details'!$A$1:$B$1001,2,FALSE)</f>
        <v>Sports and travel</v>
      </c>
      <c r="O312" s="23" t="str">
        <f>VLOOKUP(A312,'City-details'!$A$1:$C$1001,3,FALSE)</f>
        <v>Mandalay</v>
      </c>
      <c r="P312" s="23" t="str">
        <f>VLOOKUP(A312,'City-details'!$A$1:$C$1001,2,FALSE)</f>
        <v>B</v>
      </c>
      <c r="Q312" s="23" t="str">
        <f t="shared" si="12"/>
        <v>Jan</v>
      </c>
      <c r="R312" s="26" t="str">
        <f t="shared" si="13"/>
        <v>Thu</v>
      </c>
      <c r="S312">
        <f t="shared" si="14"/>
        <v>11</v>
      </c>
      <c r="T312" t="str" cm="1">
        <f t="array" ref="T312">_xlfn.IFS(S312&lt;=12,"Morning",S312&lt;=16,"Afternoon",S312&lt;=21,"Evening",S312&lt;=24,"Night")</f>
        <v>Morning</v>
      </c>
    </row>
    <row r="313" spans="1:20" x14ac:dyDescent="0.25">
      <c r="A313" s="31" t="s">
        <v>347</v>
      </c>
      <c r="B313" s="27">
        <v>69.33</v>
      </c>
      <c r="C313" s="28">
        <v>2</v>
      </c>
      <c r="D313" s="27">
        <v>6.9329999999999998</v>
      </c>
      <c r="E313" s="27">
        <v>145.59299999999999</v>
      </c>
      <c r="F313" s="29">
        <v>43501</v>
      </c>
      <c r="G313" s="30">
        <v>13.505555555555601</v>
      </c>
      <c r="H313" s="31" t="s">
        <v>23</v>
      </c>
      <c r="I313" s="27">
        <v>138.66</v>
      </c>
      <c r="J313" s="32">
        <v>4.7619047620000003</v>
      </c>
      <c r="K313" s="33">
        <v>9.6999999999999993</v>
      </c>
      <c r="L313" s="31" t="str">
        <f>VLOOKUP(A313,'Customer-details'!$A$1:$C$1001,2,FALSE)</f>
        <v>Member</v>
      </c>
      <c r="M313" s="31" t="str">
        <f>VLOOKUP(A313,'Customer-details'!$A$1:$C$1001,3,FALSE)</f>
        <v>Male</v>
      </c>
      <c r="N313" s="31" t="str">
        <f>VLOOKUP(A313,'Product-details'!$A$1:$B$1001,2,FALSE)</f>
        <v>Fashion accessories</v>
      </c>
      <c r="O313" s="31" t="str">
        <f>VLOOKUP(A313,'City-details'!$A$1:$C$1001,3,FALSE)</f>
        <v>Naypyitaw</v>
      </c>
      <c r="P313" s="31" t="str">
        <f>VLOOKUP(A313,'City-details'!$A$1:$C$1001,2,FALSE)</f>
        <v>C</v>
      </c>
      <c r="Q313" s="31" t="str">
        <f t="shared" si="12"/>
        <v>Feb</v>
      </c>
      <c r="R313" s="34" t="str">
        <f t="shared" si="13"/>
        <v>Tue</v>
      </c>
      <c r="S313">
        <f t="shared" si="14"/>
        <v>12</v>
      </c>
      <c r="T313" t="str" cm="1">
        <f t="array" ref="T313">_xlfn.IFS(S313&lt;=12,"Morning",S313&lt;=16,"Afternoon",S313&lt;=21,"Evening",S313&lt;=24,"Night")</f>
        <v>Morning</v>
      </c>
    </row>
    <row r="314" spans="1:20" x14ac:dyDescent="0.25">
      <c r="A314" s="23" t="s">
        <v>348</v>
      </c>
      <c r="B314" s="19">
        <v>14.23</v>
      </c>
      <c r="C314" s="20">
        <v>5</v>
      </c>
      <c r="D314" s="19">
        <v>3.5575000000000001</v>
      </c>
      <c r="E314" s="19">
        <v>74.707499999999996</v>
      </c>
      <c r="F314" s="21">
        <v>43497</v>
      </c>
      <c r="G314" s="22">
        <v>13.547222222222199</v>
      </c>
      <c r="H314" s="23" t="s">
        <v>33</v>
      </c>
      <c r="I314" s="19">
        <v>71.150000000000006</v>
      </c>
      <c r="J314" s="24">
        <v>4.7619047620000003</v>
      </c>
      <c r="K314" s="25">
        <v>4.4000000000000004</v>
      </c>
      <c r="L314" s="23" t="str">
        <f>VLOOKUP(A314,'Customer-details'!$A$1:$C$1001,2,FALSE)</f>
        <v>Member</v>
      </c>
      <c r="M314" s="23" t="str">
        <f>VLOOKUP(A314,'Customer-details'!$A$1:$C$1001,3,FALSE)</f>
        <v>Female</v>
      </c>
      <c r="N314" s="23" t="str">
        <f>VLOOKUP(A314,'Product-details'!$A$1:$B$1001,2,FALSE)</f>
        <v>Food and beverages</v>
      </c>
      <c r="O314" s="23" t="str">
        <f>VLOOKUP(A314,'City-details'!$A$1:$C$1001,3,FALSE)</f>
        <v>Yangon</v>
      </c>
      <c r="P314" s="23" t="str">
        <f>VLOOKUP(A314,'City-details'!$A$1:$C$1001,2,FALSE)</f>
        <v>A</v>
      </c>
      <c r="Q314" s="23" t="str">
        <f t="shared" si="12"/>
        <v>Feb</v>
      </c>
      <c r="R314" s="26" t="str">
        <f t="shared" si="13"/>
        <v>Fri</v>
      </c>
      <c r="S314">
        <f t="shared" si="14"/>
        <v>13</v>
      </c>
      <c r="T314" t="str" cm="1">
        <f t="array" ref="T314">_xlfn.IFS(S314&lt;=12,"Morning",S314&lt;=16,"Afternoon",S314&lt;=21,"Evening",S314&lt;=24,"Night")</f>
        <v>Afternoon</v>
      </c>
    </row>
    <row r="315" spans="1:20" x14ac:dyDescent="0.25">
      <c r="A315" s="31" t="s">
        <v>349</v>
      </c>
      <c r="B315" s="27">
        <v>15.55</v>
      </c>
      <c r="C315" s="28">
        <v>9</v>
      </c>
      <c r="D315" s="27">
        <v>6.9974999999999996</v>
      </c>
      <c r="E315" s="27">
        <v>146.94749999999999</v>
      </c>
      <c r="F315" s="29">
        <v>43531</v>
      </c>
      <c r="G315" s="30">
        <v>13.588888888888899</v>
      </c>
      <c r="H315" s="31" t="s">
        <v>29</v>
      </c>
      <c r="I315" s="27">
        <v>139.94999999999999</v>
      </c>
      <c r="J315" s="32">
        <v>4.7619047620000003</v>
      </c>
      <c r="K315" s="33">
        <v>5</v>
      </c>
      <c r="L315" s="31" t="str">
        <f>VLOOKUP(A315,'Customer-details'!$A$1:$C$1001,2,FALSE)</f>
        <v>Member</v>
      </c>
      <c r="M315" s="31" t="str">
        <f>VLOOKUP(A315,'Customer-details'!$A$1:$C$1001,3,FALSE)</f>
        <v>Female</v>
      </c>
      <c r="N315" s="31" t="str">
        <f>VLOOKUP(A315,'Product-details'!$A$1:$B$1001,2,FALSE)</f>
        <v>Health and beauty</v>
      </c>
      <c r="O315" s="31" t="str">
        <f>VLOOKUP(A315,'City-details'!$A$1:$C$1001,3,FALSE)</f>
        <v>Yangon</v>
      </c>
      <c r="P315" s="31" t="str">
        <f>VLOOKUP(A315,'City-details'!$A$1:$C$1001,2,FALSE)</f>
        <v>A</v>
      </c>
      <c r="Q315" s="31" t="str">
        <f t="shared" si="12"/>
        <v>Mar</v>
      </c>
      <c r="R315" s="34" t="str">
        <f t="shared" si="13"/>
        <v>Thu</v>
      </c>
      <c r="S315">
        <f t="shared" si="14"/>
        <v>14</v>
      </c>
      <c r="T315" t="str" cm="1">
        <f t="array" ref="T315">_xlfn.IFS(S315&lt;=12,"Morning",S315&lt;=16,"Afternoon",S315&lt;=21,"Evening",S315&lt;=24,"Night")</f>
        <v>Afternoon</v>
      </c>
    </row>
    <row r="316" spans="1:20" x14ac:dyDescent="0.25">
      <c r="A316" s="23" t="s">
        <v>350</v>
      </c>
      <c r="B316" s="19">
        <v>78.13</v>
      </c>
      <c r="C316" s="20">
        <v>10</v>
      </c>
      <c r="D316" s="19">
        <v>39.064999999999998</v>
      </c>
      <c r="E316" s="19">
        <v>820.36500000000001</v>
      </c>
      <c r="F316" s="21">
        <v>43506</v>
      </c>
      <c r="G316" s="22">
        <v>13.630555555555601</v>
      </c>
      <c r="H316" s="23" t="s">
        <v>29</v>
      </c>
      <c r="I316" s="19">
        <v>781.3</v>
      </c>
      <c r="J316" s="24">
        <v>4.7619047620000003</v>
      </c>
      <c r="K316" s="25">
        <v>4.4000000000000004</v>
      </c>
      <c r="L316" s="23" t="str">
        <f>VLOOKUP(A316,'Customer-details'!$A$1:$C$1001,2,FALSE)</f>
        <v>Member</v>
      </c>
      <c r="M316" s="23" t="str">
        <f>VLOOKUP(A316,'Customer-details'!$A$1:$C$1001,3,FALSE)</f>
        <v>Female</v>
      </c>
      <c r="N316" s="23" t="str">
        <f>VLOOKUP(A316,'Product-details'!$A$1:$B$1001,2,FALSE)</f>
        <v>Electronic accessories</v>
      </c>
      <c r="O316" s="23" t="str">
        <f>VLOOKUP(A316,'City-details'!$A$1:$C$1001,3,FALSE)</f>
        <v>Naypyitaw</v>
      </c>
      <c r="P316" s="23" t="str">
        <f>VLOOKUP(A316,'City-details'!$A$1:$C$1001,2,FALSE)</f>
        <v>C</v>
      </c>
      <c r="Q316" s="23" t="str">
        <f t="shared" si="12"/>
        <v>Feb</v>
      </c>
      <c r="R316" s="26" t="str">
        <f t="shared" si="13"/>
        <v>Sun</v>
      </c>
      <c r="S316">
        <f t="shared" si="14"/>
        <v>15</v>
      </c>
      <c r="T316" t="str" cm="1">
        <f t="array" ref="T316">_xlfn.IFS(S316&lt;=12,"Morning",S316&lt;=16,"Afternoon",S316&lt;=21,"Evening",S316&lt;=24,"Night")</f>
        <v>Afternoon</v>
      </c>
    </row>
    <row r="317" spans="1:20" x14ac:dyDescent="0.25">
      <c r="A317" s="31" t="s">
        <v>351</v>
      </c>
      <c r="B317" s="27">
        <v>99.37</v>
      </c>
      <c r="C317" s="28">
        <v>2</v>
      </c>
      <c r="D317" s="27">
        <v>9.9369999999999994</v>
      </c>
      <c r="E317" s="27">
        <v>208.67699999999999</v>
      </c>
      <c r="F317" s="29">
        <v>43510</v>
      </c>
      <c r="G317" s="30">
        <v>13.672222222222199</v>
      </c>
      <c r="H317" s="31" t="s">
        <v>29</v>
      </c>
      <c r="I317" s="27">
        <v>198.74</v>
      </c>
      <c r="J317" s="32">
        <v>4.7619047620000003</v>
      </c>
      <c r="K317" s="33">
        <v>5.2</v>
      </c>
      <c r="L317" s="31" t="str">
        <f>VLOOKUP(A317,'Customer-details'!$A$1:$C$1001,2,FALSE)</f>
        <v>Member</v>
      </c>
      <c r="M317" s="31" t="str">
        <f>VLOOKUP(A317,'Customer-details'!$A$1:$C$1001,3,FALSE)</f>
        <v>Male</v>
      </c>
      <c r="N317" s="31" t="str">
        <f>VLOOKUP(A317,'Product-details'!$A$1:$B$1001,2,FALSE)</f>
        <v>Food and beverages</v>
      </c>
      <c r="O317" s="31" t="str">
        <f>VLOOKUP(A317,'City-details'!$A$1:$C$1001,3,FALSE)</f>
        <v>Naypyitaw</v>
      </c>
      <c r="P317" s="31" t="str">
        <f>VLOOKUP(A317,'City-details'!$A$1:$C$1001,2,FALSE)</f>
        <v>C</v>
      </c>
      <c r="Q317" s="31" t="str">
        <f t="shared" si="12"/>
        <v>Feb</v>
      </c>
      <c r="R317" s="34" t="str">
        <f t="shared" si="13"/>
        <v>Thu</v>
      </c>
      <c r="S317">
        <f t="shared" si="14"/>
        <v>16</v>
      </c>
      <c r="T317" t="str" cm="1">
        <f t="array" ref="T317">_xlfn.IFS(S317&lt;=12,"Morning",S317&lt;=16,"Afternoon",S317&lt;=21,"Evening",S317&lt;=24,"Night")</f>
        <v>Afternoon</v>
      </c>
    </row>
    <row r="318" spans="1:20" x14ac:dyDescent="0.25">
      <c r="A318" s="23" t="s">
        <v>352</v>
      </c>
      <c r="B318" s="19">
        <v>21.08</v>
      </c>
      <c r="C318" s="20">
        <v>3</v>
      </c>
      <c r="D318" s="19">
        <v>3.1619999999999999</v>
      </c>
      <c r="E318" s="19">
        <v>66.402000000000001</v>
      </c>
      <c r="F318" s="21">
        <v>43505</v>
      </c>
      <c r="G318" s="22">
        <v>13.713888888888899</v>
      </c>
      <c r="H318" s="23" t="s">
        <v>29</v>
      </c>
      <c r="I318" s="19">
        <v>63.24</v>
      </c>
      <c r="J318" s="24">
        <v>4.7619047620000003</v>
      </c>
      <c r="K318" s="25">
        <v>7.3</v>
      </c>
      <c r="L318" s="23" t="str">
        <f>VLOOKUP(A318,'Customer-details'!$A$1:$C$1001,2,FALSE)</f>
        <v>Member</v>
      </c>
      <c r="M318" s="23" t="str">
        <f>VLOOKUP(A318,'Customer-details'!$A$1:$C$1001,3,FALSE)</f>
        <v>Female</v>
      </c>
      <c r="N318" s="23" t="str">
        <f>VLOOKUP(A318,'Product-details'!$A$1:$B$1001,2,FALSE)</f>
        <v>Food and beverages</v>
      </c>
      <c r="O318" s="23" t="str">
        <f>VLOOKUP(A318,'City-details'!$A$1:$C$1001,3,FALSE)</f>
        <v>Naypyitaw</v>
      </c>
      <c r="P318" s="23" t="str">
        <f>VLOOKUP(A318,'City-details'!$A$1:$C$1001,2,FALSE)</f>
        <v>C</v>
      </c>
      <c r="Q318" s="23" t="str">
        <f t="shared" si="12"/>
        <v>Feb</v>
      </c>
      <c r="R318" s="26" t="str">
        <f t="shared" si="13"/>
        <v>Sat</v>
      </c>
      <c r="S318">
        <f t="shared" si="14"/>
        <v>17</v>
      </c>
      <c r="T318" t="str" cm="1">
        <f t="array" ref="T318">_xlfn.IFS(S318&lt;=12,"Morning",S318&lt;=16,"Afternoon",S318&lt;=21,"Evening",S318&lt;=24,"Night")</f>
        <v>Evening</v>
      </c>
    </row>
    <row r="319" spans="1:20" x14ac:dyDescent="0.25">
      <c r="A319" s="31" t="s">
        <v>353</v>
      </c>
      <c r="B319" s="27">
        <v>74.790000000000006</v>
      </c>
      <c r="C319" s="28">
        <v>5</v>
      </c>
      <c r="D319" s="27">
        <v>18.697500000000002</v>
      </c>
      <c r="E319" s="27">
        <v>392.64749999999998</v>
      </c>
      <c r="F319" s="29">
        <v>43475</v>
      </c>
      <c r="G319" s="30">
        <v>13.755555555555601</v>
      </c>
      <c r="H319" s="31" t="s">
        <v>29</v>
      </c>
      <c r="I319" s="27">
        <v>373.95</v>
      </c>
      <c r="J319" s="32">
        <v>4.7619047620000003</v>
      </c>
      <c r="K319" s="33">
        <v>4.9000000000000004</v>
      </c>
      <c r="L319" s="31" t="str">
        <f>VLOOKUP(A319,'Customer-details'!$A$1:$C$1001,2,FALSE)</f>
        <v>Member</v>
      </c>
      <c r="M319" s="31" t="str">
        <f>VLOOKUP(A319,'Customer-details'!$A$1:$C$1001,3,FALSE)</f>
        <v>Male</v>
      </c>
      <c r="N319" s="31" t="str">
        <f>VLOOKUP(A319,'Product-details'!$A$1:$B$1001,2,FALSE)</f>
        <v>Electronic accessories</v>
      </c>
      <c r="O319" s="31" t="str">
        <f>VLOOKUP(A319,'City-details'!$A$1:$C$1001,3,FALSE)</f>
        <v>Naypyitaw</v>
      </c>
      <c r="P319" s="31" t="str">
        <f>VLOOKUP(A319,'City-details'!$A$1:$C$1001,2,FALSE)</f>
        <v>C</v>
      </c>
      <c r="Q319" s="31" t="str">
        <f t="shared" si="12"/>
        <v>Jan</v>
      </c>
      <c r="R319" s="34" t="str">
        <f t="shared" si="13"/>
        <v>Thu</v>
      </c>
      <c r="S319">
        <f t="shared" si="14"/>
        <v>18</v>
      </c>
      <c r="T319" t="str" cm="1">
        <f t="array" ref="T319">_xlfn.IFS(S319&lt;=12,"Morning",S319&lt;=16,"Afternoon",S319&lt;=21,"Evening",S319&lt;=24,"Night")</f>
        <v>Evening</v>
      </c>
    </row>
    <row r="320" spans="1:20" x14ac:dyDescent="0.25">
      <c r="A320" s="23" t="s">
        <v>354</v>
      </c>
      <c r="B320" s="19">
        <v>29.67</v>
      </c>
      <c r="C320" s="20">
        <v>7</v>
      </c>
      <c r="D320" s="19">
        <v>10.384499999999999</v>
      </c>
      <c r="E320" s="19">
        <v>218.0745</v>
      </c>
      <c r="F320" s="21">
        <v>43535</v>
      </c>
      <c r="G320" s="22">
        <v>13.797222222222199</v>
      </c>
      <c r="H320" s="23" t="s">
        <v>33</v>
      </c>
      <c r="I320" s="19">
        <v>207.69</v>
      </c>
      <c r="J320" s="24">
        <v>4.7619047620000003</v>
      </c>
      <c r="K320" s="25">
        <v>8.1</v>
      </c>
      <c r="L320" s="23" t="str">
        <f>VLOOKUP(A320,'Customer-details'!$A$1:$C$1001,2,FALSE)</f>
        <v>Member</v>
      </c>
      <c r="M320" s="23" t="str">
        <f>VLOOKUP(A320,'Customer-details'!$A$1:$C$1001,3,FALSE)</f>
        <v>Female</v>
      </c>
      <c r="N320" s="23" t="str">
        <f>VLOOKUP(A320,'Product-details'!$A$1:$B$1001,2,FALSE)</f>
        <v>Health and beauty</v>
      </c>
      <c r="O320" s="23" t="str">
        <f>VLOOKUP(A320,'City-details'!$A$1:$C$1001,3,FALSE)</f>
        <v>Naypyitaw</v>
      </c>
      <c r="P320" s="23" t="str">
        <f>VLOOKUP(A320,'City-details'!$A$1:$C$1001,2,FALSE)</f>
        <v>C</v>
      </c>
      <c r="Q320" s="23" t="str">
        <f t="shared" si="12"/>
        <v>Mar</v>
      </c>
      <c r="R320" s="26" t="str">
        <f t="shared" si="13"/>
        <v>Mon</v>
      </c>
      <c r="S320">
        <f t="shared" si="14"/>
        <v>19</v>
      </c>
      <c r="T320" t="str" cm="1">
        <f t="array" ref="T320">_xlfn.IFS(S320&lt;=12,"Morning",S320&lt;=16,"Afternoon",S320&lt;=21,"Evening",S320&lt;=24,"Night")</f>
        <v>Evening</v>
      </c>
    </row>
    <row r="321" spans="1:20" x14ac:dyDescent="0.25">
      <c r="A321" s="31" t="s">
        <v>355</v>
      </c>
      <c r="B321" s="27">
        <v>44.07</v>
      </c>
      <c r="C321" s="28">
        <v>4</v>
      </c>
      <c r="D321" s="27">
        <v>8.8140000000000001</v>
      </c>
      <c r="E321" s="27">
        <v>185.09399999999999</v>
      </c>
      <c r="F321" s="29">
        <v>43514</v>
      </c>
      <c r="G321" s="30">
        <v>13.838888888888899</v>
      </c>
      <c r="H321" s="31" t="s">
        <v>23</v>
      </c>
      <c r="I321" s="27">
        <v>176.28</v>
      </c>
      <c r="J321" s="32">
        <v>4.7619047620000003</v>
      </c>
      <c r="K321" s="33">
        <v>8.4</v>
      </c>
      <c r="L321" s="31" t="str">
        <f>VLOOKUP(A321,'Customer-details'!$A$1:$C$1001,2,FALSE)</f>
        <v>Member</v>
      </c>
      <c r="M321" s="31" t="str">
        <f>VLOOKUP(A321,'Customer-details'!$A$1:$C$1001,3,FALSE)</f>
        <v>Male</v>
      </c>
      <c r="N321" s="31" t="str">
        <f>VLOOKUP(A321,'Product-details'!$A$1:$B$1001,2,FALSE)</f>
        <v>Health and beauty</v>
      </c>
      <c r="O321" s="31" t="str">
        <f>VLOOKUP(A321,'City-details'!$A$1:$C$1001,3,FALSE)</f>
        <v>Naypyitaw</v>
      </c>
      <c r="P321" s="31" t="str">
        <f>VLOOKUP(A321,'City-details'!$A$1:$C$1001,2,FALSE)</f>
        <v>C</v>
      </c>
      <c r="Q321" s="31" t="str">
        <f t="shared" si="12"/>
        <v>Feb</v>
      </c>
      <c r="R321" s="34" t="str">
        <f t="shared" si="13"/>
        <v>Mon</v>
      </c>
      <c r="S321">
        <f t="shared" si="14"/>
        <v>20</v>
      </c>
      <c r="T321" t="str" cm="1">
        <f t="array" ref="T321">_xlfn.IFS(S321&lt;=12,"Morning",S321&lt;=16,"Afternoon",S321&lt;=21,"Evening",S321&lt;=24,"Night")</f>
        <v>Evening</v>
      </c>
    </row>
    <row r="322" spans="1:20" x14ac:dyDescent="0.25">
      <c r="A322" s="23" t="s">
        <v>356</v>
      </c>
      <c r="B322" s="19">
        <v>22.93</v>
      </c>
      <c r="C322" s="20">
        <v>9</v>
      </c>
      <c r="D322" s="19">
        <v>10.3185</v>
      </c>
      <c r="E322" s="19">
        <v>216.6885</v>
      </c>
      <c r="F322" s="21">
        <v>43522</v>
      </c>
      <c r="G322" s="22">
        <v>13.880555555555601</v>
      </c>
      <c r="H322" s="23" t="s">
        <v>29</v>
      </c>
      <c r="I322" s="19">
        <v>206.37</v>
      </c>
      <c r="J322" s="24">
        <v>4.7619047620000003</v>
      </c>
      <c r="K322" s="25">
        <v>5.5</v>
      </c>
      <c r="L322" s="23" t="str">
        <f>VLOOKUP(A322,'Customer-details'!$A$1:$C$1001,2,FALSE)</f>
        <v>Normal</v>
      </c>
      <c r="M322" s="23" t="str">
        <f>VLOOKUP(A322,'Customer-details'!$A$1:$C$1001,3,FALSE)</f>
        <v>Female</v>
      </c>
      <c r="N322" s="23" t="str">
        <f>VLOOKUP(A322,'Product-details'!$A$1:$B$1001,2,FALSE)</f>
        <v>Food and beverages</v>
      </c>
      <c r="O322" s="23" t="str">
        <f>VLOOKUP(A322,'City-details'!$A$1:$C$1001,3,FALSE)</f>
        <v>Naypyitaw</v>
      </c>
      <c r="P322" s="23" t="str">
        <f>VLOOKUP(A322,'City-details'!$A$1:$C$1001,2,FALSE)</f>
        <v>C</v>
      </c>
      <c r="Q322" s="23" t="str">
        <f t="shared" si="12"/>
        <v>Feb</v>
      </c>
      <c r="R322" s="26" t="str">
        <f t="shared" si="13"/>
        <v>Tue</v>
      </c>
      <c r="S322">
        <f t="shared" si="14"/>
        <v>21</v>
      </c>
      <c r="T322" t="str" cm="1">
        <f t="array" ref="T322">_xlfn.IFS(S322&lt;=12,"Morning",S322&lt;=16,"Afternoon",S322&lt;=21,"Evening",S322&lt;=24,"Night")</f>
        <v>Evening</v>
      </c>
    </row>
    <row r="323" spans="1:20" x14ac:dyDescent="0.25">
      <c r="A323" s="31" t="s">
        <v>357</v>
      </c>
      <c r="B323" s="27">
        <v>39.42</v>
      </c>
      <c r="C323" s="28">
        <v>1</v>
      </c>
      <c r="D323" s="27">
        <v>1.9710000000000001</v>
      </c>
      <c r="E323" s="27">
        <v>41.390999999999998</v>
      </c>
      <c r="F323" s="29">
        <v>43483</v>
      </c>
      <c r="G323" s="30">
        <v>13.922222222222199</v>
      </c>
      <c r="H323" s="31" t="s">
        <v>29</v>
      </c>
      <c r="I323" s="27">
        <v>39.42</v>
      </c>
      <c r="J323" s="32">
        <v>4.7619047620000003</v>
      </c>
      <c r="K323" s="33">
        <v>8.4</v>
      </c>
      <c r="L323" s="31" t="str">
        <f>VLOOKUP(A323,'Customer-details'!$A$1:$C$1001,2,FALSE)</f>
        <v>Normal</v>
      </c>
      <c r="M323" s="31" t="str">
        <f>VLOOKUP(A323,'Customer-details'!$A$1:$C$1001,3,FALSE)</f>
        <v>Female</v>
      </c>
      <c r="N323" s="31" t="str">
        <f>VLOOKUP(A323,'Product-details'!$A$1:$B$1001,2,FALSE)</f>
        <v>Health and beauty</v>
      </c>
      <c r="O323" s="31" t="str">
        <f>VLOOKUP(A323,'City-details'!$A$1:$C$1001,3,FALSE)</f>
        <v>Naypyitaw</v>
      </c>
      <c r="P323" s="31" t="str">
        <f>VLOOKUP(A323,'City-details'!$A$1:$C$1001,2,FALSE)</f>
        <v>C</v>
      </c>
      <c r="Q323" s="31" t="str">
        <f t="shared" ref="Q323:Q386" si="15">TEXT(F323,"mmm")</f>
        <v>Jan</v>
      </c>
      <c r="R323" s="34" t="str">
        <f t="shared" ref="R323:R386" si="16">TEXT(F323,"ddd")</f>
        <v>Fri</v>
      </c>
      <c r="S323">
        <f t="shared" ref="S323:S386" si="17">HOUR(G323)</f>
        <v>22</v>
      </c>
      <c r="T323" t="str" cm="1">
        <f t="array" ref="T323">_xlfn.IFS(S323&lt;=12,"Morning",S323&lt;=16,"Afternoon",S323&lt;=21,"Evening",S323&lt;=24,"Night")</f>
        <v>Night</v>
      </c>
    </row>
    <row r="324" spans="1:20" x14ac:dyDescent="0.25">
      <c r="A324" s="23" t="s">
        <v>358</v>
      </c>
      <c r="B324" s="19">
        <v>15.26</v>
      </c>
      <c r="C324" s="20">
        <v>6</v>
      </c>
      <c r="D324" s="19">
        <v>4.5780000000000003</v>
      </c>
      <c r="E324" s="19">
        <v>96.138000000000005</v>
      </c>
      <c r="F324" s="21">
        <v>43511</v>
      </c>
      <c r="G324" s="22">
        <v>13.963888888888899</v>
      </c>
      <c r="H324" s="23" t="s">
        <v>23</v>
      </c>
      <c r="I324" s="19">
        <v>91.56</v>
      </c>
      <c r="J324" s="24">
        <v>4.7619047620000003</v>
      </c>
      <c r="K324" s="25">
        <v>9.8000000000000007</v>
      </c>
      <c r="L324" s="23" t="str">
        <f>VLOOKUP(A324,'Customer-details'!$A$1:$C$1001,2,FALSE)</f>
        <v>Normal</v>
      </c>
      <c r="M324" s="23" t="str">
        <f>VLOOKUP(A324,'Customer-details'!$A$1:$C$1001,3,FALSE)</f>
        <v>Male</v>
      </c>
      <c r="N324" s="23" t="str">
        <f>VLOOKUP(A324,'Product-details'!$A$1:$B$1001,2,FALSE)</f>
        <v>Health and beauty</v>
      </c>
      <c r="O324" s="23" t="str">
        <f>VLOOKUP(A324,'City-details'!$A$1:$C$1001,3,FALSE)</f>
        <v>Yangon</v>
      </c>
      <c r="P324" s="23" t="str">
        <f>VLOOKUP(A324,'City-details'!$A$1:$C$1001,2,FALSE)</f>
        <v>A</v>
      </c>
      <c r="Q324" s="23" t="str">
        <f t="shared" si="15"/>
        <v>Feb</v>
      </c>
      <c r="R324" s="26" t="str">
        <f t="shared" si="16"/>
        <v>Fri</v>
      </c>
      <c r="S324">
        <f t="shared" si="17"/>
        <v>23</v>
      </c>
      <c r="T324" t="str" cm="1">
        <f t="array" ref="T324">_xlfn.IFS(S324&lt;=12,"Morning",S324&lt;=16,"Afternoon",S324&lt;=21,"Evening",S324&lt;=24,"Night")</f>
        <v>Night</v>
      </c>
    </row>
    <row r="325" spans="1:20" x14ac:dyDescent="0.25">
      <c r="A325" s="31" t="s">
        <v>359</v>
      </c>
      <c r="B325" s="27">
        <v>61.77</v>
      </c>
      <c r="C325" s="28">
        <v>5</v>
      </c>
      <c r="D325" s="27">
        <v>15.442500000000001</v>
      </c>
      <c r="E325" s="27">
        <v>324.29250000000002</v>
      </c>
      <c r="F325" s="29">
        <v>43532</v>
      </c>
      <c r="G325" s="30">
        <v>14.005555555555601</v>
      </c>
      <c r="H325" s="31" t="s">
        <v>29</v>
      </c>
      <c r="I325" s="27">
        <v>308.85000000000002</v>
      </c>
      <c r="J325" s="32">
        <v>4.7619047620000003</v>
      </c>
      <c r="K325" s="33">
        <v>6.7</v>
      </c>
      <c r="L325" s="31" t="str">
        <f>VLOOKUP(A325,'Customer-details'!$A$1:$C$1001,2,FALSE)</f>
        <v>Normal</v>
      </c>
      <c r="M325" s="31" t="str">
        <f>VLOOKUP(A325,'Customer-details'!$A$1:$C$1001,3,FALSE)</f>
        <v>Female</v>
      </c>
      <c r="N325" s="31" t="str">
        <f>VLOOKUP(A325,'Product-details'!$A$1:$B$1001,2,FALSE)</f>
        <v>Fashion accessories</v>
      </c>
      <c r="O325" s="31" t="str">
        <f>VLOOKUP(A325,'City-details'!$A$1:$C$1001,3,FALSE)</f>
        <v>Yangon</v>
      </c>
      <c r="P325" s="31" t="str">
        <f>VLOOKUP(A325,'City-details'!$A$1:$C$1001,2,FALSE)</f>
        <v>A</v>
      </c>
      <c r="Q325" s="31" t="str">
        <f t="shared" si="15"/>
        <v>Mar</v>
      </c>
      <c r="R325" s="34" t="str">
        <f t="shared" si="16"/>
        <v>Fri</v>
      </c>
      <c r="S325">
        <f t="shared" si="17"/>
        <v>0</v>
      </c>
      <c r="T325" t="str" cm="1">
        <f t="array" ref="T325">_xlfn.IFS(S325&lt;=12,"Morning",S325&lt;=16,"Afternoon",S325&lt;=21,"Evening",S325&lt;=24,"Night")</f>
        <v>Morning</v>
      </c>
    </row>
    <row r="326" spans="1:20" x14ac:dyDescent="0.25">
      <c r="A326" s="23" t="s">
        <v>360</v>
      </c>
      <c r="B326" s="19">
        <v>21.52</v>
      </c>
      <c r="C326" s="20">
        <v>6</v>
      </c>
      <c r="D326" s="19">
        <v>6.4560000000000004</v>
      </c>
      <c r="E326" s="19">
        <v>135.57599999999999</v>
      </c>
      <c r="F326" s="21">
        <v>43482</v>
      </c>
      <c r="G326" s="22">
        <v>14.047222222222199</v>
      </c>
      <c r="H326" s="23" t="s">
        <v>33</v>
      </c>
      <c r="I326" s="19">
        <v>129.12</v>
      </c>
      <c r="J326" s="24">
        <v>4.7619047620000003</v>
      </c>
      <c r="K326" s="25">
        <v>9.4</v>
      </c>
      <c r="L326" s="23" t="str">
        <f>VLOOKUP(A326,'Customer-details'!$A$1:$C$1001,2,FALSE)</f>
        <v>Normal</v>
      </c>
      <c r="M326" s="23" t="str">
        <f>VLOOKUP(A326,'Customer-details'!$A$1:$C$1001,3,FALSE)</f>
        <v>Male</v>
      </c>
      <c r="N326" s="23" t="str">
        <f>VLOOKUP(A326,'Product-details'!$A$1:$B$1001,2,FALSE)</f>
        <v>Home and lifestyle</v>
      </c>
      <c r="O326" s="23" t="str">
        <f>VLOOKUP(A326,'City-details'!$A$1:$C$1001,3,FALSE)</f>
        <v>Yangon</v>
      </c>
      <c r="P326" s="23" t="str">
        <f>VLOOKUP(A326,'City-details'!$A$1:$C$1001,2,FALSE)</f>
        <v>A</v>
      </c>
      <c r="Q326" s="23" t="str">
        <f t="shared" si="15"/>
        <v>Jan</v>
      </c>
      <c r="R326" s="26" t="str">
        <f t="shared" si="16"/>
        <v>Thu</v>
      </c>
      <c r="S326">
        <f t="shared" si="17"/>
        <v>1</v>
      </c>
      <c r="T326" t="str" cm="1">
        <f t="array" ref="T326">_xlfn.IFS(S326&lt;=12,"Morning",S326&lt;=16,"Afternoon",S326&lt;=21,"Evening",S326&lt;=24,"Night")</f>
        <v>Morning</v>
      </c>
    </row>
    <row r="327" spans="1:20" x14ac:dyDescent="0.25">
      <c r="A327" s="31" t="s">
        <v>361</v>
      </c>
      <c r="B327" s="27">
        <v>97.74</v>
      </c>
      <c r="C327" s="28">
        <v>4</v>
      </c>
      <c r="D327" s="27">
        <v>19.547999999999998</v>
      </c>
      <c r="E327" s="27">
        <v>410.50799999999998</v>
      </c>
      <c r="F327" s="29">
        <v>43536</v>
      </c>
      <c r="G327" s="30">
        <v>14.088888888888899</v>
      </c>
      <c r="H327" s="31" t="s">
        <v>23</v>
      </c>
      <c r="I327" s="27">
        <v>390.96</v>
      </c>
      <c r="J327" s="32">
        <v>4.7619047620000003</v>
      </c>
      <c r="K327" s="33">
        <v>6.4</v>
      </c>
      <c r="L327" s="31" t="str">
        <f>VLOOKUP(A327,'Customer-details'!$A$1:$C$1001,2,FALSE)</f>
        <v>Normal</v>
      </c>
      <c r="M327" s="31" t="str">
        <f>VLOOKUP(A327,'Customer-details'!$A$1:$C$1001,3,FALSE)</f>
        <v>Male</v>
      </c>
      <c r="N327" s="31" t="str">
        <f>VLOOKUP(A327,'Product-details'!$A$1:$B$1001,2,FALSE)</f>
        <v>Sports and travel</v>
      </c>
      <c r="O327" s="31" t="str">
        <f>VLOOKUP(A327,'City-details'!$A$1:$C$1001,3,FALSE)</f>
        <v>Mandalay</v>
      </c>
      <c r="P327" s="31" t="str">
        <f>VLOOKUP(A327,'City-details'!$A$1:$C$1001,2,FALSE)</f>
        <v>B</v>
      </c>
      <c r="Q327" s="31" t="str">
        <f t="shared" si="15"/>
        <v>Mar</v>
      </c>
      <c r="R327" s="34" t="str">
        <f t="shared" si="16"/>
        <v>Tue</v>
      </c>
      <c r="S327">
        <f t="shared" si="17"/>
        <v>2</v>
      </c>
      <c r="T327" t="str" cm="1">
        <f t="array" ref="T327">_xlfn.IFS(S327&lt;=12,"Morning",S327&lt;=16,"Afternoon",S327&lt;=21,"Evening",S327&lt;=24,"Night")</f>
        <v>Morning</v>
      </c>
    </row>
    <row r="328" spans="1:20" x14ac:dyDescent="0.25">
      <c r="A328" s="23" t="s">
        <v>362</v>
      </c>
      <c r="B328" s="19">
        <v>99.78</v>
      </c>
      <c r="C328" s="20">
        <v>5</v>
      </c>
      <c r="D328" s="19">
        <v>24.945</v>
      </c>
      <c r="E328" s="19">
        <v>523.84500000000003</v>
      </c>
      <c r="F328" s="21">
        <v>43533</v>
      </c>
      <c r="G328" s="22">
        <v>14.130555555555601</v>
      </c>
      <c r="H328" s="23" t="s">
        <v>29</v>
      </c>
      <c r="I328" s="19">
        <v>498.9</v>
      </c>
      <c r="J328" s="24">
        <v>4.7619047620000003</v>
      </c>
      <c r="K328" s="25">
        <v>5.4</v>
      </c>
      <c r="L328" s="23" t="str">
        <f>VLOOKUP(A328,'Customer-details'!$A$1:$C$1001,2,FALSE)</f>
        <v>Member</v>
      </c>
      <c r="M328" s="23" t="str">
        <f>VLOOKUP(A328,'Customer-details'!$A$1:$C$1001,3,FALSE)</f>
        <v>Male</v>
      </c>
      <c r="N328" s="23" t="str">
        <f>VLOOKUP(A328,'Product-details'!$A$1:$B$1001,2,FALSE)</f>
        <v>Food and beverages</v>
      </c>
      <c r="O328" s="23" t="str">
        <f>VLOOKUP(A328,'City-details'!$A$1:$C$1001,3,FALSE)</f>
        <v>Yangon</v>
      </c>
      <c r="P328" s="23" t="str">
        <f>VLOOKUP(A328,'City-details'!$A$1:$C$1001,2,FALSE)</f>
        <v>A</v>
      </c>
      <c r="Q328" s="23" t="str">
        <f t="shared" si="15"/>
        <v>Mar</v>
      </c>
      <c r="R328" s="26" t="str">
        <f t="shared" si="16"/>
        <v>Sat</v>
      </c>
      <c r="S328">
        <f t="shared" si="17"/>
        <v>3</v>
      </c>
      <c r="T328" t="str" cm="1">
        <f t="array" ref="T328">_xlfn.IFS(S328&lt;=12,"Morning",S328&lt;=16,"Afternoon",S328&lt;=21,"Evening",S328&lt;=24,"Night")</f>
        <v>Morning</v>
      </c>
    </row>
    <row r="329" spans="1:20" x14ac:dyDescent="0.25">
      <c r="A329" s="31" t="s">
        <v>363</v>
      </c>
      <c r="B329" s="27">
        <v>94.26</v>
      </c>
      <c r="C329" s="28">
        <v>4</v>
      </c>
      <c r="D329" s="27">
        <v>18.852</v>
      </c>
      <c r="E329" s="27">
        <v>395.892</v>
      </c>
      <c r="F329" s="29">
        <v>43536</v>
      </c>
      <c r="G329" s="30">
        <v>14.172222222222199</v>
      </c>
      <c r="H329" s="31" t="s">
        <v>29</v>
      </c>
      <c r="I329" s="27">
        <v>377.04</v>
      </c>
      <c r="J329" s="32">
        <v>4.7619047620000003</v>
      </c>
      <c r="K329" s="33">
        <v>8.6</v>
      </c>
      <c r="L329" s="31" t="str">
        <f>VLOOKUP(A329,'Customer-details'!$A$1:$C$1001,2,FALSE)</f>
        <v>Member</v>
      </c>
      <c r="M329" s="31" t="str">
        <f>VLOOKUP(A329,'Customer-details'!$A$1:$C$1001,3,FALSE)</f>
        <v>Male</v>
      </c>
      <c r="N329" s="31" t="str">
        <f>VLOOKUP(A329,'Product-details'!$A$1:$B$1001,2,FALSE)</f>
        <v>Food and beverages</v>
      </c>
      <c r="O329" s="31" t="str">
        <f>VLOOKUP(A329,'City-details'!$A$1:$C$1001,3,FALSE)</f>
        <v>Naypyitaw</v>
      </c>
      <c r="P329" s="31" t="str">
        <f>VLOOKUP(A329,'City-details'!$A$1:$C$1001,2,FALSE)</f>
        <v>C</v>
      </c>
      <c r="Q329" s="31" t="str">
        <f t="shared" si="15"/>
        <v>Mar</v>
      </c>
      <c r="R329" s="34" t="str">
        <f t="shared" si="16"/>
        <v>Tue</v>
      </c>
      <c r="S329">
        <f t="shared" si="17"/>
        <v>4</v>
      </c>
      <c r="T329" t="str" cm="1">
        <f t="array" ref="T329">_xlfn.IFS(S329&lt;=12,"Morning",S329&lt;=16,"Afternoon",S329&lt;=21,"Evening",S329&lt;=24,"Night")</f>
        <v>Morning</v>
      </c>
    </row>
    <row r="330" spans="1:20" x14ac:dyDescent="0.25">
      <c r="A330" s="23" t="s">
        <v>364</v>
      </c>
      <c r="B330" s="19">
        <v>51.13</v>
      </c>
      <c r="C330" s="20">
        <v>4</v>
      </c>
      <c r="D330" s="19">
        <v>10.226000000000001</v>
      </c>
      <c r="E330" s="19">
        <v>214.74600000000001</v>
      </c>
      <c r="F330" s="21">
        <v>43490</v>
      </c>
      <c r="G330" s="22">
        <v>14.213888888888899</v>
      </c>
      <c r="H330" s="23" t="s">
        <v>33</v>
      </c>
      <c r="I330" s="19">
        <v>204.52</v>
      </c>
      <c r="J330" s="24">
        <v>4.7619047620000003</v>
      </c>
      <c r="K330" s="25">
        <v>4</v>
      </c>
      <c r="L330" s="23" t="str">
        <f>VLOOKUP(A330,'Customer-details'!$A$1:$C$1001,2,FALSE)</f>
        <v>Member</v>
      </c>
      <c r="M330" s="23" t="str">
        <f>VLOOKUP(A330,'Customer-details'!$A$1:$C$1001,3,FALSE)</f>
        <v>Male</v>
      </c>
      <c r="N330" s="23" t="str">
        <f>VLOOKUP(A330,'Product-details'!$A$1:$B$1001,2,FALSE)</f>
        <v>Health and beauty</v>
      </c>
      <c r="O330" s="23" t="str">
        <f>VLOOKUP(A330,'City-details'!$A$1:$C$1001,3,FALSE)</f>
        <v>Mandalay</v>
      </c>
      <c r="P330" s="23" t="str">
        <f>VLOOKUP(A330,'City-details'!$A$1:$C$1001,2,FALSE)</f>
        <v>B</v>
      </c>
      <c r="Q330" s="23" t="str">
        <f t="shared" si="15"/>
        <v>Jan</v>
      </c>
      <c r="R330" s="26" t="str">
        <f t="shared" si="16"/>
        <v>Fri</v>
      </c>
      <c r="S330">
        <f t="shared" si="17"/>
        <v>5</v>
      </c>
      <c r="T330" t="str" cm="1">
        <f t="array" ref="T330">_xlfn.IFS(S330&lt;=12,"Morning",S330&lt;=16,"Afternoon",S330&lt;=21,"Evening",S330&lt;=24,"Night")</f>
        <v>Morning</v>
      </c>
    </row>
    <row r="331" spans="1:20" x14ac:dyDescent="0.25">
      <c r="A331" s="31" t="s">
        <v>365</v>
      </c>
      <c r="B331" s="27">
        <v>36.36</v>
      </c>
      <c r="C331" s="28">
        <v>4</v>
      </c>
      <c r="D331" s="27">
        <v>7.2720000000000002</v>
      </c>
      <c r="E331" s="27">
        <v>152.71199999999999</v>
      </c>
      <c r="F331" s="29">
        <v>43549</v>
      </c>
      <c r="G331" s="30">
        <v>14.255555555555601</v>
      </c>
      <c r="H331" s="31" t="s">
        <v>29</v>
      </c>
      <c r="I331" s="27">
        <v>145.44</v>
      </c>
      <c r="J331" s="32">
        <v>4.7619047620000003</v>
      </c>
      <c r="K331" s="33">
        <v>7.6</v>
      </c>
      <c r="L331" s="31" t="str">
        <f>VLOOKUP(A331,'Customer-details'!$A$1:$C$1001,2,FALSE)</f>
        <v>Member</v>
      </c>
      <c r="M331" s="31" t="str">
        <f>VLOOKUP(A331,'Customer-details'!$A$1:$C$1001,3,FALSE)</f>
        <v>Male</v>
      </c>
      <c r="N331" s="31" t="str">
        <f>VLOOKUP(A331,'Product-details'!$A$1:$B$1001,2,FALSE)</f>
        <v>Electronic accessories</v>
      </c>
      <c r="O331" s="31" t="str">
        <f>VLOOKUP(A331,'City-details'!$A$1:$C$1001,3,FALSE)</f>
        <v>Yangon</v>
      </c>
      <c r="P331" s="31" t="str">
        <f>VLOOKUP(A331,'City-details'!$A$1:$C$1001,2,FALSE)</f>
        <v>A</v>
      </c>
      <c r="Q331" s="31" t="str">
        <f t="shared" si="15"/>
        <v>Mar</v>
      </c>
      <c r="R331" s="34" t="str">
        <f t="shared" si="16"/>
        <v>Mon</v>
      </c>
      <c r="S331">
        <f t="shared" si="17"/>
        <v>6</v>
      </c>
      <c r="T331" t="str" cm="1">
        <f t="array" ref="T331">_xlfn.IFS(S331&lt;=12,"Morning",S331&lt;=16,"Afternoon",S331&lt;=21,"Evening",S331&lt;=24,"Night")</f>
        <v>Morning</v>
      </c>
    </row>
    <row r="332" spans="1:20" x14ac:dyDescent="0.25">
      <c r="A332" s="23" t="s">
        <v>366</v>
      </c>
      <c r="B332" s="19">
        <v>22.02</v>
      </c>
      <c r="C332" s="20">
        <v>9</v>
      </c>
      <c r="D332" s="19">
        <v>9.9090000000000007</v>
      </c>
      <c r="E332" s="19">
        <v>208.089</v>
      </c>
      <c r="F332" s="21">
        <v>43503</v>
      </c>
      <c r="G332" s="22">
        <v>14.297222222222199</v>
      </c>
      <c r="H332" s="23" t="s">
        <v>29</v>
      </c>
      <c r="I332" s="19">
        <v>198.18</v>
      </c>
      <c r="J332" s="24">
        <v>4.7619047620000003</v>
      </c>
      <c r="K332" s="25">
        <v>6.8</v>
      </c>
      <c r="L332" s="23" t="str">
        <f>VLOOKUP(A332,'Customer-details'!$A$1:$C$1001,2,FALSE)</f>
        <v>Normal</v>
      </c>
      <c r="M332" s="23" t="str">
        <f>VLOOKUP(A332,'Customer-details'!$A$1:$C$1001,3,FALSE)</f>
        <v>Male</v>
      </c>
      <c r="N332" s="23" t="str">
        <f>VLOOKUP(A332,'Product-details'!$A$1:$B$1001,2,FALSE)</f>
        <v>Home and lifestyle</v>
      </c>
      <c r="O332" s="23" t="str">
        <f>VLOOKUP(A332,'City-details'!$A$1:$C$1001,3,FALSE)</f>
        <v>Mandalay</v>
      </c>
      <c r="P332" s="23" t="str">
        <f>VLOOKUP(A332,'City-details'!$A$1:$C$1001,2,FALSE)</f>
        <v>B</v>
      </c>
      <c r="Q332" s="23" t="str">
        <f t="shared" si="15"/>
        <v>Feb</v>
      </c>
      <c r="R332" s="26" t="str">
        <f t="shared" si="16"/>
        <v>Thu</v>
      </c>
      <c r="S332">
        <f t="shared" si="17"/>
        <v>7</v>
      </c>
      <c r="T332" t="str" cm="1">
        <f t="array" ref="T332">_xlfn.IFS(S332&lt;=12,"Morning",S332&lt;=16,"Afternoon",S332&lt;=21,"Evening",S332&lt;=24,"Night")</f>
        <v>Morning</v>
      </c>
    </row>
    <row r="333" spans="1:20" x14ac:dyDescent="0.25">
      <c r="A333" s="31" t="s">
        <v>367</v>
      </c>
      <c r="B333" s="27">
        <v>32.9</v>
      </c>
      <c r="C333" s="28">
        <v>3</v>
      </c>
      <c r="D333" s="27">
        <v>4.9349999999999996</v>
      </c>
      <c r="E333" s="27">
        <v>103.63500000000001</v>
      </c>
      <c r="F333" s="29">
        <v>43513</v>
      </c>
      <c r="G333" s="30">
        <v>14.338888888888899</v>
      </c>
      <c r="H333" s="31" t="s">
        <v>33</v>
      </c>
      <c r="I333" s="27">
        <v>98.7</v>
      </c>
      <c r="J333" s="32">
        <v>4.7619047620000003</v>
      </c>
      <c r="K333" s="33">
        <v>9.1</v>
      </c>
      <c r="L333" s="31" t="str">
        <f>VLOOKUP(A333,'Customer-details'!$A$1:$C$1001,2,FALSE)</f>
        <v>Normal</v>
      </c>
      <c r="M333" s="31" t="str">
        <f>VLOOKUP(A333,'Customer-details'!$A$1:$C$1001,3,FALSE)</f>
        <v>Male</v>
      </c>
      <c r="N333" s="31" t="str">
        <f>VLOOKUP(A333,'Product-details'!$A$1:$B$1001,2,FALSE)</f>
        <v>Food and beverages</v>
      </c>
      <c r="O333" s="31" t="str">
        <f>VLOOKUP(A333,'City-details'!$A$1:$C$1001,3,FALSE)</f>
        <v>Yangon</v>
      </c>
      <c r="P333" s="31" t="str">
        <f>VLOOKUP(A333,'City-details'!$A$1:$C$1001,2,FALSE)</f>
        <v>A</v>
      </c>
      <c r="Q333" s="31" t="str">
        <f t="shared" si="15"/>
        <v>Feb</v>
      </c>
      <c r="R333" s="34" t="str">
        <f t="shared" si="16"/>
        <v>Sun</v>
      </c>
      <c r="S333">
        <f t="shared" si="17"/>
        <v>8</v>
      </c>
      <c r="T333" t="str" cm="1">
        <f t="array" ref="T333">_xlfn.IFS(S333&lt;=12,"Morning",S333&lt;=16,"Afternoon",S333&lt;=21,"Evening",S333&lt;=24,"Night")</f>
        <v>Morning</v>
      </c>
    </row>
    <row r="334" spans="1:20" x14ac:dyDescent="0.25">
      <c r="A334" s="23" t="s">
        <v>368</v>
      </c>
      <c r="B334" s="19">
        <v>77.02</v>
      </c>
      <c r="C334" s="20">
        <v>5</v>
      </c>
      <c r="D334" s="19">
        <v>19.254999999999999</v>
      </c>
      <c r="E334" s="19">
        <v>404.35500000000002</v>
      </c>
      <c r="F334" s="21">
        <v>43499</v>
      </c>
      <c r="G334" s="22">
        <v>14.380555555555601</v>
      </c>
      <c r="H334" s="23" t="s">
        <v>29</v>
      </c>
      <c r="I334" s="19">
        <v>385.1</v>
      </c>
      <c r="J334" s="24">
        <v>4.7619047620000003</v>
      </c>
      <c r="K334" s="25">
        <v>5.5</v>
      </c>
      <c r="L334" s="23" t="str">
        <f>VLOOKUP(A334,'Customer-details'!$A$1:$C$1001,2,FALSE)</f>
        <v>Normal</v>
      </c>
      <c r="M334" s="23" t="str">
        <f>VLOOKUP(A334,'Customer-details'!$A$1:$C$1001,3,FALSE)</f>
        <v>Male</v>
      </c>
      <c r="N334" s="23" t="str">
        <f>VLOOKUP(A334,'Product-details'!$A$1:$B$1001,2,FALSE)</f>
        <v>Fashion accessories</v>
      </c>
      <c r="O334" s="23" t="str">
        <f>VLOOKUP(A334,'City-details'!$A$1:$C$1001,3,FALSE)</f>
        <v>Yangon</v>
      </c>
      <c r="P334" s="23" t="str">
        <f>VLOOKUP(A334,'City-details'!$A$1:$C$1001,2,FALSE)</f>
        <v>A</v>
      </c>
      <c r="Q334" s="23" t="str">
        <f t="shared" si="15"/>
        <v>Feb</v>
      </c>
      <c r="R334" s="26" t="str">
        <f t="shared" si="16"/>
        <v>Sun</v>
      </c>
      <c r="S334">
        <f t="shared" si="17"/>
        <v>9</v>
      </c>
      <c r="T334" t="str" cm="1">
        <f t="array" ref="T334">_xlfn.IFS(S334&lt;=12,"Morning",S334&lt;=16,"Afternoon",S334&lt;=21,"Evening",S334&lt;=24,"Night")</f>
        <v>Morning</v>
      </c>
    </row>
    <row r="335" spans="1:20" x14ac:dyDescent="0.25">
      <c r="A335" s="31" t="s">
        <v>369</v>
      </c>
      <c r="B335" s="27">
        <v>23.48</v>
      </c>
      <c r="C335" s="28">
        <v>2</v>
      </c>
      <c r="D335" s="27">
        <v>2.3479999999999999</v>
      </c>
      <c r="E335" s="27">
        <v>49.308</v>
      </c>
      <c r="F335" s="29">
        <v>43538</v>
      </c>
      <c r="G335" s="30">
        <v>14.422222222222199</v>
      </c>
      <c r="H335" s="31" t="s">
        <v>33</v>
      </c>
      <c r="I335" s="27">
        <v>46.96</v>
      </c>
      <c r="J335" s="32">
        <v>4.7619047620000003</v>
      </c>
      <c r="K335" s="33">
        <v>7.9</v>
      </c>
      <c r="L335" s="31" t="str">
        <f>VLOOKUP(A335,'Customer-details'!$A$1:$C$1001,2,FALSE)</f>
        <v>Member</v>
      </c>
      <c r="M335" s="31" t="str">
        <f>VLOOKUP(A335,'Customer-details'!$A$1:$C$1001,3,FALSE)</f>
        <v>Male</v>
      </c>
      <c r="N335" s="31" t="str">
        <f>VLOOKUP(A335,'Product-details'!$A$1:$B$1001,2,FALSE)</f>
        <v>Food and beverages</v>
      </c>
      <c r="O335" s="31" t="str">
        <f>VLOOKUP(A335,'City-details'!$A$1:$C$1001,3,FALSE)</f>
        <v>Yangon</v>
      </c>
      <c r="P335" s="31" t="str">
        <f>VLOOKUP(A335,'City-details'!$A$1:$C$1001,2,FALSE)</f>
        <v>A</v>
      </c>
      <c r="Q335" s="31" t="str">
        <f t="shared" si="15"/>
        <v>Mar</v>
      </c>
      <c r="R335" s="34" t="str">
        <f t="shared" si="16"/>
        <v>Thu</v>
      </c>
      <c r="S335">
        <f t="shared" si="17"/>
        <v>10</v>
      </c>
      <c r="T335" t="str" cm="1">
        <f t="array" ref="T335">_xlfn.IFS(S335&lt;=12,"Morning",S335&lt;=16,"Afternoon",S335&lt;=21,"Evening",S335&lt;=24,"Night")</f>
        <v>Morning</v>
      </c>
    </row>
    <row r="336" spans="1:20" x14ac:dyDescent="0.25">
      <c r="A336" s="23" t="s">
        <v>370</v>
      </c>
      <c r="B336" s="19">
        <v>14.7</v>
      </c>
      <c r="C336" s="20">
        <v>5</v>
      </c>
      <c r="D336" s="19">
        <v>3.6749999999999998</v>
      </c>
      <c r="E336" s="19">
        <v>77.174999999999997</v>
      </c>
      <c r="F336" s="21">
        <v>43548</v>
      </c>
      <c r="G336" s="22">
        <v>14.463888888888899</v>
      </c>
      <c r="H336" s="23" t="s">
        <v>23</v>
      </c>
      <c r="I336" s="19">
        <v>73.5</v>
      </c>
      <c r="J336" s="24">
        <v>4.7619047620000003</v>
      </c>
      <c r="K336" s="25">
        <v>8.5</v>
      </c>
      <c r="L336" s="23" t="str">
        <f>VLOOKUP(A336,'Customer-details'!$A$1:$C$1001,2,FALSE)</f>
        <v>Member</v>
      </c>
      <c r="M336" s="23" t="str">
        <f>VLOOKUP(A336,'Customer-details'!$A$1:$C$1001,3,FALSE)</f>
        <v>Male</v>
      </c>
      <c r="N336" s="23" t="str">
        <f>VLOOKUP(A336,'Product-details'!$A$1:$B$1001,2,FALSE)</f>
        <v>Sports and travel</v>
      </c>
      <c r="O336" s="23" t="str">
        <f>VLOOKUP(A336,'City-details'!$A$1:$C$1001,3,FALSE)</f>
        <v>Naypyitaw</v>
      </c>
      <c r="P336" s="23" t="str">
        <f>VLOOKUP(A336,'City-details'!$A$1:$C$1001,2,FALSE)</f>
        <v>C</v>
      </c>
      <c r="Q336" s="23" t="str">
        <f t="shared" si="15"/>
        <v>Mar</v>
      </c>
      <c r="R336" s="26" t="str">
        <f t="shared" si="16"/>
        <v>Sun</v>
      </c>
      <c r="S336">
        <f t="shared" si="17"/>
        <v>11</v>
      </c>
      <c r="T336" t="str" cm="1">
        <f t="array" ref="T336">_xlfn.IFS(S336&lt;=12,"Morning",S336&lt;=16,"Afternoon",S336&lt;=21,"Evening",S336&lt;=24,"Night")</f>
        <v>Morning</v>
      </c>
    </row>
    <row r="337" spans="1:20" x14ac:dyDescent="0.25">
      <c r="A337" s="31" t="s">
        <v>371</v>
      </c>
      <c r="B337" s="27">
        <v>28.45</v>
      </c>
      <c r="C337" s="28">
        <v>5</v>
      </c>
      <c r="D337" s="27">
        <v>7.1124999999999998</v>
      </c>
      <c r="E337" s="27">
        <v>149.36250000000001</v>
      </c>
      <c r="F337" s="29">
        <v>43545</v>
      </c>
      <c r="G337" s="30">
        <v>14.505555555555601</v>
      </c>
      <c r="H337" s="31" t="s">
        <v>33</v>
      </c>
      <c r="I337" s="27">
        <v>142.25</v>
      </c>
      <c r="J337" s="32">
        <v>4.7619047620000003</v>
      </c>
      <c r="K337" s="33">
        <v>9.1</v>
      </c>
      <c r="L337" s="31" t="str">
        <f>VLOOKUP(A337,'Customer-details'!$A$1:$C$1001,2,FALSE)</f>
        <v>Member</v>
      </c>
      <c r="M337" s="31" t="str">
        <f>VLOOKUP(A337,'Customer-details'!$A$1:$C$1001,3,FALSE)</f>
        <v>Female</v>
      </c>
      <c r="N337" s="31" t="str">
        <f>VLOOKUP(A337,'Product-details'!$A$1:$B$1001,2,FALSE)</f>
        <v>Electronic accessories</v>
      </c>
      <c r="O337" s="31" t="str">
        <f>VLOOKUP(A337,'City-details'!$A$1:$C$1001,3,FALSE)</f>
        <v>Yangon</v>
      </c>
      <c r="P337" s="31" t="str">
        <f>VLOOKUP(A337,'City-details'!$A$1:$C$1001,2,FALSE)</f>
        <v>A</v>
      </c>
      <c r="Q337" s="31" t="str">
        <f t="shared" si="15"/>
        <v>Mar</v>
      </c>
      <c r="R337" s="34" t="str">
        <f t="shared" si="16"/>
        <v>Thu</v>
      </c>
      <c r="S337">
        <f t="shared" si="17"/>
        <v>12</v>
      </c>
      <c r="T337" t="str" cm="1">
        <f t="array" ref="T337">_xlfn.IFS(S337&lt;=12,"Morning",S337&lt;=16,"Afternoon",S337&lt;=21,"Evening",S337&lt;=24,"Night")</f>
        <v>Morning</v>
      </c>
    </row>
    <row r="338" spans="1:20" x14ac:dyDescent="0.25">
      <c r="A338" s="23" t="s">
        <v>372</v>
      </c>
      <c r="B338" s="19">
        <v>76.400000000000006</v>
      </c>
      <c r="C338" s="20">
        <v>9</v>
      </c>
      <c r="D338" s="19">
        <v>34.380000000000003</v>
      </c>
      <c r="E338" s="19">
        <v>721.98</v>
      </c>
      <c r="F338" s="21">
        <v>43543</v>
      </c>
      <c r="G338" s="22">
        <v>14.547222222222199</v>
      </c>
      <c r="H338" s="23" t="s">
        <v>23</v>
      </c>
      <c r="I338" s="19">
        <v>687.6</v>
      </c>
      <c r="J338" s="24">
        <v>4.7619047620000003</v>
      </c>
      <c r="K338" s="25">
        <v>7.5</v>
      </c>
      <c r="L338" s="23" t="str">
        <f>VLOOKUP(A338,'Customer-details'!$A$1:$C$1001,2,FALSE)</f>
        <v>Normal</v>
      </c>
      <c r="M338" s="23" t="str">
        <f>VLOOKUP(A338,'Customer-details'!$A$1:$C$1001,3,FALSE)</f>
        <v>Male</v>
      </c>
      <c r="N338" s="23" t="str">
        <f>VLOOKUP(A338,'Product-details'!$A$1:$B$1001,2,FALSE)</f>
        <v>Fashion accessories</v>
      </c>
      <c r="O338" s="23" t="str">
        <f>VLOOKUP(A338,'City-details'!$A$1:$C$1001,3,FALSE)</f>
        <v>Yangon</v>
      </c>
      <c r="P338" s="23" t="str">
        <f>VLOOKUP(A338,'City-details'!$A$1:$C$1001,2,FALSE)</f>
        <v>A</v>
      </c>
      <c r="Q338" s="23" t="str">
        <f t="shared" si="15"/>
        <v>Mar</v>
      </c>
      <c r="R338" s="26" t="str">
        <f t="shared" si="16"/>
        <v>Tue</v>
      </c>
      <c r="S338">
        <f t="shared" si="17"/>
        <v>13</v>
      </c>
      <c r="T338" t="str" cm="1">
        <f t="array" ref="T338">_xlfn.IFS(S338&lt;=12,"Morning",S338&lt;=16,"Afternoon",S338&lt;=21,"Evening",S338&lt;=24,"Night")</f>
        <v>Afternoon</v>
      </c>
    </row>
    <row r="339" spans="1:20" x14ac:dyDescent="0.25">
      <c r="A339" s="31" t="s">
        <v>373</v>
      </c>
      <c r="B339" s="27">
        <v>57.95</v>
      </c>
      <c r="C339" s="28">
        <v>6</v>
      </c>
      <c r="D339" s="27">
        <v>17.385000000000002</v>
      </c>
      <c r="E339" s="27">
        <v>365.08499999999998</v>
      </c>
      <c r="F339" s="29">
        <v>43520</v>
      </c>
      <c r="G339" s="30">
        <v>14.588888888888899</v>
      </c>
      <c r="H339" s="31" t="s">
        <v>29</v>
      </c>
      <c r="I339" s="27">
        <v>347.7</v>
      </c>
      <c r="J339" s="32">
        <v>4.7619047620000003</v>
      </c>
      <c r="K339" s="33">
        <v>5.2</v>
      </c>
      <c r="L339" s="31" t="str">
        <f>VLOOKUP(A339,'Customer-details'!$A$1:$C$1001,2,FALSE)</f>
        <v>Normal</v>
      </c>
      <c r="M339" s="31" t="str">
        <f>VLOOKUP(A339,'Customer-details'!$A$1:$C$1001,3,FALSE)</f>
        <v>Female</v>
      </c>
      <c r="N339" s="31" t="str">
        <f>VLOOKUP(A339,'Product-details'!$A$1:$B$1001,2,FALSE)</f>
        <v>Sports and travel</v>
      </c>
      <c r="O339" s="31" t="str">
        <f>VLOOKUP(A339,'City-details'!$A$1:$C$1001,3,FALSE)</f>
        <v>Mandalay</v>
      </c>
      <c r="P339" s="31" t="str">
        <f>VLOOKUP(A339,'City-details'!$A$1:$C$1001,2,FALSE)</f>
        <v>B</v>
      </c>
      <c r="Q339" s="31" t="str">
        <f t="shared" si="15"/>
        <v>Feb</v>
      </c>
      <c r="R339" s="34" t="str">
        <f t="shared" si="16"/>
        <v>Sun</v>
      </c>
      <c r="S339">
        <f t="shared" si="17"/>
        <v>14</v>
      </c>
      <c r="T339" t="str" cm="1">
        <f t="array" ref="T339">_xlfn.IFS(S339&lt;=12,"Morning",S339&lt;=16,"Afternoon",S339&lt;=21,"Evening",S339&lt;=24,"Night")</f>
        <v>Afternoon</v>
      </c>
    </row>
    <row r="340" spans="1:20" x14ac:dyDescent="0.25">
      <c r="A340" s="23" t="s">
        <v>374</v>
      </c>
      <c r="B340" s="19">
        <v>47.65</v>
      </c>
      <c r="C340" s="20">
        <v>3</v>
      </c>
      <c r="D340" s="19">
        <v>7.1475</v>
      </c>
      <c r="E340" s="19">
        <v>150.0975</v>
      </c>
      <c r="F340" s="21">
        <v>43552</v>
      </c>
      <c r="G340" s="22">
        <v>14.630555555555601</v>
      </c>
      <c r="H340" s="23" t="s">
        <v>33</v>
      </c>
      <c r="I340" s="19">
        <v>142.94999999999999</v>
      </c>
      <c r="J340" s="24">
        <v>4.7619047620000003</v>
      </c>
      <c r="K340" s="25">
        <v>9.5</v>
      </c>
      <c r="L340" s="23" t="str">
        <f>VLOOKUP(A340,'Customer-details'!$A$1:$C$1001,2,FALSE)</f>
        <v>Normal</v>
      </c>
      <c r="M340" s="23" t="str">
        <f>VLOOKUP(A340,'Customer-details'!$A$1:$C$1001,3,FALSE)</f>
        <v>Female</v>
      </c>
      <c r="N340" s="23" t="str">
        <f>VLOOKUP(A340,'Product-details'!$A$1:$B$1001,2,FALSE)</f>
        <v>Electronic accessories</v>
      </c>
      <c r="O340" s="23" t="str">
        <f>VLOOKUP(A340,'City-details'!$A$1:$C$1001,3,FALSE)</f>
        <v>Naypyitaw</v>
      </c>
      <c r="P340" s="23" t="str">
        <f>VLOOKUP(A340,'City-details'!$A$1:$C$1001,2,FALSE)</f>
        <v>C</v>
      </c>
      <c r="Q340" s="23" t="str">
        <f t="shared" si="15"/>
        <v>Mar</v>
      </c>
      <c r="R340" s="26" t="str">
        <f t="shared" si="16"/>
        <v>Thu</v>
      </c>
      <c r="S340">
        <f t="shared" si="17"/>
        <v>15</v>
      </c>
      <c r="T340" t="str" cm="1">
        <f t="array" ref="T340">_xlfn.IFS(S340&lt;=12,"Morning",S340&lt;=16,"Afternoon",S340&lt;=21,"Evening",S340&lt;=24,"Night")</f>
        <v>Afternoon</v>
      </c>
    </row>
    <row r="341" spans="1:20" x14ac:dyDescent="0.25">
      <c r="A341" s="31" t="s">
        <v>375</v>
      </c>
      <c r="B341" s="27">
        <v>42.82</v>
      </c>
      <c r="C341" s="28">
        <v>9</v>
      </c>
      <c r="D341" s="27">
        <v>19.268999999999998</v>
      </c>
      <c r="E341" s="27">
        <v>404.649</v>
      </c>
      <c r="F341" s="29">
        <v>43501</v>
      </c>
      <c r="G341" s="30">
        <v>14.672222222222199</v>
      </c>
      <c r="H341" s="31" t="s">
        <v>33</v>
      </c>
      <c r="I341" s="27">
        <v>385.38</v>
      </c>
      <c r="J341" s="32">
        <v>4.7619047620000003</v>
      </c>
      <c r="K341" s="33">
        <v>8.9</v>
      </c>
      <c r="L341" s="31" t="str">
        <f>VLOOKUP(A341,'Customer-details'!$A$1:$C$1001,2,FALSE)</f>
        <v>Member</v>
      </c>
      <c r="M341" s="31" t="str">
        <f>VLOOKUP(A341,'Customer-details'!$A$1:$C$1001,3,FALSE)</f>
        <v>Female</v>
      </c>
      <c r="N341" s="31" t="str">
        <f>VLOOKUP(A341,'Product-details'!$A$1:$B$1001,2,FALSE)</f>
        <v>Food and beverages</v>
      </c>
      <c r="O341" s="31" t="str">
        <f>VLOOKUP(A341,'City-details'!$A$1:$C$1001,3,FALSE)</f>
        <v>Mandalay</v>
      </c>
      <c r="P341" s="31" t="str">
        <f>VLOOKUP(A341,'City-details'!$A$1:$C$1001,2,FALSE)</f>
        <v>B</v>
      </c>
      <c r="Q341" s="31" t="str">
        <f t="shared" si="15"/>
        <v>Feb</v>
      </c>
      <c r="R341" s="34" t="str">
        <f t="shared" si="16"/>
        <v>Tue</v>
      </c>
      <c r="S341">
        <f t="shared" si="17"/>
        <v>16</v>
      </c>
      <c r="T341" t="str" cm="1">
        <f t="array" ref="T341">_xlfn.IFS(S341&lt;=12,"Morning",S341&lt;=16,"Afternoon",S341&lt;=21,"Evening",S341&lt;=24,"Night")</f>
        <v>Afternoon</v>
      </c>
    </row>
    <row r="342" spans="1:20" x14ac:dyDescent="0.25">
      <c r="A342" s="23" t="s">
        <v>376</v>
      </c>
      <c r="B342" s="19">
        <v>48.09</v>
      </c>
      <c r="C342" s="20">
        <v>3</v>
      </c>
      <c r="D342" s="19">
        <v>7.2134999999999998</v>
      </c>
      <c r="E342" s="19">
        <v>151.48349999999999</v>
      </c>
      <c r="F342" s="21">
        <v>43506</v>
      </c>
      <c r="G342" s="22">
        <v>14.713888888888899</v>
      </c>
      <c r="H342" s="23" t="s">
        <v>33</v>
      </c>
      <c r="I342" s="19">
        <v>144.27000000000001</v>
      </c>
      <c r="J342" s="24">
        <v>4.7619047620000003</v>
      </c>
      <c r="K342" s="25">
        <v>7.8</v>
      </c>
      <c r="L342" s="23" t="str">
        <f>VLOOKUP(A342,'Customer-details'!$A$1:$C$1001,2,FALSE)</f>
        <v>Member</v>
      </c>
      <c r="M342" s="23" t="str">
        <f>VLOOKUP(A342,'Customer-details'!$A$1:$C$1001,3,FALSE)</f>
        <v>Male</v>
      </c>
      <c r="N342" s="23" t="str">
        <f>VLOOKUP(A342,'Product-details'!$A$1:$B$1001,2,FALSE)</f>
        <v>Electronic accessories</v>
      </c>
      <c r="O342" s="23" t="str">
        <f>VLOOKUP(A342,'City-details'!$A$1:$C$1001,3,FALSE)</f>
        <v>Mandalay</v>
      </c>
      <c r="P342" s="23" t="str">
        <f>VLOOKUP(A342,'City-details'!$A$1:$C$1001,2,FALSE)</f>
        <v>B</v>
      </c>
      <c r="Q342" s="23" t="str">
        <f t="shared" si="15"/>
        <v>Feb</v>
      </c>
      <c r="R342" s="26" t="str">
        <f t="shared" si="16"/>
        <v>Sun</v>
      </c>
      <c r="S342">
        <f t="shared" si="17"/>
        <v>17</v>
      </c>
      <c r="T342" t="str" cm="1">
        <f t="array" ref="T342">_xlfn.IFS(S342&lt;=12,"Morning",S342&lt;=16,"Afternoon",S342&lt;=21,"Evening",S342&lt;=24,"Night")</f>
        <v>Evening</v>
      </c>
    </row>
    <row r="343" spans="1:20" x14ac:dyDescent="0.25">
      <c r="A343" s="31" t="s">
        <v>377</v>
      </c>
      <c r="B343" s="27">
        <v>55.97</v>
      </c>
      <c r="C343" s="28">
        <v>7</v>
      </c>
      <c r="D343" s="27">
        <v>19.589500000000001</v>
      </c>
      <c r="E343" s="27">
        <v>411.37950000000001</v>
      </c>
      <c r="F343" s="29">
        <v>43529</v>
      </c>
      <c r="G343" s="30">
        <v>14.755555555555601</v>
      </c>
      <c r="H343" s="31" t="s">
        <v>23</v>
      </c>
      <c r="I343" s="27">
        <v>391.79</v>
      </c>
      <c r="J343" s="32">
        <v>4.7619047620000003</v>
      </c>
      <c r="K343" s="33">
        <v>8.9</v>
      </c>
      <c r="L343" s="31" t="str">
        <f>VLOOKUP(A343,'Customer-details'!$A$1:$C$1001,2,FALSE)</f>
        <v>Member</v>
      </c>
      <c r="M343" s="31" t="str">
        <f>VLOOKUP(A343,'Customer-details'!$A$1:$C$1001,3,FALSE)</f>
        <v>Female</v>
      </c>
      <c r="N343" s="31" t="str">
        <f>VLOOKUP(A343,'Product-details'!$A$1:$B$1001,2,FALSE)</f>
        <v>Health and beauty</v>
      </c>
      <c r="O343" s="31" t="str">
        <f>VLOOKUP(A343,'City-details'!$A$1:$C$1001,3,FALSE)</f>
        <v>Mandalay</v>
      </c>
      <c r="P343" s="31" t="str">
        <f>VLOOKUP(A343,'City-details'!$A$1:$C$1001,2,FALSE)</f>
        <v>B</v>
      </c>
      <c r="Q343" s="31" t="str">
        <f t="shared" si="15"/>
        <v>Mar</v>
      </c>
      <c r="R343" s="34" t="str">
        <f t="shared" si="16"/>
        <v>Tue</v>
      </c>
      <c r="S343">
        <f t="shared" si="17"/>
        <v>18</v>
      </c>
      <c r="T343" t="str" cm="1">
        <f t="array" ref="T343">_xlfn.IFS(S343&lt;=12,"Morning",S343&lt;=16,"Afternoon",S343&lt;=21,"Evening",S343&lt;=24,"Night")</f>
        <v>Evening</v>
      </c>
    </row>
    <row r="344" spans="1:20" x14ac:dyDescent="0.25">
      <c r="A344" s="23" t="s">
        <v>378</v>
      </c>
      <c r="B344" s="19">
        <v>76.900000000000006</v>
      </c>
      <c r="C344" s="20">
        <v>7</v>
      </c>
      <c r="D344" s="19">
        <v>26.914999999999999</v>
      </c>
      <c r="E344" s="19">
        <v>565.21500000000003</v>
      </c>
      <c r="F344" s="21">
        <v>43511</v>
      </c>
      <c r="G344" s="22">
        <v>14.797222222222199</v>
      </c>
      <c r="H344" s="23" t="s">
        <v>29</v>
      </c>
      <c r="I344" s="19">
        <v>538.29999999999995</v>
      </c>
      <c r="J344" s="24">
        <v>4.7619047620000003</v>
      </c>
      <c r="K344" s="25">
        <v>7.7</v>
      </c>
      <c r="L344" s="23" t="str">
        <f>VLOOKUP(A344,'Customer-details'!$A$1:$C$1001,2,FALSE)</f>
        <v>Member</v>
      </c>
      <c r="M344" s="23" t="str">
        <f>VLOOKUP(A344,'Customer-details'!$A$1:$C$1001,3,FALSE)</f>
        <v>Female</v>
      </c>
      <c r="N344" s="23" t="str">
        <f>VLOOKUP(A344,'Product-details'!$A$1:$B$1001,2,FALSE)</f>
        <v>Health and beauty</v>
      </c>
      <c r="O344" s="23" t="str">
        <f>VLOOKUP(A344,'City-details'!$A$1:$C$1001,3,FALSE)</f>
        <v>Mandalay</v>
      </c>
      <c r="P344" s="23" t="str">
        <f>VLOOKUP(A344,'City-details'!$A$1:$C$1001,2,FALSE)</f>
        <v>B</v>
      </c>
      <c r="Q344" s="23" t="str">
        <f t="shared" si="15"/>
        <v>Feb</v>
      </c>
      <c r="R344" s="26" t="str">
        <f t="shared" si="16"/>
        <v>Fri</v>
      </c>
      <c r="S344">
        <f t="shared" si="17"/>
        <v>19</v>
      </c>
      <c r="T344" t="str" cm="1">
        <f t="array" ref="T344">_xlfn.IFS(S344&lt;=12,"Morning",S344&lt;=16,"Afternoon",S344&lt;=21,"Evening",S344&lt;=24,"Night")</f>
        <v>Evening</v>
      </c>
    </row>
    <row r="345" spans="1:20" x14ac:dyDescent="0.25">
      <c r="A345" s="31" t="s">
        <v>379</v>
      </c>
      <c r="B345" s="27">
        <v>97.03</v>
      </c>
      <c r="C345" s="28">
        <v>5</v>
      </c>
      <c r="D345" s="27">
        <v>24.2575</v>
      </c>
      <c r="E345" s="27">
        <v>509.40750000000003</v>
      </c>
      <c r="F345" s="29">
        <v>43495</v>
      </c>
      <c r="G345" s="30">
        <v>14.838888888888899</v>
      </c>
      <c r="H345" s="31" t="s">
        <v>23</v>
      </c>
      <c r="I345" s="27">
        <v>485.15</v>
      </c>
      <c r="J345" s="32">
        <v>4.7619047620000003</v>
      </c>
      <c r="K345" s="33">
        <v>9.3000000000000007</v>
      </c>
      <c r="L345" s="31" t="str">
        <f>VLOOKUP(A345,'Customer-details'!$A$1:$C$1001,2,FALSE)</f>
        <v>Normal</v>
      </c>
      <c r="M345" s="31" t="str">
        <f>VLOOKUP(A345,'Customer-details'!$A$1:$C$1001,3,FALSE)</f>
        <v>Female</v>
      </c>
      <c r="N345" s="31" t="str">
        <f>VLOOKUP(A345,'Product-details'!$A$1:$B$1001,2,FALSE)</f>
        <v>Food and beverages</v>
      </c>
      <c r="O345" s="31" t="str">
        <f>VLOOKUP(A345,'City-details'!$A$1:$C$1001,3,FALSE)</f>
        <v>Naypyitaw</v>
      </c>
      <c r="P345" s="31" t="str">
        <f>VLOOKUP(A345,'City-details'!$A$1:$C$1001,2,FALSE)</f>
        <v>C</v>
      </c>
      <c r="Q345" s="31" t="str">
        <f t="shared" si="15"/>
        <v>Jan</v>
      </c>
      <c r="R345" s="34" t="str">
        <f t="shared" si="16"/>
        <v>Wed</v>
      </c>
      <c r="S345">
        <f t="shared" si="17"/>
        <v>20</v>
      </c>
      <c r="T345" t="str" cm="1">
        <f t="array" ref="T345">_xlfn.IFS(S345&lt;=12,"Morning",S345&lt;=16,"Afternoon",S345&lt;=21,"Evening",S345&lt;=24,"Night")</f>
        <v>Evening</v>
      </c>
    </row>
    <row r="346" spans="1:20" x14ac:dyDescent="0.25">
      <c r="A346" s="23" t="s">
        <v>380</v>
      </c>
      <c r="B346" s="19">
        <v>44.65</v>
      </c>
      <c r="C346" s="20">
        <v>3</v>
      </c>
      <c r="D346" s="19">
        <v>6.6974999999999998</v>
      </c>
      <c r="E346" s="19">
        <v>140.64750000000001</v>
      </c>
      <c r="F346" s="21">
        <v>43510</v>
      </c>
      <c r="G346" s="22">
        <v>14.880555555555601</v>
      </c>
      <c r="H346" s="23" t="s">
        <v>29</v>
      </c>
      <c r="I346" s="19">
        <v>133.94999999999999</v>
      </c>
      <c r="J346" s="24">
        <v>4.7619047620000003</v>
      </c>
      <c r="K346" s="25">
        <v>6.2</v>
      </c>
      <c r="L346" s="23" t="str">
        <f>VLOOKUP(A346,'Customer-details'!$A$1:$C$1001,2,FALSE)</f>
        <v>Normal</v>
      </c>
      <c r="M346" s="23" t="str">
        <f>VLOOKUP(A346,'Customer-details'!$A$1:$C$1001,3,FALSE)</f>
        <v>Male</v>
      </c>
      <c r="N346" s="23" t="str">
        <f>VLOOKUP(A346,'Product-details'!$A$1:$B$1001,2,FALSE)</f>
        <v>Sports and travel</v>
      </c>
      <c r="O346" s="23" t="str">
        <f>VLOOKUP(A346,'City-details'!$A$1:$C$1001,3,FALSE)</f>
        <v>Yangon</v>
      </c>
      <c r="P346" s="23" t="str">
        <f>VLOOKUP(A346,'City-details'!$A$1:$C$1001,2,FALSE)</f>
        <v>A</v>
      </c>
      <c r="Q346" s="23" t="str">
        <f t="shared" si="15"/>
        <v>Feb</v>
      </c>
      <c r="R346" s="26" t="str">
        <f t="shared" si="16"/>
        <v>Thu</v>
      </c>
      <c r="S346">
        <f t="shared" si="17"/>
        <v>21</v>
      </c>
      <c r="T346" t="str" cm="1">
        <f t="array" ref="T346">_xlfn.IFS(S346&lt;=12,"Morning",S346&lt;=16,"Afternoon",S346&lt;=21,"Evening",S346&lt;=24,"Night")</f>
        <v>Evening</v>
      </c>
    </row>
    <row r="347" spans="1:20" x14ac:dyDescent="0.25">
      <c r="A347" s="31" t="s">
        <v>381</v>
      </c>
      <c r="B347" s="27">
        <v>77.930000000000007</v>
      </c>
      <c r="C347" s="28">
        <v>9</v>
      </c>
      <c r="D347" s="27">
        <v>35.0685</v>
      </c>
      <c r="E347" s="27">
        <v>736.43849999999998</v>
      </c>
      <c r="F347" s="29">
        <v>43523</v>
      </c>
      <c r="G347" s="30">
        <v>14.922222222222199</v>
      </c>
      <c r="H347" s="31" t="s">
        <v>23</v>
      </c>
      <c r="I347" s="27">
        <v>701.37</v>
      </c>
      <c r="J347" s="32">
        <v>4.7619047620000003</v>
      </c>
      <c r="K347" s="33">
        <v>7.6</v>
      </c>
      <c r="L347" s="31" t="str">
        <f>VLOOKUP(A347,'Customer-details'!$A$1:$C$1001,2,FALSE)</f>
        <v>Normal</v>
      </c>
      <c r="M347" s="31" t="str">
        <f>VLOOKUP(A347,'Customer-details'!$A$1:$C$1001,3,FALSE)</f>
        <v>Female</v>
      </c>
      <c r="N347" s="31" t="str">
        <f>VLOOKUP(A347,'Product-details'!$A$1:$B$1001,2,FALSE)</f>
        <v>Fashion accessories</v>
      </c>
      <c r="O347" s="31" t="str">
        <f>VLOOKUP(A347,'City-details'!$A$1:$C$1001,3,FALSE)</f>
        <v>Yangon</v>
      </c>
      <c r="P347" s="31" t="str">
        <f>VLOOKUP(A347,'City-details'!$A$1:$C$1001,2,FALSE)</f>
        <v>A</v>
      </c>
      <c r="Q347" s="31" t="str">
        <f t="shared" si="15"/>
        <v>Feb</v>
      </c>
      <c r="R347" s="34" t="str">
        <f t="shared" si="16"/>
        <v>Wed</v>
      </c>
      <c r="S347">
        <f t="shared" si="17"/>
        <v>22</v>
      </c>
      <c r="T347" t="str" cm="1">
        <f t="array" ref="T347">_xlfn.IFS(S347&lt;=12,"Morning",S347&lt;=16,"Afternoon",S347&lt;=21,"Evening",S347&lt;=24,"Night")</f>
        <v>Night</v>
      </c>
    </row>
    <row r="348" spans="1:20" x14ac:dyDescent="0.25">
      <c r="A348" s="23" t="s">
        <v>382</v>
      </c>
      <c r="B348" s="19">
        <v>71.95</v>
      </c>
      <c r="C348" s="20">
        <v>1</v>
      </c>
      <c r="D348" s="19">
        <v>3.5975000000000001</v>
      </c>
      <c r="E348" s="19">
        <v>75.547499999999999</v>
      </c>
      <c r="F348" s="21">
        <v>43500</v>
      </c>
      <c r="G348" s="22">
        <v>14.963888888888899</v>
      </c>
      <c r="H348" s="23" t="s">
        <v>29</v>
      </c>
      <c r="I348" s="19">
        <v>71.95</v>
      </c>
      <c r="J348" s="24">
        <v>4.7619047620000003</v>
      </c>
      <c r="K348" s="25">
        <v>7.3</v>
      </c>
      <c r="L348" s="23" t="str">
        <f>VLOOKUP(A348,'Customer-details'!$A$1:$C$1001,2,FALSE)</f>
        <v>Member</v>
      </c>
      <c r="M348" s="23" t="str">
        <f>VLOOKUP(A348,'Customer-details'!$A$1:$C$1001,3,FALSE)</f>
        <v>Male</v>
      </c>
      <c r="N348" s="23" t="str">
        <f>VLOOKUP(A348,'Product-details'!$A$1:$B$1001,2,FALSE)</f>
        <v>Electronic accessories</v>
      </c>
      <c r="O348" s="23" t="str">
        <f>VLOOKUP(A348,'City-details'!$A$1:$C$1001,3,FALSE)</f>
        <v>Yangon</v>
      </c>
      <c r="P348" s="23" t="str">
        <f>VLOOKUP(A348,'City-details'!$A$1:$C$1001,2,FALSE)</f>
        <v>A</v>
      </c>
      <c r="Q348" s="23" t="str">
        <f t="shared" si="15"/>
        <v>Feb</v>
      </c>
      <c r="R348" s="26" t="str">
        <f t="shared" si="16"/>
        <v>Mon</v>
      </c>
      <c r="S348">
        <f t="shared" si="17"/>
        <v>23</v>
      </c>
      <c r="T348" t="str" cm="1">
        <f t="array" ref="T348">_xlfn.IFS(S348&lt;=12,"Morning",S348&lt;=16,"Afternoon",S348&lt;=21,"Evening",S348&lt;=24,"Night")</f>
        <v>Night</v>
      </c>
    </row>
    <row r="349" spans="1:20" x14ac:dyDescent="0.25">
      <c r="A349" s="31" t="s">
        <v>383</v>
      </c>
      <c r="B349" s="27">
        <v>89.25</v>
      </c>
      <c r="C349" s="28">
        <v>8</v>
      </c>
      <c r="D349" s="27">
        <v>35.700000000000003</v>
      </c>
      <c r="E349" s="27">
        <v>749.7</v>
      </c>
      <c r="F349" s="29">
        <v>43485</v>
      </c>
      <c r="G349" s="30">
        <v>15.005555555555601</v>
      </c>
      <c r="H349" s="31" t="s">
        <v>29</v>
      </c>
      <c r="I349" s="27">
        <v>714</v>
      </c>
      <c r="J349" s="32">
        <v>4.7619047620000003</v>
      </c>
      <c r="K349" s="33">
        <v>4.7</v>
      </c>
      <c r="L349" s="31" t="str">
        <f>VLOOKUP(A349,'Customer-details'!$A$1:$C$1001,2,FALSE)</f>
        <v>Member</v>
      </c>
      <c r="M349" s="31" t="str">
        <f>VLOOKUP(A349,'Customer-details'!$A$1:$C$1001,3,FALSE)</f>
        <v>Female</v>
      </c>
      <c r="N349" s="31" t="str">
        <f>VLOOKUP(A349,'Product-details'!$A$1:$B$1001,2,FALSE)</f>
        <v>Home and lifestyle</v>
      </c>
      <c r="O349" s="31" t="str">
        <f>VLOOKUP(A349,'City-details'!$A$1:$C$1001,3,FALSE)</f>
        <v>Naypyitaw</v>
      </c>
      <c r="P349" s="31" t="str">
        <f>VLOOKUP(A349,'City-details'!$A$1:$C$1001,2,FALSE)</f>
        <v>C</v>
      </c>
      <c r="Q349" s="31" t="str">
        <f t="shared" si="15"/>
        <v>Jan</v>
      </c>
      <c r="R349" s="34" t="str">
        <f t="shared" si="16"/>
        <v>Sun</v>
      </c>
      <c r="S349">
        <f t="shared" si="17"/>
        <v>0</v>
      </c>
      <c r="T349" t="str" cm="1">
        <f t="array" ref="T349">_xlfn.IFS(S349&lt;=12,"Morning",S349&lt;=16,"Afternoon",S349&lt;=21,"Evening",S349&lt;=24,"Night")</f>
        <v>Morning</v>
      </c>
    </row>
    <row r="350" spans="1:20" x14ac:dyDescent="0.25">
      <c r="A350" s="23" t="s">
        <v>384</v>
      </c>
      <c r="B350" s="19">
        <v>26.02</v>
      </c>
      <c r="C350" s="20">
        <v>7</v>
      </c>
      <c r="D350" s="19">
        <v>9.1069999999999993</v>
      </c>
      <c r="E350" s="19">
        <v>191.24700000000001</v>
      </c>
      <c r="F350" s="21">
        <v>43552</v>
      </c>
      <c r="G350" s="22">
        <v>15.047222222222199</v>
      </c>
      <c r="H350" s="23" t="s">
        <v>29</v>
      </c>
      <c r="I350" s="19">
        <v>182.14</v>
      </c>
      <c r="J350" s="24">
        <v>4.7619047620000003</v>
      </c>
      <c r="K350" s="25">
        <v>5.0999999999999996</v>
      </c>
      <c r="L350" s="23" t="str">
        <f>VLOOKUP(A350,'Customer-details'!$A$1:$C$1001,2,FALSE)</f>
        <v>Normal</v>
      </c>
      <c r="M350" s="23" t="str">
        <f>VLOOKUP(A350,'Customer-details'!$A$1:$C$1001,3,FALSE)</f>
        <v>Male</v>
      </c>
      <c r="N350" s="23" t="str">
        <f>VLOOKUP(A350,'Product-details'!$A$1:$B$1001,2,FALSE)</f>
        <v>Electronic accessories</v>
      </c>
      <c r="O350" s="23" t="str">
        <f>VLOOKUP(A350,'City-details'!$A$1:$C$1001,3,FALSE)</f>
        <v>Yangon</v>
      </c>
      <c r="P350" s="23" t="str">
        <f>VLOOKUP(A350,'City-details'!$A$1:$C$1001,2,FALSE)</f>
        <v>A</v>
      </c>
      <c r="Q350" s="23" t="str">
        <f t="shared" si="15"/>
        <v>Mar</v>
      </c>
      <c r="R350" s="26" t="str">
        <f t="shared" si="16"/>
        <v>Thu</v>
      </c>
      <c r="S350">
        <f t="shared" si="17"/>
        <v>1</v>
      </c>
      <c r="T350" t="str" cm="1">
        <f t="array" ref="T350">_xlfn.IFS(S350&lt;=12,"Morning",S350&lt;=16,"Afternoon",S350&lt;=21,"Evening",S350&lt;=24,"Night")</f>
        <v>Morning</v>
      </c>
    </row>
    <row r="351" spans="1:20" x14ac:dyDescent="0.25">
      <c r="A351" s="31" t="s">
        <v>385</v>
      </c>
      <c r="B351" s="27">
        <v>13.5</v>
      </c>
      <c r="C351" s="28">
        <v>10</v>
      </c>
      <c r="D351" s="27">
        <v>6.75</v>
      </c>
      <c r="E351" s="27">
        <v>141.75</v>
      </c>
      <c r="F351" s="29">
        <v>43523</v>
      </c>
      <c r="G351" s="30">
        <v>15.088888888888899</v>
      </c>
      <c r="H351" s="31" t="s">
        <v>33</v>
      </c>
      <c r="I351" s="27">
        <v>135</v>
      </c>
      <c r="J351" s="32">
        <v>4.7619047620000003</v>
      </c>
      <c r="K351" s="33">
        <v>4.8</v>
      </c>
      <c r="L351" s="31" t="str">
        <f>VLOOKUP(A351,'Customer-details'!$A$1:$C$1001,2,FALSE)</f>
        <v>Normal</v>
      </c>
      <c r="M351" s="31" t="str">
        <f>VLOOKUP(A351,'Customer-details'!$A$1:$C$1001,3,FALSE)</f>
        <v>Female</v>
      </c>
      <c r="N351" s="31" t="str">
        <f>VLOOKUP(A351,'Product-details'!$A$1:$B$1001,2,FALSE)</f>
        <v>Health and beauty</v>
      </c>
      <c r="O351" s="31" t="str">
        <f>VLOOKUP(A351,'City-details'!$A$1:$C$1001,3,FALSE)</f>
        <v>Mandalay</v>
      </c>
      <c r="P351" s="31" t="str">
        <f>VLOOKUP(A351,'City-details'!$A$1:$C$1001,2,FALSE)</f>
        <v>B</v>
      </c>
      <c r="Q351" s="31" t="str">
        <f t="shared" si="15"/>
        <v>Feb</v>
      </c>
      <c r="R351" s="34" t="str">
        <f t="shared" si="16"/>
        <v>Wed</v>
      </c>
      <c r="S351">
        <f t="shared" si="17"/>
        <v>2</v>
      </c>
      <c r="T351" t="str" cm="1">
        <f t="array" ref="T351">_xlfn.IFS(S351&lt;=12,"Morning",S351&lt;=16,"Afternoon",S351&lt;=21,"Evening",S351&lt;=24,"Night")</f>
        <v>Morning</v>
      </c>
    </row>
    <row r="352" spans="1:20" x14ac:dyDescent="0.25">
      <c r="A352" s="23" t="s">
        <v>386</v>
      </c>
      <c r="B352" s="19">
        <v>99.3</v>
      </c>
      <c r="C352" s="20">
        <v>10</v>
      </c>
      <c r="D352" s="19">
        <v>49.65</v>
      </c>
      <c r="E352" s="19">
        <v>1042.6500000000001</v>
      </c>
      <c r="F352" s="21">
        <v>43511</v>
      </c>
      <c r="G352" s="22">
        <v>15.130555555555601</v>
      </c>
      <c r="H352" s="23" t="s">
        <v>33</v>
      </c>
      <c r="I352" s="19">
        <v>993</v>
      </c>
      <c r="J352" s="24">
        <v>4.7619047620000003</v>
      </c>
      <c r="K352" s="25">
        <v>6.6</v>
      </c>
      <c r="L352" s="23" t="str">
        <f>VLOOKUP(A352,'Customer-details'!$A$1:$C$1001,2,FALSE)</f>
        <v>Member</v>
      </c>
      <c r="M352" s="23" t="str">
        <f>VLOOKUP(A352,'Customer-details'!$A$1:$C$1001,3,FALSE)</f>
        <v>Female</v>
      </c>
      <c r="N352" s="23" t="str">
        <f>VLOOKUP(A352,'Product-details'!$A$1:$B$1001,2,FALSE)</f>
        <v>Fashion accessories</v>
      </c>
      <c r="O352" s="23" t="str">
        <f>VLOOKUP(A352,'City-details'!$A$1:$C$1001,3,FALSE)</f>
        <v>Naypyitaw</v>
      </c>
      <c r="P352" s="23" t="str">
        <f>VLOOKUP(A352,'City-details'!$A$1:$C$1001,2,FALSE)</f>
        <v>C</v>
      </c>
      <c r="Q352" s="23" t="str">
        <f t="shared" si="15"/>
        <v>Feb</v>
      </c>
      <c r="R352" s="26" t="str">
        <f t="shared" si="16"/>
        <v>Fri</v>
      </c>
      <c r="S352">
        <f t="shared" si="17"/>
        <v>3</v>
      </c>
      <c r="T352" t="str" cm="1">
        <f t="array" ref="T352">_xlfn.IFS(S352&lt;=12,"Morning",S352&lt;=16,"Afternoon",S352&lt;=21,"Evening",S352&lt;=24,"Night")</f>
        <v>Morning</v>
      </c>
    </row>
    <row r="353" spans="1:20" x14ac:dyDescent="0.25">
      <c r="A353" s="31" t="s">
        <v>387</v>
      </c>
      <c r="B353" s="27">
        <v>51.69</v>
      </c>
      <c r="C353" s="28">
        <v>7</v>
      </c>
      <c r="D353" s="27">
        <v>18.0915</v>
      </c>
      <c r="E353" s="27">
        <v>379.92149999999998</v>
      </c>
      <c r="F353" s="29">
        <v>43491</v>
      </c>
      <c r="G353" s="30">
        <v>15.172222222222199</v>
      </c>
      <c r="H353" s="31" t="s">
        <v>29</v>
      </c>
      <c r="I353" s="27">
        <v>361.83</v>
      </c>
      <c r="J353" s="32">
        <v>4.7619047620000003</v>
      </c>
      <c r="K353" s="33">
        <v>5.5</v>
      </c>
      <c r="L353" s="31" t="str">
        <f>VLOOKUP(A353,'Customer-details'!$A$1:$C$1001,2,FALSE)</f>
        <v>Normal</v>
      </c>
      <c r="M353" s="31" t="str">
        <f>VLOOKUP(A353,'Customer-details'!$A$1:$C$1001,3,FALSE)</f>
        <v>Male</v>
      </c>
      <c r="N353" s="31" t="str">
        <f>VLOOKUP(A353,'Product-details'!$A$1:$B$1001,2,FALSE)</f>
        <v>Electronic accessories</v>
      </c>
      <c r="O353" s="31" t="str">
        <f>VLOOKUP(A353,'City-details'!$A$1:$C$1001,3,FALSE)</f>
        <v>Yangon</v>
      </c>
      <c r="P353" s="31" t="str">
        <f>VLOOKUP(A353,'City-details'!$A$1:$C$1001,2,FALSE)</f>
        <v>A</v>
      </c>
      <c r="Q353" s="31" t="str">
        <f t="shared" si="15"/>
        <v>Jan</v>
      </c>
      <c r="R353" s="34" t="str">
        <f t="shared" si="16"/>
        <v>Sat</v>
      </c>
      <c r="S353">
        <f t="shared" si="17"/>
        <v>4</v>
      </c>
      <c r="T353" t="str" cm="1">
        <f t="array" ref="T353">_xlfn.IFS(S353&lt;=12,"Morning",S353&lt;=16,"Afternoon",S353&lt;=21,"Evening",S353&lt;=24,"Night")</f>
        <v>Morning</v>
      </c>
    </row>
    <row r="354" spans="1:20" x14ac:dyDescent="0.25">
      <c r="A354" s="23" t="s">
        <v>388</v>
      </c>
      <c r="B354" s="19">
        <v>54.73</v>
      </c>
      <c r="C354" s="20">
        <v>7</v>
      </c>
      <c r="D354" s="19">
        <v>19.1555</v>
      </c>
      <c r="E354" s="19">
        <v>402.26549999999997</v>
      </c>
      <c r="F354" s="21">
        <v>43538</v>
      </c>
      <c r="G354" s="22">
        <v>15.213888888888899</v>
      </c>
      <c r="H354" s="23" t="s">
        <v>33</v>
      </c>
      <c r="I354" s="19">
        <v>383.11</v>
      </c>
      <c r="J354" s="24">
        <v>4.7619047620000003</v>
      </c>
      <c r="K354" s="25">
        <v>8.5</v>
      </c>
      <c r="L354" s="23" t="str">
        <f>VLOOKUP(A354,'Customer-details'!$A$1:$C$1001,2,FALSE)</f>
        <v>Member</v>
      </c>
      <c r="M354" s="23" t="str">
        <f>VLOOKUP(A354,'Customer-details'!$A$1:$C$1001,3,FALSE)</f>
        <v>Female</v>
      </c>
      <c r="N354" s="23" t="str">
        <f>VLOOKUP(A354,'Product-details'!$A$1:$B$1001,2,FALSE)</f>
        <v>Fashion accessories</v>
      </c>
      <c r="O354" s="23" t="str">
        <f>VLOOKUP(A354,'City-details'!$A$1:$C$1001,3,FALSE)</f>
        <v>Mandalay</v>
      </c>
      <c r="P354" s="23" t="str">
        <f>VLOOKUP(A354,'City-details'!$A$1:$C$1001,2,FALSE)</f>
        <v>B</v>
      </c>
      <c r="Q354" s="23" t="str">
        <f t="shared" si="15"/>
        <v>Mar</v>
      </c>
      <c r="R354" s="26" t="str">
        <f t="shared" si="16"/>
        <v>Thu</v>
      </c>
      <c r="S354">
        <f t="shared" si="17"/>
        <v>5</v>
      </c>
      <c r="T354" t="str" cm="1">
        <f t="array" ref="T354">_xlfn.IFS(S354&lt;=12,"Morning",S354&lt;=16,"Afternoon",S354&lt;=21,"Evening",S354&lt;=24,"Night")</f>
        <v>Morning</v>
      </c>
    </row>
    <row r="355" spans="1:20" x14ac:dyDescent="0.25">
      <c r="A355" s="31" t="s">
        <v>389</v>
      </c>
      <c r="B355" s="27">
        <v>27</v>
      </c>
      <c r="C355" s="28">
        <v>9</v>
      </c>
      <c r="D355" s="27">
        <v>12.15</v>
      </c>
      <c r="E355" s="27">
        <v>255.15</v>
      </c>
      <c r="F355" s="29">
        <v>43526</v>
      </c>
      <c r="G355" s="30">
        <v>15.255555555555601</v>
      </c>
      <c r="H355" s="31" t="s">
        <v>29</v>
      </c>
      <c r="I355" s="27">
        <v>243</v>
      </c>
      <c r="J355" s="32">
        <v>4.7619047620000003</v>
      </c>
      <c r="K355" s="33">
        <v>4.8</v>
      </c>
      <c r="L355" s="31" t="str">
        <f>VLOOKUP(A355,'Customer-details'!$A$1:$C$1001,2,FALSE)</f>
        <v>Member</v>
      </c>
      <c r="M355" s="31" t="str">
        <f>VLOOKUP(A355,'Customer-details'!$A$1:$C$1001,3,FALSE)</f>
        <v>Male</v>
      </c>
      <c r="N355" s="31" t="str">
        <f>VLOOKUP(A355,'Product-details'!$A$1:$B$1001,2,FALSE)</f>
        <v>Home and lifestyle</v>
      </c>
      <c r="O355" s="31" t="str">
        <f>VLOOKUP(A355,'City-details'!$A$1:$C$1001,3,FALSE)</f>
        <v>Mandalay</v>
      </c>
      <c r="P355" s="31" t="str">
        <f>VLOOKUP(A355,'City-details'!$A$1:$C$1001,2,FALSE)</f>
        <v>B</v>
      </c>
      <c r="Q355" s="31" t="str">
        <f t="shared" si="15"/>
        <v>Mar</v>
      </c>
      <c r="R355" s="34" t="str">
        <f t="shared" si="16"/>
        <v>Sat</v>
      </c>
      <c r="S355">
        <f t="shared" si="17"/>
        <v>6</v>
      </c>
      <c r="T355" t="str" cm="1">
        <f t="array" ref="T355">_xlfn.IFS(S355&lt;=12,"Morning",S355&lt;=16,"Afternoon",S355&lt;=21,"Evening",S355&lt;=24,"Night")</f>
        <v>Morning</v>
      </c>
    </row>
    <row r="356" spans="1:20" x14ac:dyDescent="0.25">
      <c r="A356" s="23" t="s">
        <v>390</v>
      </c>
      <c r="B356" s="19">
        <v>30.24</v>
      </c>
      <c r="C356" s="20">
        <v>1</v>
      </c>
      <c r="D356" s="19">
        <v>1.512</v>
      </c>
      <c r="E356" s="19">
        <v>31.751999999999999</v>
      </c>
      <c r="F356" s="21">
        <v>43528</v>
      </c>
      <c r="G356" s="22">
        <v>15.297222222222199</v>
      </c>
      <c r="H356" s="23" t="s">
        <v>29</v>
      </c>
      <c r="I356" s="19">
        <v>30.24</v>
      </c>
      <c r="J356" s="24">
        <v>4.7619047620000003</v>
      </c>
      <c r="K356" s="25">
        <v>8.4</v>
      </c>
      <c r="L356" s="23" t="str">
        <f>VLOOKUP(A356,'Customer-details'!$A$1:$C$1001,2,FALSE)</f>
        <v>Normal</v>
      </c>
      <c r="M356" s="23" t="str">
        <f>VLOOKUP(A356,'Customer-details'!$A$1:$C$1001,3,FALSE)</f>
        <v>Female</v>
      </c>
      <c r="N356" s="23" t="str">
        <f>VLOOKUP(A356,'Product-details'!$A$1:$B$1001,2,FALSE)</f>
        <v>Electronic accessories</v>
      </c>
      <c r="O356" s="23" t="str">
        <f>VLOOKUP(A356,'City-details'!$A$1:$C$1001,3,FALSE)</f>
        <v>Naypyitaw</v>
      </c>
      <c r="P356" s="23" t="str">
        <f>VLOOKUP(A356,'City-details'!$A$1:$C$1001,2,FALSE)</f>
        <v>C</v>
      </c>
      <c r="Q356" s="23" t="str">
        <f t="shared" si="15"/>
        <v>Mar</v>
      </c>
      <c r="R356" s="26" t="str">
        <f t="shared" si="16"/>
        <v>Mon</v>
      </c>
      <c r="S356">
        <f t="shared" si="17"/>
        <v>7</v>
      </c>
      <c r="T356" t="str" cm="1">
        <f t="array" ref="T356">_xlfn.IFS(S356&lt;=12,"Morning",S356&lt;=16,"Afternoon",S356&lt;=21,"Evening",S356&lt;=24,"Night")</f>
        <v>Morning</v>
      </c>
    </row>
    <row r="357" spans="1:20" x14ac:dyDescent="0.25">
      <c r="A357" s="31" t="s">
        <v>391</v>
      </c>
      <c r="B357" s="27">
        <v>89.14</v>
      </c>
      <c r="C357" s="28">
        <v>4</v>
      </c>
      <c r="D357" s="27">
        <v>17.827999999999999</v>
      </c>
      <c r="E357" s="27">
        <v>374.38799999999998</v>
      </c>
      <c r="F357" s="29">
        <v>43472</v>
      </c>
      <c r="G357" s="30">
        <v>15.338888888888899</v>
      </c>
      <c r="H357" s="31" t="s">
        <v>33</v>
      </c>
      <c r="I357" s="27">
        <v>356.56</v>
      </c>
      <c r="J357" s="32">
        <v>4.7619047620000003</v>
      </c>
      <c r="K357" s="33">
        <v>7.8</v>
      </c>
      <c r="L357" s="31" t="str">
        <f>VLOOKUP(A357,'Customer-details'!$A$1:$C$1001,2,FALSE)</f>
        <v>Member</v>
      </c>
      <c r="M357" s="31" t="str">
        <f>VLOOKUP(A357,'Customer-details'!$A$1:$C$1001,3,FALSE)</f>
        <v>Female</v>
      </c>
      <c r="N357" s="31" t="str">
        <f>VLOOKUP(A357,'Product-details'!$A$1:$B$1001,2,FALSE)</f>
        <v>Food and beverages</v>
      </c>
      <c r="O357" s="31" t="str">
        <f>VLOOKUP(A357,'City-details'!$A$1:$C$1001,3,FALSE)</f>
        <v>Mandalay</v>
      </c>
      <c r="P357" s="31" t="str">
        <f>VLOOKUP(A357,'City-details'!$A$1:$C$1001,2,FALSE)</f>
        <v>B</v>
      </c>
      <c r="Q357" s="31" t="str">
        <f t="shared" si="15"/>
        <v>Jan</v>
      </c>
      <c r="R357" s="34" t="str">
        <f t="shared" si="16"/>
        <v>Mon</v>
      </c>
      <c r="S357">
        <f t="shared" si="17"/>
        <v>8</v>
      </c>
      <c r="T357" t="str" cm="1">
        <f t="array" ref="T357">_xlfn.IFS(S357&lt;=12,"Morning",S357&lt;=16,"Afternoon",S357&lt;=21,"Evening",S357&lt;=24,"Night")</f>
        <v>Morning</v>
      </c>
    </row>
    <row r="358" spans="1:20" x14ac:dyDescent="0.25">
      <c r="A358" s="23" t="s">
        <v>392</v>
      </c>
      <c r="B358" s="19">
        <v>37.549999999999997</v>
      </c>
      <c r="C358" s="20">
        <v>10</v>
      </c>
      <c r="D358" s="19">
        <v>18.774999999999999</v>
      </c>
      <c r="E358" s="19">
        <v>394.27499999999998</v>
      </c>
      <c r="F358" s="21">
        <v>43532</v>
      </c>
      <c r="G358" s="22">
        <v>15.380555555555601</v>
      </c>
      <c r="H358" s="23" t="s">
        <v>33</v>
      </c>
      <c r="I358" s="19">
        <v>375.5</v>
      </c>
      <c r="J358" s="24">
        <v>4.7619047620000003</v>
      </c>
      <c r="K358" s="25">
        <v>9.3000000000000007</v>
      </c>
      <c r="L358" s="23" t="str">
        <f>VLOOKUP(A358,'Customer-details'!$A$1:$C$1001,2,FALSE)</f>
        <v>Normal</v>
      </c>
      <c r="M358" s="23" t="str">
        <f>VLOOKUP(A358,'Customer-details'!$A$1:$C$1001,3,FALSE)</f>
        <v>Female</v>
      </c>
      <c r="N358" s="23" t="str">
        <f>VLOOKUP(A358,'Product-details'!$A$1:$B$1001,2,FALSE)</f>
        <v>Fashion accessories</v>
      </c>
      <c r="O358" s="23" t="str">
        <f>VLOOKUP(A358,'City-details'!$A$1:$C$1001,3,FALSE)</f>
        <v>Naypyitaw</v>
      </c>
      <c r="P358" s="23" t="str">
        <f>VLOOKUP(A358,'City-details'!$A$1:$C$1001,2,FALSE)</f>
        <v>C</v>
      </c>
      <c r="Q358" s="23" t="str">
        <f t="shared" si="15"/>
        <v>Mar</v>
      </c>
      <c r="R358" s="26" t="str">
        <f t="shared" si="16"/>
        <v>Fri</v>
      </c>
      <c r="S358">
        <f t="shared" si="17"/>
        <v>9</v>
      </c>
      <c r="T358" t="str" cm="1">
        <f t="array" ref="T358">_xlfn.IFS(S358&lt;=12,"Morning",S358&lt;=16,"Afternoon",S358&lt;=21,"Evening",S358&lt;=24,"Night")</f>
        <v>Morning</v>
      </c>
    </row>
    <row r="359" spans="1:20" x14ac:dyDescent="0.25">
      <c r="A359" s="31" t="s">
        <v>393</v>
      </c>
      <c r="B359" s="27">
        <v>95.44</v>
      </c>
      <c r="C359" s="28">
        <v>10</v>
      </c>
      <c r="D359" s="27">
        <v>47.72</v>
      </c>
      <c r="E359" s="27">
        <v>1002.12</v>
      </c>
      <c r="F359" s="29">
        <v>43474</v>
      </c>
      <c r="G359" s="30">
        <v>15.422222222222199</v>
      </c>
      <c r="H359" s="31" t="s">
        <v>29</v>
      </c>
      <c r="I359" s="27">
        <v>954.4</v>
      </c>
      <c r="J359" s="32">
        <v>4.7619047620000003</v>
      </c>
      <c r="K359" s="33">
        <v>5.2</v>
      </c>
      <c r="L359" s="31" t="str">
        <f>VLOOKUP(A359,'Customer-details'!$A$1:$C$1001,2,FALSE)</f>
        <v>Normal</v>
      </c>
      <c r="M359" s="31" t="str">
        <f>VLOOKUP(A359,'Customer-details'!$A$1:$C$1001,3,FALSE)</f>
        <v>Female</v>
      </c>
      <c r="N359" s="31" t="str">
        <f>VLOOKUP(A359,'Product-details'!$A$1:$B$1001,2,FALSE)</f>
        <v>Sports and travel</v>
      </c>
      <c r="O359" s="31" t="str">
        <f>VLOOKUP(A359,'City-details'!$A$1:$C$1001,3,FALSE)</f>
        <v>Naypyitaw</v>
      </c>
      <c r="P359" s="31" t="str">
        <f>VLOOKUP(A359,'City-details'!$A$1:$C$1001,2,FALSE)</f>
        <v>C</v>
      </c>
      <c r="Q359" s="31" t="str">
        <f t="shared" si="15"/>
        <v>Jan</v>
      </c>
      <c r="R359" s="34" t="str">
        <f t="shared" si="16"/>
        <v>Wed</v>
      </c>
      <c r="S359">
        <f t="shared" si="17"/>
        <v>10</v>
      </c>
      <c r="T359" t="str" cm="1">
        <f t="array" ref="T359">_xlfn.IFS(S359&lt;=12,"Morning",S359&lt;=16,"Afternoon",S359&lt;=21,"Evening",S359&lt;=24,"Night")</f>
        <v>Morning</v>
      </c>
    </row>
    <row r="360" spans="1:20" x14ac:dyDescent="0.25">
      <c r="A360" s="23" t="s">
        <v>394</v>
      </c>
      <c r="B360" s="19">
        <v>27.5</v>
      </c>
      <c r="C360" s="20">
        <v>3</v>
      </c>
      <c r="D360" s="19">
        <v>4.125</v>
      </c>
      <c r="E360" s="19">
        <v>86.625</v>
      </c>
      <c r="F360" s="21">
        <v>43525</v>
      </c>
      <c r="G360" s="22">
        <v>15.463888888888899</v>
      </c>
      <c r="H360" s="23" t="s">
        <v>23</v>
      </c>
      <c r="I360" s="19">
        <v>82.5</v>
      </c>
      <c r="J360" s="24">
        <v>4.7619047620000003</v>
      </c>
      <c r="K360" s="25">
        <v>6.5</v>
      </c>
      <c r="L360" s="23" t="str">
        <f>VLOOKUP(A360,'Customer-details'!$A$1:$C$1001,2,FALSE)</f>
        <v>Normal</v>
      </c>
      <c r="M360" s="23" t="str">
        <f>VLOOKUP(A360,'Customer-details'!$A$1:$C$1001,3,FALSE)</f>
        <v>Male</v>
      </c>
      <c r="N360" s="23" t="str">
        <f>VLOOKUP(A360,'Product-details'!$A$1:$B$1001,2,FALSE)</f>
        <v>Electronic accessories</v>
      </c>
      <c r="O360" s="23" t="str">
        <f>VLOOKUP(A360,'City-details'!$A$1:$C$1001,3,FALSE)</f>
        <v>Mandalay</v>
      </c>
      <c r="P360" s="23" t="str">
        <f>VLOOKUP(A360,'City-details'!$A$1:$C$1001,2,FALSE)</f>
        <v>B</v>
      </c>
      <c r="Q360" s="23" t="str">
        <f t="shared" si="15"/>
        <v>Mar</v>
      </c>
      <c r="R360" s="26" t="str">
        <f t="shared" si="16"/>
        <v>Fri</v>
      </c>
      <c r="S360">
        <f t="shared" si="17"/>
        <v>11</v>
      </c>
      <c r="T360" t="str" cm="1">
        <f t="array" ref="T360">_xlfn.IFS(S360&lt;=12,"Morning",S360&lt;=16,"Afternoon",S360&lt;=21,"Evening",S360&lt;=24,"Night")</f>
        <v>Morning</v>
      </c>
    </row>
    <row r="361" spans="1:20" x14ac:dyDescent="0.25">
      <c r="A361" s="31" t="s">
        <v>395</v>
      </c>
      <c r="B361" s="27">
        <v>74.97</v>
      </c>
      <c r="C361" s="28">
        <v>1</v>
      </c>
      <c r="D361" s="27">
        <v>3.7484999999999999</v>
      </c>
      <c r="E361" s="27">
        <v>78.718500000000006</v>
      </c>
      <c r="F361" s="29">
        <v>43540</v>
      </c>
      <c r="G361" s="30">
        <v>15.505555555555601</v>
      </c>
      <c r="H361" s="31" t="s">
        <v>29</v>
      </c>
      <c r="I361" s="27">
        <v>74.97</v>
      </c>
      <c r="J361" s="32">
        <v>4.7619047620000003</v>
      </c>
      <c r="K361" s="33">
        <v>5.6</v>
      </c>
      <c r="L361" s="31" t="str">
        <f>VLOOKUP(A361,'Customer-details'!$A$1:$C$1001,2,FALSE)</f>
        <v>Normal</v>
      </c>
      <c r="M361" s="31" t="str">
        <f>VLOOKUP(A361,'Customer-details'!$A$1:$C$1001,3,FALSE)</f>
        <v>Male</v>
      </c>
      <c r="N361" s="31" t="str">
        <f>VLOOKUP(A361,'Product-details'!$A$1:$B$1001,2,FALSE)</f>
        <v>Sports and travel</v>
      </c>
      <c r="O361" s="31" t="str">
        <f>VLOOKUP(A361,'City-details'!$A$1:$C$1001,3,FALSE)</f>
        <v>Mandalay</v>
      </c>
      <c r="P361" s="31" t="str">
        <f>VLOOKUP(A361,'City-details'!$A$1:$C$1001,2,FALSE)</f>
        <v>B</v>
      </c>
      <c r="Q361" s="31" t="str">
        <f t="shared" si="15"/>
        <v>Mar</v>
      </c>
      <c r="R361" s="34" t="str">
        <f t="shared" si="16"/>
        <v>Sat</v>
      </c>
      <c r="S361">
        <f t="shared" si="17"/>
        <v>12</v>
      </c>
      <c r="T361" t="str" cm="1">
        <f t="array" ref="T361">_xlfn.IFS(S361&lt;=12,"Morning",S361&lt;=16,"Afternoon",S361&lt;=21,"Evening",S361&lt;=24,"Night")</f>
        <v>Morning</v>
      </c>
    </row>
    <row r="362" spans="1:20" x14ac:dyDescent="0.25">
      <c r="A362" s="23" t="s">
        <v>396</v>
      </c>
      <c r="B362" s="19">
        <v>80.959999999999994</v>
      </c>
      <c r="C362" s="20">
        <v>8</v>
      </c>
      <c r="D362" s="19">
        <v>32.384</v>
      </c>
      <c r="E362" s="19">
        <v>680.06399999999996</v>
      </c>
      <c r="F362" s="21">
        <v>43513</v>
      </c>
      <c r="G362" s="22">
        <v>15.547222222222199</v>
      </c>
      <c r="H362" s="23" t="s">
        <v>33</v>
      </c>
      <c r="I362" s="19">
        <v>647.67999999999995</v>
      </c>
      <c r="J362" s="24">
        <v>4.7619047620000003</v>
      </c>
      <c r="K362" s="25">
        <v>7.4</v>
      </c>
      <c r="L362" s="23" t="str">
        <f>VLOOKUP(A362,'Customer-details'!$A$1:$C$1001,2,FALSE)</f>
        <v>Member</v>
      </c>
      <c r="M362" s="23" t="str">
        <f>VLOOKUP(A362,'Customer-details'!$A$1:$C$1001,3,FALSE)</f>
        <v>Male</v>
      </c>
      <c r="N362" s="23" t="str">
        <f>VLOOKUP(A362,'Product-details'!$A$1:$B$1001,2,FALSE)</f>
        <v>Food and beverages</v>
      </c>
      <c r="O362" s="23" t="str">
        <f>VLOOKUP(A362,'City-details'!$A$1:$C$1001,3,FALSE)</f>
        <v>Yangon</v>
      </c>
      <c r="P362" s="23" t="str">
        <f>VLOOKUP(A362,'City-details'!$A$1:$C$1001,2,FALSE)</f>
        <v>A</v>
      </c>
      <c r="Q362" s="23" t="str">
        <f t="shared" si="15"/>
        <v>Feb</v>
      </c>
      <c r="R362" s="26" t="str">
        <f t="shared" si="16"/>
        <v>Sun</v>
      </c>
      <c r="S362">
        <f t="shared" si="17"/>
        <v>13</v>
      </c>
      <c r="T362" t="str" cm="1">
        <f t="array" ref="T362">_xlfn.IFS(S362&lt;=12,"Morning",S362&lt;=16,"Afternoon",S362&lt;=21,"Evening",S362&lt;=24,"Night")</f>
        <v>Afternoon</v>
      </c>
    </row>
    <row r="363" spans="1:20" x14ac:dyDescent="0.25">
      <c r="A363" s="31" t="s">
        <v>397</v>
      </c>
      <c r="B363" s="27">
        <v>94.47</v>
      </c>
      <c r="C363" s="28">
        <v>8</v>
      </c>
      <c r="D363" s="27">
        <v>37.787999999999997</v>
      </c>
      <c r="E363" s="27">
        <v>793.548</v>
      </c>
      <c r="F363" s="29">
        <v>43523</v>
      </c>
      <c r="G363" s="30">
        <v>15.588888888888899</v>
      </c>
      <c r="H363" s="31" t="s">
        <v>29</v>
      </c>
      <c r="I363" s="27">
        <v>755.76</v>
      </c>
      <c r="J363" s="32">
        <v>4.7619047620000003</v>
      </c>
      <c r="K363" s="33">
        <v>9.1</v>
      </c>
      <c r="L363" s="31" t="str">
        <f>VLOOKUP(A363,'Customer-details'!$A$1:$C$1001,2,FALSE)</f>
        <v>Normal</v>
      </c>
      <c r="M363" s="31" t="str">
        <f>VLOOKUP(A363,'Customer-details'!$A$1:$C$1001,3,FALSE)</f>
        <v>Female</v>
      </c>
      <c r="N363" s="31" t="str">
        <f>VLOOKUP(A363,'Product-details'!$A$1:$B$1001,2,FALSE)</f>
        <v>Food and beverages</v>
      </c>
      <c r="O363" s="31" t="str">
        <f>VLOOKUP(A363,'City-details'!$A$1:$C$1001,3,FALSE)</f>
        <v>Naypyitaw</v>
      </c>
      <c r="P363" s="31" t="str">
        <f>VLOOKUP(A363,'City-details'!$A$1:$C$1001,2,FALSE)</f>
        <v>C</v>
      </c>
      <c r="Q363" s="31" t="str">
        <f t="shared" si="15"/>
        <v>Feb</v>
      </c>
      <c r="R363" s="34" t="str">
        <f t="shared" si="16"/>
        <v>Wed</v>
      </c>
      <c r="S363">
        <f t="shared" si="17"/>
        <v>14</v>
      </c>
      <c r="T363" t="str" cm="1">
        <f t="array" ref="T363">_xlfn.IFS(S363&lt;=12,"Morning",S363&lt;=16,"Afternoon",S363&lt;=21,"Evening",S363&lt;=24,"Night")</f>
        <v>Afternoon</v>
      </c>
    </row>
    <row r="364" spans="1:20" x14ac:dyDescent="0.25">
      <c r="A364" s="23" t="s">
        <v>398</v>
      </c>
      <c r="B364" s="19">
        <v>99.79</v>
      </c>
      <c r="C364" s="20">
        <v>2</v>
      </c>
      <c r="D364" s="19">
        <v>9.9789999999999992</v>
      </c>
      <c r="E364" s="19">
        <v>209.559</v>
      </c>
      <c r="F364" s="21">
        <v>43531</v>
      </c>
      <c r="G364" s="22">
        <v>15.630555555555601</v>
      </c>
      <c r="H364" s="23" t="s">
        <v>23</v>
      </c>
      <c r="I364" s="19">
        <v>199.58</v>
      </c>
      <c r="J364" s="24">
        <v>4.7619047620000003</v>
      </c>
      <c r="K364" s="25">
        <v>8</v>
      </c>
      <c r="L364" s="23" t="str">
        <f>VLOOKUP(A364,'Customer-details'!$A$1:$C$1001,2,FALSE)</f>
        <v>Normal</v>
      </c>
      <c r="M364" s="23" t="str">
        <f>VLOOKUP(A364,'Customer-details'!$A$1:$C$1001,3,FALSE)</f>
        <v>Male</v>
      </c>
      <c r="N364" s="23" t="str">
        <f>VLOOKUP(A364,'Product-details'!$A$1:$B$1001,2,FALSE)</f>
        <v>Food and beverages</v>
      </c>
      <c r="O364" s="23" t="str">
        <f>VLOOKUP(A364,'City-details'!$A$1:$C$1001,3,FALSE)</f>
        <v>Naypyitaw</v>
      </c>
      <c r="P364" s="23" t="str">
        <f>VLOOKUP(A364,'City-details'!$A$1:$C$1001,2,FALSE)</f>
        <v>C</v>
      </c>
      <c r="Q364" s="23" t="str">
        <f t="shared" si="15"/>
        <v>Mar</v>
      </c>
      <c r="R364" s="26" t="str">
        <f t="shared" si="16"/>
        <v>Thu</v>
      </c>
      <c r="S364">
        <f t="shared" si="17"/>
        <v>15</v>
      </c>
      <c r="T364" t="str" cm="1">
        <f t="array" ref="T364">_xlfn.IFS(S364&lt;=12,"Morning",S364&lt;=16,"Afternoon",S364&lt;=21,"Evening",S364&lt;=24,"Night")</f>
        <v>Afternoon</v>
      </c>
    </row>
    <row r="365" spans="1:20" x14ac:dyDescent="0.25">
      <c r="A365" s="31" t="s">
        <v>399</v>
      </c>
      <c r="B365" s="27">
        <v>73.22</v>
      </c>
      <c r="C365" s="28">
        <v>6</v>
      </c>
      <c r="D365" s="27">
        <v>21.966000000000001</v>
      </c>
      <c r="E365" s="27">
        <v>461.286</v>
      </c>
      <c r="F365" s="29">
        <v>43486</v>
      </c>
      <c r="G365" s="30">
        <v>15.672222222222199</v>
      </c>
      <c r="H365" s="31" t="s">
        <v>29</v>
      </c>
      <c r="I365" s="27">
        <v>439.32</v>
      </c>
      <c r="J365" s="32">
        <v>4.7619047620000003</v>
      </c>
      <c r="K365" s="33">
        <v>7.2</v>
      </c>
      <c r="L365" s="31" t="str">
        <f>VLOOKUP(A365,'Customer-details'!$A$1:$C$1001,2,FALSE)</f>
        <v>Normal</v>
      </c>
      <c r="M365" s="31" t="str">
        <f>VLOOKUP(A365,'Customer-details'!$A$1:$C$1001,3,FALSE)</f>
        <v>Male</v>
      </c>
      <c r="N365" s="31" t="str">
        <f>VLOOKUP(A365,'Product-details'!$A$1:$B$1001,2,FALSE)</f>
        <v>Home and lifestyle</v>
      </c>
      <c r="O365" s="31" t="str">
        <f>VLOOKUP(A365,'City-details'!$A$1:$C$1001,3,FALSE)</f>
        <v>Yangon</v>
      </c>
      <c r="P365" s="31" t="str">
        <f>VLOOKUP(A365,'City-details'!$A$1:$C$1001,2,FALSE)</f>
        <v>A</v>
      </c>
      <c r="Q365" s="31" t="str">
        <f t="shared" si="15"/>
        <v>Jan</v>
      </c>
      <c r="R365" s="34" t="str">
        <f t="shared" si="16"/>
        <v>Mon</v>
      </c>
      <c r="S365">
        <f t="shared" si="17"/>
        <v>16</v>
      </c>
      <c r="T365" t="str" cm="1">
        <f t="array" ref="T365">_xlfn.IFS(S365&lt;=12,"Morning",S365&lt;=16,"Afternoon",S365&lt;=21,"Evening",S365&lt;=24,"Night")</f>
        <v>Afternoon</v>
      </c>
    </row>
    <row r="366" spans="1:20" x14ac:dyDescent="0.25">
      <c r="A366" s="23" t="s">
        <v>400</v>
      </c>
      <c r="B366" s="19">
        <v>41.24</v>
      </c>
      <c r="C366" s="20">
        <v>4</v>
      </c>
      <c r="D366" s="19">
        <v>8.2479999999999993</v>
      </c>
      <c r="E366" s="19">
        <v>173.208</v>
      </c>
      <c r="F366" s="21">
        <v>43515</v>
      </c>
      <c r="G366" s="22">
        <v>15.713888888888899</v>
      </c>
      <c r="H366" s="23" t="s">
        <v>29</v>
      </c>
      <c r="I366" s="19">
        <v>164.96</v>
      </c>
      <c r="J366" s="24">
        <v>4.7619047620000003</v>
      </c>
      <c r="K366" s="25">
        <v>7.1</v>
      </c>
      <c r="L366" s="23" t="str">
        <f>VLOOKUP(A366,'Customer-details'!$A$1:$C$1001,2,FALSE)</f>
        <v>Normal</v>
      </c>
      <c r="M366" s="23" t="str">
        <f>VLOOKUP(A366,'Customer-details'!$A$1:$C$1001,3,FALSE)</f>
        <v>Female</v>
      </c>
      <c r="N366" s="23" t="str">
        <f>VLOOKUP(A366,'Product-details'!$A$1:$B$1001,2,FALSE)</f>
        <v>Food and beverages</v>
      </c>
      <c r="O366" s="23" t="str">
        <f>VLOOKUP(A366,'City-details'!$A$1:$C$1001,3,FALSE)</f>
        <v>Naypyitaw</v>
      </c>
      <c r="P366" s="23" t="str">
        <f>VLOOKUP(A366,'City-details'!$A$1:$C$1001,2,FALSE)</f>
        <v>C</v>
      </c>
      <c r="Q366" s="23" t="str">
        <f t="shared" si="15"/>
        <v>Feb</v>
      </c>
      <c r="R366" s="26" t="str">
        <f t="shared" si="16"/>
        <v>Tue</v>
      </c>
      <c r="S366">
        <f t="shared" si="17"/>
        <v>17</v>
      </c>
      <c r="T366" t="str" cm="1">
        <f t="array" ref="T366">_xlfn.IFS(S366&lt;=12,"Morning",S366&lt;=16,"Afternoon",S366&lt;=21,"Evening",S366&lt;=24,"Night")</f>
        <v>Evening</v>
      </c>
    </row>
    <row r="367" spans="1:20" x14ac:dyDescent="0.25">
      <c r="A367" s="31" t="s">
        <v>401</v>
      </c>
      <c r="B367" s="27">
        <v>81.680000000000007</v>
      </c>
      <c r="C367" s="28">
        <v>4</v>
      </c>
      <c r="D367" s="27">
        <v>16.335999999999999</v>
      </c>
      <c r="E367" s="27">
        <v>343.05599999999998</v>
      </c>
      <c r="F367" s="29">
        <v>43471</v>
      </c>
      <c r="G367" s="30">
        <v>15.755555555555601</v>
      </c>
      <c r="H367" s="31" t="s">
        <v>29</v>
      </c>
      <c r="I367" s="27">
        <v>326.72000000000003</v>
      </c>
      <c r="J367" s="32">
        <v>4.7619047620000003</v>
      </c>
      <c r="K367" s="33">
        <v>9.1</v>
      </c>
      <c r="L367" s="31" t="str">
        <f>VLOOKUP(A367,'Customer-details'!$A$1:$C$1001,2,FALSE)</f>
        <v>Normal</v>
      </c>
      <c r="M367" s="31" t="str">
        <f>VLOOKUP(A367,'Customer-details'!$A$1:$C$1001,3,FALSE)</f>
        <v>Female</v>
      </c>
      <c r="N367" s="31" t="str">
        <f>VLOOKUP(A367,'Product-details'!$A$1:$B$1001,2,FALSE)</f>
        <v>Fashion accessories</v>
      </c>
      <c r="O367" s="31" t="str">
        <f>VLOOKUP(A367,'City-details'!$A$1:$C$1001,3,FALSE)</f>
        <v>Naypyitaw</v>
      </c>
      <c r="P367" s="31" t="str">
        <f>VLOOKUP(A367,'City-details'!$A$1:$C$1001,2,FALSE)</f>
        <v>C</v>
      </c>
      <c r="Q367" s="31" t="str">
        <f t="shared" si="15"/>
        <v>Jan</v>
      </c>
      <c r="R367" s="34" t="str">
        <f t="shared" si="16"/>
        <v>Sun</v>
      </c>
      <c r="S367">
        <f t="shared" si="17"/>
        <v>18</v>
      </c>
      <c r="T367" t="str" cm="1">
        <f t="array" ref="T367">_xlfn.IFS(S367&lt;=12,"Morning",S367&lt;=16,"Afternoon",S367&lt;=21,"Evening",S367&lt;=24,"Night")</f>
        <v>Evening</v>
      </c>
    </row>
    <row r="368" spans="1:20" x14ac:dyDescent="0.25">
      <c r="A368" s="23" t="s">
        <v>402</v>
      </c>
      <c r="B368" s="19">
        <v>51.32</v>
      </c>
      <c r="C368" s="20">
        <v>9</v>
      </c>
      <c r="D368" s="19">
        <v>23.094000000000001</v>
      </c>
      <c r="E368" s="19">
        <v>484.97399999999999</v>
      </c>
      <c r="F368" s="21">
        <v>43538</v>
      </c>
      <c r="G368" s="22">
        <v>15.797222222222199</v>
      </c>
      <c r="H368" s="23" t="s">
        <v>29</v>
      </c>
      <c r="I368" s="19">
        <v>461.88</v>
      </c>
      <c r="J368" s="24">
        <v>4.7619047620000003</v>
      </c>
      <c r="K368" s="25">
        <v>5.6</v>
      </c>
      <c r="L368" s="23" t="str">
        <f>VLOOKUP(A368,'Customer-details'!$A$1:$C$1001,2,FALSE)</f>
        <v>Normal</v>
      </c>
      <c r="M368" s="23" t="str">
        <f>VLOOKUP(A368,'Customer-details'!$A$1:$C$1001,3,FALSE)</f>
        <v>Female</v>
      </c>
      <c r="N368" s="23" t="str">
        <f>VLOOKUP(A368,'Product-details'!$A$1:$B$1001,2,FALSE)</f>
        <v>Electronic accessories</v>
      </c>
      <c r="O368" s="23" t="str">
        <f>VLOOKUP(A368,'City-details'!$A$1:$C$1001,3,FALSE)</f>
        <v>Naypyitaw</v>
      </c>
      <c r="P368" s="23" t="str">
        <f>VLOOKUP(A368,'City-details'!$A$1:$C$1001,2,FALSE)</f>
        <v>C</v>
      </c>
      <c r="Q368" s="23" t="str">
        <f t="shared" si="15"/>
        <v>Mar</v>
      </c>
      <c r="R368" s="26" t="str">
        <f t="shared" si="16"/>
        <v>Thu</v>
      </c>
      <c r="S368">
        <f t="shared" si="17"/>
        <v>19</v>
      </c>
      <c r="T368" t="str" cm="1">
        <f t="array" ref="T368">_xlfn.IFS(S368&lt;=12,"Morning",S368&lt;=16,"Afternoon",S368&lt;=21,"Evening",S368&lt;=24,"Night")</f>
        <v>Evening</v>
      </c>
    </row>
    <row r="369" spans="1:20" x14ac:dyDescent="0.25">
      <c r="A369" s="31" t="s">
        <v>403</v>
      </c>
      <c r="B369" s="27">
        <v>65.94</v>
      </c>
      <c r="C369" s="28">
        <v>4</v>
      </c>
      <c r="D369" s="27">
        <v>13.188000000000001</v>
      </c>
      <c r="E369" s="27">
        <v>276.94799999999998</v>
      </c>
      <c r="F369" s="29">
        <v>43548</v>
      </c>
      <c r="G369" s="30">
        <v>15.838888888888899</v>
      </c>
      <c r="H369" s="31" t="s">
        <v>29</v>
      </c>
      <c r="I369" s="27">
        <v>263.76</v>
      </c>
      <c r="J369" s="32">
        <v>4.7619047620000003</v>
      </c>
      <c r="K369" s="33">
        <v>6</v>
      </c>
      <c r="L369" s="31" t="str">
        <f>VLOOKUP(A369,'Customer-details'!$A$1:$C$1001,2,FALSE)</f>
        <v>Member</v>
      </c>
      <c r="M369" s="31" t="str">
        <f>VLOOKUP(A369,'Customer-details'!$A$1:$C$1001,3,FALSE)</f>
        <v>Male</v>
      </c>
      <c r="N369" s="31" t="str">
        <f>VLOOKUP(A369,'Product-details'!$A$1:$B$1001,2,FALSE)</f>
        <v>Home and lifestyle</v>
      </c>
      <c r="O369" s="31" t="str">
        <f>VLOOKUP(A369,'City-details'!$A$1:$C$1001,3,FALSE)</f>
        <v>Yangon</v>
      </c>
      <c r="P369" s="31" t="str">
        <f>VLOOKUP(A369,'City-details'!$A$1:$C$1001,2,FALSE)</f>
        <v>A</v>
      </c>
      <c r="Q369" s="31" t="str">
        <f t="shared" si="15"/>
        <v>Mar</v>
      </c>
      <c r="R369" s="34" t="str">
        <f t="shared" si="16"/>
        <v>Sun</v>
      </c>
      <c r="S369">
        <f t="shared" si="17"/>
        <v>20</v>
      </c>
      <c r="T369" t="str" cm="1">
        <f t="array" ref="T369">_xlfn.IFS(S369&lt;=12,"Morning",S369&lt;=16,"Afternoon",S369&lt;=21,"Evening",S369&lt;=24,"Night")</f>
        <v>Evening</v>
      </c>
    </row>
    <row r="370" spans="1:20" x14ac:dyDescent="0.25">
      <c r="A370" s="23" t="s">
        <v>404</v>
      </c>
      <c r="B370" s="19">
        <v>14.36</v>
      </c>
      <c r="C370" s="20">
        <v>10</v>
      </c>
      <c r="D370" s="19">
        <v>7.18</v>
      </c>
      <c r="E370" s="19">
        <v>150.78</v>
      </c>
      <c r="F370" s="21">
        <v>43492</v>
      </c>
      <c r="G370" s="22">
        <v>15.880555555555601</v>
      </c>
      <c r="H370" s="23" t="s">
        <v>29</v>
      </c>
      <c r="I370" s="19">
        <v>143.6</v>
      </c>
      <c r="J370" s="24">
        <v>4.7619047620000003</v>
      </c>
      <c r="K370" s="25">
        <v>5.4</v>
      </c>
      <c r="L370" s="23" t="str">
        <f>VLOOKUP(A370,'Customer-details'!$A$1:$C$1001,2,FALSE)</f>
        <v>Normal</v>
      </c>
      <c r="M370" s="23" t="str">
        <f>VLOOKUP(A370,'Customer-details'!$A$1:$C$1001,3,FALSE)</f>
        <v>Female</v>
      </c>
      <c r="N370" s="23" t="str">
        <f>VLOOKUP(A370,'Product-details'!$A$1:$B$1001,2,FALSE)</f>
        <v>Sports and travel</v>
      </c>
      <c r="O370" s="23" t="str">
        <f>VLOOKUP(A370,'City-details'!$A$1:$C$1001,3,FALSE)</f>
        <v>Naypyitaw</v>
      </c>
      <c r="P370" s="23" t="str">
        <f>VLOOKUP(A370,'City-details'!$A$1:$C$1001,2,FALSE)</f>
        <v>C</v>
      </c>
      <c r="Q370" s="23" t="str">
        <f t="shared" si="15"/>
        <v>Jan</v>
      </c>
      <c r="R370" s="26" t="str">
        <f t="shared" si="16"/>
        <v>Sun</v>
      </c>
      <c r="S370">
        <f t="shared" si="17"/>
        <v>21</v>
      </c>
      <c r="T370" t="str" cm="1">
        <f t="array" ref="T370">_xlfn.IFS(S370&lt;=12,"Morning",S370&lt;=16,"Afternoon",S370&lt;=21,"Evening",S370&lt;=24,"Night")</f>
        <v>Evening</v>
      </c>
    </row>
    <row r="371" spans="1:20" x14ac:dyDescent="0.25">
      <c r="A371" s="31" t="s">
        <v>405</v>
      </c>
      <c r="B371" s="27">
        <v>21.5</v>
      </c>
      <c r="C371" s="28">
        <v>9</v>
      </c>
      <c r="D371" s="27">
        <v>9.6750000000000007</v>
      </c>
      <c r="E371" s="27">
        <v>203.17500000000001</v>
      </c>
      <c r="F371" s="29">
        <v>43530</v>
      </c>
      <c r="G371" s="30">
        <v>15.922222222222199</v>
      </c>
      <c r="H371" s="31" t="s">
        <v>33</v>
      </c>
      <c r="I371" s="27">
        <v>193.5</v>
      </c>
      <c r="J371" s="32">
        <v>4.7619047620000003</v>
      </c>
      <c r="K371" s="33">
        <v>7.8</v>
      </c>
      <c r="L371" s="31" t="str">
        <f>VLOOKUP(A371,'Customer-details'!$A$1:$C$1001,2,FALSE)</f>
        <v>Member</v>
      </c>
      <c r="M371" s="31" t="str">
        <f>VLOOKUP(A371,'Customer-details'!$A$1:$C$1001,3,FALSE)</f>
        <v>Male</v>
      </c>
      <c r="N371" s="31" t="str">
        <f>VLOOKUP(A371,'Product-details'!$A$1:$B$1001,2,FALSE)</f>
        <v>Electronic accessories</v>
      </c>
      <c r="O371" s="31" t="str">
        <f>VLOOKUP(A371,'City-details'!$A$1:$C$1001,3,FALSE)</f>
        <v>Yangon</v>
      </c>
      <c r="P371" s="31" t="str">
        <f>VLOOKUP(A371,'City-details'!$A$1:$C$1001,2,FALSE)</f>
        <v>A</v>
      </c>
      <c r="Q371" s="31" t="str">
        <f t="shared" si="15"/>
        <v>Mar</v>
      </c>
      <c r="R371" s="34" t="str">
        <f t="shared" si="16"/>
        <v>Wed</v>
      </c>
      <c r="S371">
        <f t="shared" si="17"/>
        <v>22</v>
      </c>
      <c r="T371" t="str" cm="1">
        <f t="array" ref="T371">_xlfn.IFS(S371&lt;=12,"Morning",S371&lt;=16,"Afternoon",S371&lt;=21,"Evening",S371&lt;=24,"Night")</f>
        <v>Night</v>
      </c>
    </row>
    <row r="372" spans="1:20" x14ac:dyDescent="0.25">
      <c r="A372" s="23" t="s">
        <v>406</v>
      </c>
      <c r="B372" s="19">
        <v>26.26</v>
      </c>
      <c r="C372" s="20">
        <v>7</v>
      </c>
      <c r="D372" s="19">
        <v>9.1910000000000007</v>
      </c>
      <c r="E372" s="19">
        <v>193.011</v>
      </c>
      <c r="F372" s="21">
        <v>43498</v>
      </c>
      <c r="G372" s="22">
        <v>15.963888888888899</v>
      </c>
      <c r="H372" s="23" t="s">
        <v>29</v>
      </c>
      <c r="I372" s="19">
        <v>183.82</v>
      </c>
      <c r="J372" s="24">
        <v>4.7619047620000003</v>
      </c>
      <c r="K372" s="25">
        <v>9.9</v>
      </c>
      <c r="L372" s="23" t="str">
        <f>VLOOKUP(A372,'Customer-details'!$A$1:$C$1001,2,FALSE)</f>
        <v>Member</v>
      </c>
      <c r="M372" s="23" t="str">
        <f>VLOOKUP(A372,'Customer-details'!$A$1:$C$1001,3,FALSE)</f>
        <v>Female</v>
      </c>
      <c r="N372" s="23" t="str">
        <f>VLOOKUP(A372,'Product-details'!$A$1:$B$1001,2,FALSE)</f>
        <v>Electronic accessories</v>
      </c>
      <c r="O372" s="23" t="str">
        <f>VLOOKUP(A372,'City-details'!$A$1:$C$1001,3,FALSE)</f>
        <v>Mandalay</v>
      </c>
      <c r="P372" s="23" t="str">
        <f>VLOOKUP(A372,'City-details'!$A$1:$C$1001,2,FALSE)</f>
        <v>B</v>
      </c>
      <c r="Q372" s="23" t="str">
        <f t="shared" si="15"/>
        <v>Feb</v>
      </c>
      <c r="R372" s="26" t="str">
        <f t="shared" si="16"/>
        <v>Sat</v>
      </c>
      <c r="S372">
        <f t="shared" si="17"/>
        <v>23</v>
      </c>
      <c r="T372" t="str" cm="1">
        <f t="array" ref="T372">_xlfn.IFS(S372&lt;=12,"Morning",S372&lt;=16,"Afternoon",S372&lt;=21,"Evening",S372&lt;=24,"Night")</f>
        <v>Night</v>
      </c>
    </row>
    <row r="373" spans="1:20" x14ac:dyDescent="0.25">
      <c r="A373" s="31" t="s">
        <v>407</v>
      </c>
      <c r="B373" s="27">
        <v>60.96</v>
      </c>
      <c r="C373" s="28">
        <v>2</v>
      </c>
      <c r="D373" s="27">
        <v>6.0960000000000001</v>
      </c>
      <c r="E373" s="27">
        <v>128.01599999999999</v>
      </c>
      <c r="F373" s="29">
        <v>43490</v>
      </c>
      <c r="G373" s="30">
        <v>16.005555555555599</v>
      </c>
      <c r="H373" s="31" t="s">
        <v>33</v>
      </c>
      <c r="I373" s="27">
        <v>121.92</v>
      </c>
      <c r="J373" s="32">
        <v>4.7619047620000003</v>
      </c>
      <c r="K373" s="33">
        <v>4.9000000000000004</v>
      </c>
      <c r="L373" s="31" t="str">
        <f>VLOOKUP(A373,'Customer-details'!$A$1:$C$1001,2,FALSE)</f>
        <v>Normal</v>
      </c>
      <c r="M373" s="31" t="str">
        <f>VLOOKUP(A373,'Customer-details'!$A$1:$C$1001,3,FALSE)</f>
        <v>Female</v>
      </c>
      <c r="N373" s="31" t="str">
        <f>VLOOKUP(A373,'Product-details'!$A$1:$B$1001,2,FALSE)</f>
        <v>Fashion accessories</v>
      </c>
      <c r="O373" s="31" t="str">
        <f>VLOOKUP(A373,'City-details'!$A$1:$C$1001,3,FALSE)</f>
        <v>Mandalay</v>
      </c>
      <c r="P373" s="31" t="str">
        <f>VLOOKUP(A373,'City-details'!$A$1:$C$1001,2,FALSE)</f>
        <v>B</v>
      </c>
      <c r="Q373" s="31" t="str">
        <f t="shared" si="15"/>
        <v>Jan</v>
      </c>
      <c r="R373" s="34" t="str">
        <f t="shared" si="16"/>
        <v>Fri</v>
      </c>
      <c r="S373">
        <f t="shared" si="17"/>
        <v>0</v>
      </c>
      <c r="T373" t="str" cm="1">
        <f t="array" ref="T373">_xlfn.IFS(S373&lt;=12,"Morning",S373&lt;=16,"Afternoon",S373&lt;=21,"Evening",S373&lt;=24,"Night")</f>
        <v>Morning</v>
      </c>
    </row>
    <row r="374" spans="1:20" x14ac:dyDescent="0.25">
      <c r="A374" s="23" t="s">
        <v>408</v>
      </c>
      <c r="B374" s="19">
        <v>70.11</v>
      </c>
      <c r="C374" s="20">
        <v>6</v>
      </c>
      <c r="D374" s="19">
        <v>21.033000000000001</v>
      </c>
      <c r="E374" s="19">
        <v>441.69299999999998</v>
      </c>
      <c r="F374" s="21">
        <v>43538</v>
      </c>
      <c r="G374" s="22">
        <v>16.047222222222199</v>
      </c>
      <c r="H374" s="23" t="s">
        <v>23</v>
      </c>
      <c r="I374" s="19">
        <v>420.66</v>
      </c>
      <c r="J374" s="24">
        <v>4.7619047620000003</v>
      </c>
      <c r="K374" s="25">
        <v>5.2</v>
      </c>
      <c r="L374" s="23" t="str">
        <f>VLOOKUP(A374,'Customer-details'!$A$1:$C$1001,2,FALSE)</f>
        <v>Normal</v>
      </c>
      <c r="M374" s="23" t="str">
        <f>VLOOKUP(A374,'Customer-details'!$A$1:$C$1001,3,FALSE)</f>
        <v>Female</v>
      </c>
      <c r="N374" s="23" t="str">
        <f>VLOOKUP(A374,'Product-details'!$A$1:$B$1001,2,FALSE)</f>
        <v>Home and lifestyle</v>
      </c>
      <c r="O374" s="23" t="str">
        <f>VLOOKUP(A374,'City-details'!$A$1:$C$1001,3,FALSE)</f>
        <v>Naypyitaw</v>
      </c>
      <c r="P374" s="23" t="str">
        <f>VLOOKUP(A374,'City-details'!$A$1:$C$1001,2,FALSE)</f>
        <v>C</v>
      </c>
      <c r="Q374" s="23" t="str">
        <f t="shared" si="15"/>
        <v>Mar</v>
      </c>
      <c r="R374" s="26" t="str">
        <f t="shared" si="16"/>
        <v>Thu</v>
      </c>
      <c r="S374">
        <f t="shared" si="17"/>
        <v>1</v>
      </c>
      <c r="T374" t="str" cm="1">
        <f t="array" ref="T374">_xlfn.IFS(S374&lt;=12,"Morning",S374&lt;=16,"Afternoon",S374&lt;=21,"Evening",S374&lt;=24,"Night")</f>
        <v>Morning</v>
      </c>
    </row>
    <row r="375" spans="1:20" x14ac:dyDescent="0.25">
      <c r="A375" s="31" t="s">
        <v>409</v>
      </c>
      <c r="B375" s="27">
        <v>42.08</v>
      </c>
      <c r="C375" s="28">
        <v>6</v>
      </c>
      <c r="D375" s="27">
        <v>12.624000000000001</v>
      </c>
      <c r="E375" s="27">
        <v>265.10399999999998</v>
      </c>
      <c r="F375" s="29">
        <v>43494</v>
      </c>
      <c r="G375" s="30">
        <v>16.088888888888899</v>
      </c>
      <c r="H375" s="31" t="s">
        <v>29</v>
      </c>
      <c r="I375" s="27">
        <v>252.48</v>
      </c>
      <c r="J375" s="32">
        <v>4.7619047620000003</v>
      </c>
      <c r="K375" s="33">
        <v>8.9</v>
      </c>
      <c r="L375" s="31" t="str">
        <f>VLOOKUP(A375,'Customer-details'!$A$1:$C$1001,2,FALSE)</f>
        <v>Normal</v>
      </c>
      <c r="M375" s="31" t="str">
        <f>VLOOKUP(A375,'Customer-details'!$A$1:$C$1001,3,FALSE)</f>
        <v>Male</v>
      </c>
      <c r="N375" s="31" t="str">
        <f>VLOOKUP(A375,'Product-details'!$A$1:$B$1001,2,FALSE)</f>
        <v>Fashion accessories</v>
      </c>
      <c r="O375" s="31" t="str">
        <f>VLOOKUP(A375,'City-details'!$A$1:$C$1001,3,FALSE)</f>
        <v>Naypyitaw</v>
      </c>
      <c r="P375" s="31" t="str">
        <f>VLOOKUP(A375,'City-details'!$A$1:$C$1001,2,FALSE)</f>
        <v>C</v>
      </c>
      <c r="Q375" s="31" t="str">
        <f t="shared" si="15"/>
        <v>Jan</v>
      </c>
      <c r="R375" s="34" t="str">
        <f t="shared" si="16"/>
        <v>Tue</v>
      </c>
      <c r="S375">
        <f t="shared" si="17"/>
        <v>2</v>
      </c>
      <c r="T375" t="str" cm="1">
        <f t="array" ref="T375">_xlfn.IFS(S375&lt;=12,"Morning",S375&lt;=16,"Afternoon",S375&lt;=21,"Evening",S375&lt;=24,"Night")</f>
        <v>Morning</v>
      </c>
    </row>
    <row r="376" spans="1:20" x14ac:dyDescent="0.25">
      <c r="A376" s="23" t="s">
        <v>410</v>
      </c>
      <c r="B376" s="19">
        <v>67.09</v>
      </c>
      <c r="C376" s="20">
        <v>5</v>
      </c>
      <c r="D376" s="19">
        <v>16.772500000000001</v>
      </c>
      <c r="E376" s="19">
        <v>352.22250000000003</v>
      </c>
      <c r="F376" s="21">
        <v>43468</v>
      </c>
      <c r="G376" s="22">
        <v>16.130555555555599</v>
      </c>
      <c r="H376" s="23" t="s">
        <v>33</v>
      </c>
      <c r="I376" s="19">
        <v>335.45</v>
      </c>
      <c r="J376" s="24">
        <v>4.7619047620000003</v>
      </c>
      <c r="K376" s="25">
        <v>9.1</v>
      </c>
      <c r="L376" s="23" t="str">
        <f>VLOOKUP(A376,'Customer-details'!$A$1:$C$1001,2,FALSE)</f>
        <v>Normal</v>
      </c>
      <c r="M376" s="23" t="str">
        <f>VLOOKUP(A376,'Customer-details'!$A$1:$C$1001,3,FALSE)</f>
        <v>Female</v>
      </c>
      <c r="N376" s="23" t="str">
        <f>VLOOKUP(A376,'Product-details'!$A$1:$B$1001,2,FALSE)</f>
        <v>Home and lifestyle</v>
      </c>
      <c r="O376" s="23" t="str">
        <f>VLOOKUP(A376,'City-details'!$A$1:$C$1001,3,FALSE)</f>
        <v>Yangon</v>
      </c>
      <c r="P376" s="23" t="str">
        <f>VLOOKUP(A376,'City-details'!$A$1:$C$1001,2,FALSE)</f>
        <v>A</v>
      </c>
      <c r="Q376" s="23" t="str">
        <f t="shared" si="15"/>
        <v>Jan</v>
      </c>
      <c r="R376" s="26" t="str">
        <f t="shared" si="16"/>
        <v>Thu</v>
      </c>
      <c r="S376">
        <f t="shared" si="17"/>
        <v>3</v>
      </c>
      <c r="T376" t="str" cm="1">
        <f t="array" ref="T376">_xlfn.IFS(S376&lt;=12,"Morning",S376&lt;=16,"Afternoon",S376&lt;=21,"Evening",S376&lt;=24,"Night")</f>
        <v>Morning</v>
      </c>
    </row>
    <row r="377" spans="1:20" x14ac:dyDescent="0.25">
      <c r="A377" s="31" t="s">
        <v>411</v>
      </c>
      <c r="B377" s="27">
        <v>96.7</v>
      </c>
      <c r="C377" s="28">
        <v>5</v>
      </c>
      <c r="D377" s="27">
        <v>24.175000000000001</v>
      </c>
      <c r="E377" s="27">
        <v>507.67500000000001</v>
      </c>
      <c r="F377" s="29">
        <v>43479</v>
      </c>
      <c r="G377" s="30">
        <v>16.172222222222199</v>
      </c>
      <c r="H377" s="31" t="s">
        <v>23</v>
      </c>
      <c r="I377" s="27">
        <v>483.5</v>
      </c>
      <c r="J377" s="32">
        <v>4.7619047620000003</v>
      </c>
      <c r="K377" s="33">
        <v>7</v>
      </c>
      <c r="L377" s="31" t="str">
        <f>VLOOKUP(A377,'Customer-details'!$A$1:$C$1001,2,FALSE)</f>
        <v>Member</v>
      </c>
      <c r="M377" s="31" t="str">
        <f>VLOOKUP(A377,'Customer-details'!$A$1:$C$1001,3,FALSE)</f>
        <v>Female</v>
      </c>
      <c r="N377" s="31" t="str">
        <f>VLOOKUP(A377,'Product-details'!$A$1:$B$1001,2,FALSE)</f>
        <v>Fashion accessories</v>
      </c>
      <c r="O377" s="31" t="str">
        <f>VLOOKUP(A377,'City-details'!$A$1:$C$1001,3,FALSE)</f>
        <v>Yangon</v>
      </c>
      <c r="P377" s="31" t="str">
        <f>VLOOKUP(A377,'City-details'!$A$1:$C$1001,2,FALSE)</f>
        <v>A</v>
      </c>
      <c r="Q377" s="31" t="str">
        <f t="shared" si="15"/>
        <v>Jan</v>
      </c>
      <c r="R377" s="34" t="str">
        <f t="shared" si="16"/>
        <v>Mon</v>
      </c>
      <c r="S377">
        <f t="shared" si="17"/>
        <v>4</v>
      </c>
      <c r="T377" t="str" cm="1">
        <f t="array" ref="T377">_xlfn.IFS(S377&lt;=12,"Morning",S377&lt;=16,"Afternoon",S377&lt;=21,"Evening",S377&lt;=24,"Night")</f>
        <v>Morning</v>
      </c>
    </row>
    <row r="378" spans="1:20" x14ac:dyDescent="0.25">
      <c r="A378" s="23" t="s">
        <v>412</v>
      </c>
      <c r="B378" s="19">
        <v>35.380000000000003</v>
      </c>
      <c r="C378" s="20">
        <v>9</v>
      </c>
      <c r="D378" s="19">
        <v>15.920999999999999</v>
      </c>
      <c r="E378" s="19">
        <v>334.34100000000001</v>
      </c>
      <c r="F378" s="21">
        <v>43470</v>
      </c>
      <c r="G378" s="22">
        <v>16.213888888888899</v>
      </c>
      <c r="H378" s="23" t="s">
        <v>33</v>
      </c>
      <c r="I378" s="19">
        <v>318.42</v>
      </c>
      <c r="J378" s="24">
        <v>4.7619047620000003</v>
      </c>
      <c r="K378" s="25">
        <v>9.6</v>
      </c>
      <c r="L378" s="23" t="str">
        <f>VLOOKUP(A378,'Customer-details'!$A$1:$C$1001,2,FALSE)</f>
        <v>Member</v>
      </c>
      <c r="M378" s="23" t="str">
        <f>VLOOKUP(A378,'Customer-details'!$A$1:$C$1001,3,FALSE)</f>
        <v>Female</v>
      </c>
      <c r="N378" s="23" t="str">
        <f>VLOOKUP(A378,'Product-details'!$A$1:$B$1001,2,FALSE)</f>
        <v>Home and lifestyle</v>
      </c>
      <c r="O378" s="23" t="str">
        <f>VLOOKUP(A378,'City-details'!$A$1:$C$1001,3,FALSE)</f>
        <v>Mandalay</v>
      </c>
      <c r="P378" s="23" t="str">
        <f>VLOOKUP(A378,'City-details'!$A$1:$C$1001,2,FALSE)</f>
        <v>B</v>
      </c>
      <c r="Q378" s="23" t="str">
        <f t="shared" si="15"/>
        <v>Jan</v>
      </c>
      <c r="R378" s="26" t="str">
        <f t="shared" si="16"/>
        <v>Sat</v>
      </c>
      <c r="S378">
        <f t="shared" si="17"/>
        <v>5</v>
      </c>
      <c r="T378" t="str" cm="1">
        <f t="array" ref="T378">_xlfn.IFS(S378&lt;=12,"Morning",S378&lt;=16,"Afternoon",S378&lt;=21,"Evening",S378&lt;=24,"Night")</f>
        <v>Morning</v>
      </c>
    </row>
    <row r="379" spans="1:20" x14ac:dyDescent="0.25">
      <c r="A379" s="31" t="s">
        <v>413</v>
      </c>
      <c r="B379" s="27">
        <v>95.49</v>
      </c>
      <c r="C379" s="28">
        <v>7</v>
      </c>
      <c r="D379" s="27">
        <v>33.421500000000002</v>
      </c>
      <c r="E379" s="27">
        <v>701.85149999999999</v>
      </c>
      <c r="F379" s="29">
        <v>43518</v>
      </c>
      <c r="G379" s="30">
        <v>16.255555555555599</v>
      </c>
      <c r="H379" s="31" t="s">
        <v>23</v>
      </c>
      <c r="I379" s="27">
        <v>668.43</v>
      </c>
      <c r="J379" s="32">
        <v>4.7619047620000003</v>
      </c>
      <c r="K379" s="33">
        <v>8.6999999999999993</v>
      </c>
      <c r="L379" s="31" t="str">
        <f>VLOOKUP(A379,'Customer-details'!$A$1:$C$1001,2,FALSE)</f>
        <v>Normal</v>
      </c>
      <c r="M379" s="31" t="str">
        <f>VLOOKUP(A379,'Customer-details'!$A$1:$C$1001,3,FALSE)</f>
        <v>Male</v>
      </c>
      <c r="N379" s="31" t="str">
        <f>VLOOKUP(A379,'Product-details'!$A$1:$B$1001,2,FALSE)</f>
        <v>Sports and travel</v>
      </c>
      <c r="O379" s="31" t="str">
        <f>VLOOKUP(A379,'City-details'!$A$1:$C$1001,3,FALSE)</f>
        <v>Naypyitaw</v>
      </c>
      <c r="P379" s="31" t="str">
        <f>VLOOKUP(A379,'City-details'!$A$1:$C$1001,2,FALSE)</f>
        <v>C</v>
      </c>
      <c r="Q379" s="31" t="str">
        <f t="shared" si="15"/>
        <v>Feb</v>
      </c>
      <c r="R379" s="34" t="str">
        <f t="shared" si="16"/>
        <v>Fri</v>
      </c>
      <c r="S379">
        <f t="shared" si="17"/>
        <v>6</v>
      </c>
      <c r="T379" t="str" cm="1">
        <f t="array" ref="T379">_xlfn.IFS(S379&lt;=12,"Morning",S379&lt;=16,"Afternoon",S379&lt;=21,"Evening",S379&lt;=24,"Night")</f>
        <v>Morning</v>
      </c>
    </row>
    <row r="380" spans="1:20" x14ac:dyDescent="0.25">
      <c r="A380" s="23" t="s">
        <v>414</v>
      </c>
      <c r="B380" s="19">
        <v>96.98</v>
      </c>
      <c r="C380" s="20">
        <v>4</v>
      </c>
      <c r="D380" s="19">
        <v>19.396000000000001</v>
      </c>
      <c r="E380" s="19">
        <v>407.31599999999997</v>
      </c>
      <c r="F380" s="21">
        <v>43502</v>
      </c>
      <c r="G380" s="22">
        <v>16.297222222222199</v>
      </c>
      <c r="H380" s="23" t="s">
        <v>23</v>
      </c>
      <c r="I380" s="19">
        <v>387.92</v>
      </c>
      <c r="J380" s="24">
        <v>4.7619047620000003</v>
      </c>
      <c r="K380" s="25">
        <v>9.4</v>
      </c>
      <c r="L380" s="23" t="str">
        <f>VLOOKUP(A380,'Customer-details'!$A$1:$C$1001,2,FALSE)</f>
        <v>Member</v>
      </c>
      <c r="M380" s="23" t="str">
        <f>VLOOKUP(A380,'Customer-details'!$A$1:$C$1001,3,FALSE)</f>
        <v>Male</v>
      </c>
      <c r="N380" s="23" t="str">
        <f>VLOOKUP(A380,'Product-details'!$A$1:$B$1001,2,FALSE)</f>
        <v>Fashion accessories</v>
      </c>
      <c r="O380" s="23" t="str">
        <f>VLOOKUP(A380,'City-details'!$A$1:$C$1001,3,FALSE)</f>
        <v>Naypyitaw</v>
      </c>
      <c r="P380" s="23" t="str">
        <f>VLOOKUP(A380,'City-details'!$A$1:$C$1001,2,FALSE)</f>
        <v>C</v>
      </c>
      <c r="Q380" s="23" t="str">
        <f t="shared" si="15"/>
        <v>Feb</v>
      </c>
      <c r="R380" s="26" t="str">
        <f t="shared" si="16"/>
        <v>Wed</v>
      </c>
      <c r="S380">
        <f t="shared" si="17"/>
        <v>7</v>
      </c>
      <c r="T380" t="str" cm="1">
        <f t="array" ref="T380">_xlfn.IFS(S380&lt;=12,"Morning",S380&lt;=16,"Afternoon",S380&lt;=21,"Evening",S380&lt;=24,"Night")</f>
        <v>Morning</v>
      </c>
    </row>
    <row r="381" spans="1:20" x14ac:dyDescent="0.25">
      <c r="A381" s="31" t="s">
        <v>415</v>
      </c>
      <c r="B381" s="27">
        <v>23.65</v>
      </c>
      <c r="C381" s="28">
        <v>4</v>
      </c>
      <c r="D381" s="27">
        <v>4.7300000000000004</v>
      </c>
      <c r="E381" s="27">
        <v>99.33</v>
      </c>
      <c r="F381" s="29">
        <v>43495</v>
      </c>
      <c r="G381" s="30">
        <v>16.338888888888899</v>
      </c>
      <c r="H381" s="31" t="s">
        <v>33</v>
      </c>
      <c r="I381" s="27">
        <v>94.6</v>
      </c>
      <c r="J381" s="32">
        <v>4.7619047620000003</v>
      </c>
      <c r="K381" s="33">
        <v>4</v>
      </c>
      <c r="L381" s="31" t="str">
        <f>VLOOKUP(A381,'Customer-details'!$A$1:$C$1001,2,FALSE)</f>
        <v>Normal</v>
      </c>
      <c r="M381" s="31" t="str">
        <f>VLOOKUP(A381,'Customer-details'!$A$1:$C$1001,3,FALSE)</f>
        <v>Female</v>
      </c>
      <c r="N381" s="31" t="str">
        <f>VLOOKUP(A381,'Product-details'!$A$1:$B$1001,2,FALSE)</f>
        <v>Electronic accessories</v>
      </c>
      <c r="O381" s="31" t="str">
        <f>VLOOKUP(A381,'City-details'!$A$1:$C$1001,3,FALSE)</f>
        <v>Mandalay</v>
      </c>
      <c r="P381" s="31" t="str">
        <f>VLOOKUP(A381,'City-details'!$A$1:$C$1001,2,FALSE)</f>
        <v>B</v>
      </c>
      <c r="Q381" s="31" t="str">
        <f t="shared" si="15"/>
        <v>Jan</v>
      </c>
      <c r="R381" s="34" t="str">
        <f t="shared" si="16"/>
        <v>Wed</v>
      </c>
      <c r="S381">
        <f t="shared" si="17"/>
        <v>8</v>
      </c>
      <c r="T381" t="str" cm="1">
        <f t="array" ref="T381">_xlfn.IFS(S381&lt;=12,"Morning",S381&lt;=16,"Afternoon",S381&lt;=21,"Evening",S381&lt;=24,"Night")</f>
        <v>Morning</v>
      </c>
    </row>
    <row r="382" spans="1:20" x14ac:dyDescent="0.25">
      <c r="A382" s="23" t="s">
        <v>416</v>
      </c>
      <c r="B382" s="19">
        <v>82.33</v>
      </c>
      <c r="C382" s="20">
        <v>4</v>
      </c>
      <c r="D382" s="19">
        <v>16.466000000000001</v>
      </c>
      <c r="E382" s="19">
        <v>345.786</v>
      </c>
      <c r="F382" s="21">
        <v>43476</v>
      </c>
      <c r="G382" s="22">
        <v>16.380555555555599</v>
      </c>
      <c r="H382" s="23" t="s">
        <v>33</v>
      </c>
      <c r="I382" s="19">
        <v>329.32</v>
      </c>
      <c r="J382" s="24">
        <v>4.7619047620000003</v>
      </c>
      <c r="K382" s="25">
        <v>7.5</v>
      </c>
      <c r="L382" s="23" t="str">
        <f>VLOOKUP(A382,'Customer-details'!$A$1:$C$1001,2,FALSE)</f>
        <v>Member</v>
      </c>
      <c r="M382" s="23" t="str">
        <f>VLOOKUP(A382,'Customer-details'!$A$1:$C$1001,3,FALSE)</f>
        <v>Male</v>
      </c>
      <c r="N382" s="23" t="str">
        <f>VLOOKUP(A382,'Product-details'!$A$1:$B$1001,2,FALSE)</f>
        <v>Sports and travel</v>
      </c>
      <c r="O382" s="23" t="str">
        <f>VLOOKUP(A382,'City-details'!$A$1:$C$1001,3,FALSE)</f>
        <v>Yangon</v>
      </c>
      <c r="P382" s="23" t="str">
        <f>VLOOKUP(A382,'City-details'!$A$1:$C$1001,2,FALSE)</f>
        <v>A</v>
      </c>
      <c r="Q382" s="23" t="str">
        <f t="shared" si="15"/>
        <v>Jan</v>
      </c>
      <c r="R382" s="26" t="str">
        <f t="shared" si="16"/>
        <v>Fri</v>
      </c>
      <c r="S382">
        <f t="shared" si="17"/>
        <v>9</v>
      </c>
      <c r="T382" t="str" cm="1">
        <f t="array" ref="T382">_xlfn.IFS(S382&lt;=12,"Morning",S382&lt;=16,"Afternoon",S382&lt;=21,"Evening",S382&lt;=24,"Night")</f>
        <v>Morning</v>
      </c>
    </row>
    <row r="383" spans="1:20" x14ac:dyDescent="0.25">
      <c r="A383" s="31" t="s">
        <v>417</v>
      </c>
      <c r="B383" s="27">
        <v>26.61</v>
      </c>
      <c r="C383" s="28">
        <v>2</v>
      </c>
      <c r="D383" s="27">
        <v>2.661</v>
      </c>
      <c r="E383" s="27">
        <v>55.881</v>
      </c>
      <c r="F383" s="29">
        <v>43543</v>
      </c>
      <c r="G383" s="30">
        <v>16.422222222222199</v>
      </c>
      <c r="H383" s="31" t="s">
        <v>29</v>
      </c>
      <c r="I383" s="27">
        <v>53.22</v>
      </c>
      <c r="J383" s="32">
        <v>4.7619047620000003</v>
      </c>
      <c r="K383" s="33">
        <v>4.2</v>
      </c>
      <c r="L383" s="31" t="str">
        <f>VLOOKUP(A383,'Customer-details'!$A$1:$C$1001,2,FALSE)</f>
        <v>Normal</v>
      </c>
      <c r="M383" s="31" t="str">
        <f>VLOOKUP(A383,'Customer-details'!$A$1:$C$1001,3,FALSE)</f>
        <v>Female</v>
      </c>
      <c r="N383" s="31" t="str">
        <f>VLOOKUP(A383,'Product-details'!$A$1:$B$1001,2,FALSE)</f>
        <v>Electronic accessories</v>
      </c>
      <c r="O383" s="31" t="str">
        <f>VLOOKUP(A383,'City-details'!$A$1:$C$1001,3,FALSE)</f>
        <v>Naypyitaw</v>
      </c>
      <c r="P383" s="31" t="str">
        <f>VLOOKUP(A383,'City-details'!$A$1:$C$1001,2,FALSE)</f>
        <v>C</v>
      </c>
      <c r="Q383" s="31" t="str">
        <f t="shared" si="15"/>
        <v>Mar</v>
      </c>
      <c r="R383" s="34" t="str">
        <f t="shared" si="16"/>
        <v>Tue</v>
      </c>
      <c r="S383">
        <f t="shared" si="17"/>
        <v>10</v>
      </c>
      <c r="T383" t="str" cm="1">
        <f t="array" ref="T383">_xlfn.IFS(S383&lt;=12,"Morning",S383&lt;=16,"Afternoon",S383&lt;=21,"Evening",S383&lt;=24,"Night")</f>
        <v>Morning</v>
      </c>
    </row>
    <row r="384" spans="1:20" x14ac:dyDescent="0.25">
      <c r="A384" s="23" t="s">
        <v>418</v>
      </c>
      <c r="B384" s="19">
        <v>99.69</v>
      </c>
      <c r="C384" s="20">
        <v>5</v>
      </c>
      <c r="D384" s="19">
        <v>24.922499999999999</v>
      </c>
      <c r="E384" s="19">
        <v>523.37249999999995</v>
      </c>
      <c r="F384" s="21">
        <v>43479</v>
      </c>
      <c r="G384" s="22">
        <v>16.463888888888899</v>
      </c>
      <c r="H384" s="23" t="s">
        <v>29</v>
      </c>
      <c r="I384" s="19">
        <v>498.45</v>
      </c>
      <c r="J384" s="24">
        <v>4.7619047620000003</v>
      </c>
      <c r="K384" s="25">
        <v>9.9</v>
      </c>
      <c r="L384" s="23" t="str">
        <f>VLOOKUP(A384,'Customer-details'!$A$1:$C$1001,2,FALSE)</f>
        <v>Normal</v>
      </c>
      <c r="M384" s="23" t="str">
        <f>VLOOKUP(A384,'Customer-details'!$A$1:$C$1001,3,FALSE)</f>
        <v>Female</v>
      </c>
      <c r="N384" s="23" t="str">
        <f>VLOOKUP(A384,'Product-details'!$A$1:$B$1001,2,FALSE)</f>
        <v>Food and beverages</v>
      </c>
      <c r="O384" s="23" t="str">
        <f>VLOOKUP(A384,'City-details'!$A$1:$C$1001,3,FALSE)</f>
        <v>Mandalay</v>
      </c>
      <c r="P384" s="23" t="str">
        <f>VLOOKUP(A384,'City-details'!$A$1:$C$1001,2,FALSE)</f>
        <v>B</v>
      </c>
      <c r="Q384" s="23" t="str">
        <f t="shared" si="15"/>
        <v>Jan</v>
      </c>
      <c r="R384" s="26" t="str">
        <f t="shared" si="16"/>
        <v>Mon</v>
      </c>
      <c r="S384">
        <f t="shared" si="17"/>
        <v>11</v>
      </c>
      <c r="T384" t="str" cm="1">
        <f t="array" ref="T384">_xlfn.IFS(S384&lt;=12,"Morning",S384&lt;=16,"Afternoon",S384&lt;=21,"Evening",S384&lt;=24,"Night")</f>
        <v>Morning</v>
      </c>
    </row>
    <row r="385" spans="1:20" x14ac:dyDescent="0.25">
      <c r="A385" s="31" t="s">
        <v>419</v>
      </c>
      <c r="B385" s="27">
        <v>74.89</v>
      </c>
      <c r="C385" s="28">
        <v>4</v>
      </c>
      <c r="D385" s="27">
        <v>14.978</v>
      </c>
      <c r="E385" s="27">
        <v>314.53800000000001</v>
      </c>
      <c r="F385" s="29">
        <v>43525</v>
      </c>
      <c r="G385" s="30">
        <v>16.505555555555599</v>
      </c>
      <c r="H385" s="31" t="s">
        <v>23</v>
      </c>
      <c r="I385" s="27">
        <v>299.56</v>
      </c>
      <c r="J385" s="32">
        <v>4.7619047620000003</v>
      </c>
      <c r="K385" s="33">
        <v>4.2</v>
      </c>
      <c r="L385" s="31" t="str">
        <f>VLOOKUP(A385,'Customer-details'!$A$1:$C$1001,2,FALSE)</f>
        <v>Member</v>
      </c>
      <c r="M385" s="31" t="str">
        <f>VLOOKUP(A385,'Customer-details'!$A$1:$C$1001,3,FALSE)</f>
        <v>Female</v>
      </c>
      <c r="N385" s="31" t="str">
        <f>VLOOKUP(A385,'Product-details'!$A$1:$B$1001,2,FALSE)</f>
        <v>Food and beverages</v>
      </c>
      <c r="O385" s="31" t="str">
        <f>VLOOKUP(A385,'City-details'!$A$1:$C$1001,3,FALSE)</f>
        <v>Naypyitaw</v>
      </c>
      <c r="P385" s="31" t="str">
        <f>VLOOKUP(A385,'City-details'!$A$1:$C$1001,2,FALSE)</f>
        <v>C</v>
      </c>
      <c r="Q385" s="31" t="str">
        <f t="shared" si="15"/>
        <v>Mar</v>
      </c>
      <c r="R385" s="34" t="str">
        <f t="shared" si="16"/>
        <v>Fri</v>
      </c>
      <c r="S385">
        <f t="shared" si="17"/>
        <v>12</v>
      </c>
      <c r="T385" t="str" cm="1">
        <f t="array" ref="T385">_xlfn.IFS(S385&lt;=12,"Morning",S385&lt;=16,"Afternoon",S385&lt;=21,"Evening",S385&lt;=24,"Night")</f>
        <v>Morning</v>
      </c>
    </row>
    <row r="386" spans="1:20" x14ac:dyDescent="0.25">
      <c r="A386" s="23" t="s">
        <v>420</v>
      </c>
      <c r="B386" s="19">
        <v>40.94</v>
      </c>
      <c r="C386" s="20">
        <v>5</v>
      </c>
      <c r="D386" s="19">
        <v>10.234999999999999</v>
      </c>
      <c r="E386" s="19">
        <v>214.935</v>
      </c>
      <c r="F386" s="21">
        <v>43471</v>
      </c>
      <c r="G386" s="22">
        <v>16.547222222222199</v>
      </c>
      <c r="H386" s="23" t="s">
        <v>23</v>
      </c>
      <c r="I386" s="19">
        <v>204.7</v>
      </c>
      <c r="J386" s="24">
        <v>4.7619047620000003</v>
      </c>
      <c r="K386" s="25">
        <v>9.9</v>
      </c>
      <c r="L386" s="23" t="str">
        <f>VLOOKUP(A386,'Customer-details'!$A$1:$C$1001,2,FALSE)</f>
        <v>Normal</v>
      </c>
      <c r="M386" s="23" t="str">
        <f>VLOOKUP(A386,'Customer-details'!$A$1:$C$1001,3,FALSE)</f>
        <v>Female</v>
      </c>
      <c r="N386" s="23" t="str">
        <f>VLOOKUP(A386,'Product-details'!$A$1:$B$1001,2,FALSE)</f>
        <v>Food and beverages</v>
      </c>
      <c r="O386" s="23" t="str">
        <f>VLOOKUP(A386,'City-details'!$A$1:$C$1001,3,FALSE)</f>
        <v>Yangon</v>
      </c>
      <c r="P386" s="23" t="str">
        <f>VLOOKUP(A386,'City-details'!$A$1:$C$1001,2,FALSE)</f>
        <v>A</v>
      </c>
      <c r="Q386" s="23" t="str">
        <f t="shared" si="15"/>
        <v>Jan</v>
      </c>
      <c r="R386" s="26" t="str">
        <f t="shared" si="16"/>
        <v>Sun</v>
      </c>
      <c r="S386">
        <f t="shared" si="17"/>
        <v>13</v>
      </c>
      <c r="T386" t="str" cm="1">
        <f t="array" ref="T386">_xlfn.IFS(S386&lt;=12,"Morning",S386&lt;=16,"Afternoon",S386&lt;=21,"Evening",S386&lt;=24,"Night")</f>
        <v>Afternoon</v>
      </c>
    </row>
    <row r="387" spans="1:20" x14ac:dyDescent="0.25">
      <c r="A387" s="31" t="s">
        <v>421</v>
      </c>
      <c r="B387" s="27">
        <v>75.819999999999993</v>
      </c>
      <c r="C387" s="28">
        <v>1</v>
      </c>
      <c r="D387" s="27">
        <v>3.7909999999999999</v>
      </c>
      <c r="E387" s="27">
        <v>79.611000000000004</v>
      </c>
      <c r="F387" s="29">
        <v>43496</v>
      </c>
      <c r="G387" s="30">
        <v>16.588888888888899</v>
      </c>
      <c r="H387" s="31" t="s">
        <v>29</v>
      </c>
      <c r="I387" s="27">
        <v>75.819999999999993</v>
      </c>
      <c r="J387" s="32">
        <v>4.7619047620000003</v>
      </c>
      <c r="K387" s="33">
        <v>5.8</v>
      </c>
      <c r="L387" s="31" t="str">
        <f>VLOOKUP(A387,'Customer-details'!$A$1:$C$1001,2,FALSE)</f>
        <v>Member</v>
      </c>
      <c r="M387" s="31" t="str">
        <f>VLOOKUP(A387,'Customer-details'!$A$1:$C$1001,3,FALSE)</f>
        <v>Male</v>
      </c>
      <c r="N387" s="31" t="str">
        <f>VLOOKUP(A387,'Product-details'!$A$1:$B$1001,2,FALSE)</f>
        <v>Sports and travel</v>
      </c>
      <c r="O387" s="31" t="str">
        <f>VLOOKUP(A387,'City-details'!$A$1:$C$1001,3,FALSE)</f>
        <v>Mandalay</v>
      </c>
      <c r="P387" s="31" t="str">
        <f>VLOOKUP(A387,'City-details'!$A$1:$C$1001,2,FALSE)</f>
        <v>B</v>
      </c>
      <c r="Q387" s="31" t="str">
        <f t="shared" ref="Q387:Q450" si="18">TEXT(F387,"mmm")</f>
        <v>Jan</v>
      </c>
      <c r="R387" s="34" t="str">
        <f t="shared" ref="R387:R450" si="19">TEXT(F387,"ddd")</f>
        <v>Thu</v>
      </c>
      <c r="S387">
        <f t="shared" ref="S387:S450" si="20">HOUR(G387)</f>
        <v>14</v>
      </c>
      <c r="T387" t="str" cm="1">
        <f t="array" ref="T387">_xlfn.IFS(S387&lt;=12,"Morning",S387&lt;=16,"Afternoon",S387&lt;=21,"Evening",S387&lt;=24,"Night")</f>
        <v>Afternoon</v>
      </c>
    </row>
    <row r="388" spans="1:20" x14ac:dyDescent="0.25">
      <c r="A388" s="23" t="s">
        <v>422</v>
      </c>
      <c r="B388" s="19">
        <v>46.77</v>
      </c>
      <c r="C388" s="20">
        <v>6</v>
      </c>
      <c r="D388" s="19">
        <v>14.031000000000001</v>
      </c>
      <c r="E388" s="19">
        <v>294.65100000000001</v>
      </c>
      <c r="F388" s="21">
        <v>43535</v>
      </c>
      <c r="G388" s="22">
        <v>16.630555555555599</v>
      </c>
      <c r="H388" s="23" t="s">
        <v>29</v>
      </c>
      <c r="I388" s="19">
        <v>280.62</v>
      </c>
      <c r="J388" s="24">
        <v>4.7619047620000003</v>
      </c>
      <c r="K388" s="25">
        <v>6</v>
      </c>
      <c r="L388" s="23" t="str">
        <f>VLOOKUP(A388,'Customer-details'!$A$1:$C$1001,2,FALSE)</f>
        <v>Normal</v>
      </c>
      <c r="M388" s="23" t="str">
        <f>VLOOKUP(A388,'Customer-details'!$A$1:$C$1001,3,FALSE)</f>
        <v>Male</v>
      </c>
      <c r="N388" s="23" t="str">
        <f>VLOOKUP(A388,'Product-details'!$A$1:$B$1001,2,FALSE)</f>
        <v>Food and beverages</v>
      </c>
      <c r="O388" s="23" t="str">
        <f>VLOOKUP(A388,'City-details'!$A$1:$C$1001,3,FALSE)</f>
        <v>Naypyitaw</v>
      </c>
      <c r="P388" s="23" t="str">
        <f>VLOOKUP(A388,'City-details'!$A$1:$C$1001,2,FALSE)</f>
        <v>C</v>
      </c>
      <c r="Q388" s="23" t="str">
        <f t="shared" si="18"/>
        <v>Mar</v>
      </c>
      <c r="R388" s="26" t="str">
        <f t="shared" si="19"/>
        <v>Mon</v>
      </c>
      <c r="S388">
        <f t="shared" si="20"/>
        <v>15</v>
      </c>
      <c r="T388" t="str" cm="1">
        <f t="array" ref="T388">_xlfn.IFS(S388&lt;=12,"Morning",S388&lt;=16,"Afternoon",S388&lt;=21,"Evening",S388&lt;=24,"Night")</f>
        <v>Afternoon</v>
      </c>
    </row>
    <row r="389" spans="1:20" x14ac:dyDescent="0.25">
      <c r="A389" s="31" t="s">
        <v>423</v>
      </c>
      <c r="B389" s="27">
        <v>32.32</v>
      </c>
      <c r="C389" s="28">
        <v>10</v>
      </c>
      <c r="D389" s="27">
        <v>16.16</v>
      </c>
      <c r="E389" s="27">
        <v>339.36</v>
      </c>
      <c r="F389" s="29">
        <v>43516</v>
      </c>
      <c r="G389" s="30">
        <v>16.672222222222199</v>
      </c>
      <c r="H389" s="31" t="s">
        <v>33</v>
      </c>
      <c r="I389" s="27">
        <v>323.2</v>
      </c>
      <c r="J389" s="32">
        <v>4.7619047620000003</v>
      </c>
      <c r="K389" s="33">
        <v>10</v>
      </c>
      <c r="L389" s="31" t="str">
        <f>VLOOKUP(A389,'Customer-details'!$A$1:$C$1001,2,FALSE)</f>
        <v>Normal</v>
      </c>
      <c r="M389" s="31" t="str">
        <f>VLOOKUP(A389,'Customer-details'!$A$1:$C$1001,3,FALSE)</f>
        <v>Female</v>
      </c>
      <c r="N389" s="31" t="str">
        <f>VLOOKUP(A389,'Product-details'!$A$1:$B$1001,2,FALSE)</f>
        <v>Health and beauty</v>
      </c>
      <c r="O389" s="31" t="str">
        <f>VLOOKUP(A389,'City-details'!$A$1:$C$1001,3,FALSE)</f>
        <v>Yangon</v>
      </c>
      <c r="P389" s="31" t="str">
        <f>VLOOKUP(A389,'City-details'!$A$1:$C$1001,2,FALSE)</f>
        <v>A</v>
      </c>
      <c r="Q389" s="31" t="str">
        <f t="shared" si="18"/>
        <v>Feb</v>
      </c>
      <c r="R389" s="34" t="str">
        <f t="shared" si="19"/>
        <v>Wed</v>
      </c>
      <c r="S389">
        <f t="shared" si="20"/>
        <v>16</v>
      </c>
      <c r="T389" t="str" cm="1">
        <f t="array" ref="T389">_xlfn.IFS(S389&lt;=12,"Morning",S389&lt;=16,"Afternoon",S389&lt;=21,"Evening",S389&lt;=24,"Night")</f>
        <v>Afternoon</v>
      </c>
    </row>
    <row r="390" spans="1:20" x14ac:dyDescent="0.25">
      <c r="A390" s="23" t="s">
        <v>424</v>
      </c>
      <c r="B390" s="19">
        <v>54.07</v>
      </c>
      <c r="C390" s="20">
        <v>9</v>
      </c>
      <c r="D390" s="19">
        <v>24.331499999999998</v>
      </c>
      <c r="E390" s="19">
        <v>510.9615</v>
      </c>
      <c r="F390" s="21">
        <v>43492</v>
      </c>
      <c r="G390" s="22">
        <v>16.713888888888899</v>
      </c>
      <c r="H390" s="23" t="s">
        <v>23</v>
      </c>
      <c r="I390" s="19">
        <v>486.63</v>
      </c>
      <c r="J390" s="24">
        <v>4.7619047620000003</v>
      </c>
      <c r="K390" s="25">
        <v>9.5</v>
      </c>
      <c r="L390" s="23" t="str">
        <f>VLOOKUP(A390,'Customer-details'!$A$1:$C$1001,2,FALSE)</f>
        <v>Member</v>
      </c>
      <c r="M390" s="23" t="str">
        <f>VLOOKUP(A390,'Customer-details'!$A$1:$C$1001,3,FALSE)</f>
        <v>Female</v>
      </c>
      <c r="N390" s="23" t="str">
        <f>VLOOKUP(A390,'Product-details'!$A$1:$B$1001,2,FALSE)</f>
        <v>Fashion accessories</v>
      </c>
      <c r="O390" s="23" t="str">
        <f>VLOOKUP(A390,'City-details'!$A$1:$C$1001,3,FALSE)</f>
        <v>Naypyitaw</v>
      </c>
      <c r="P390" s="23" t="str">
        <f>VLOOKUP(A390,'City-details'!$A$1:$C$1001,2,FALSE)</f>
        <v>C</v>
      </c>
      <c r="Q390" s="23" t="str">
        <f t="shared" si="18"/>
        <v>Jan</v>
      </c>
      <c r="R390" s="26" t="str">
        <f t="shared" si="19"/>
        <v>Sun</v>
      </c>
      <c r="S390">
        <f t="shared" si="20"/>
        <v>17</v>
      </c>
      <c r="T390" t="str" cm="1">
        <f t="array" ref="T390">_xlfn.IFS(S390&lt;=12,"Morning",S390&lt;=16,"Afternoon",S390&lt;=21,"Evening",S390&lt;=24,"Night")</f>
        <v>Evening</v>
      </c>
    </row>
    <row r="391" spans="1:20" x14ac:dyDescent="0.25">
      <c r="A391" s="31" t="s">
        <v>425</v>
      </c>
      <c r="B391" s="27">
        <v>18.22</v>
      </c>
      <c r="C391" s="28">
        <v>7</v>
      </c>
      <c r="D391" s="27">
        <v>6.3769999999999998</v>
      </c>
      <c r="E391" s="27">
        <v>133.917</v>
      </c>
      <c r="F391" s="29">
        <v>43534</v>
      </c>
      <c r="G391" s="30">
        <v>16.755555555555599</v>
      </c>
      <c r="H391" s="31" t="s">
        <v>33</v>
      </c>
      <c r="I391" s="27">
        <v>127.54</v>
      </c>
      <c r="J391" s="32">
        <v>4.7619047620000003</v>
      </c>
      <c r="K391" s="33">
        <v>6.6</v>
      </c>
      <c r="L391" s="31" t="str">
        <f>VLOOKUP(A391,'Customer-details'!$A$1:$C$1001,2,FALSE)</f>
        <v>Normal</v>
      </c>
      <c r="M391" s="31" t="str">
        <f>VLOOKUP(A391,'Customer-details'!$A$1:$C$1001,3,FALSE)</f>
        <v>Male</v>
      </c>
      <c r="N391" s="31" t="str">
        <f>VLOOKUP(A391,'Product-details'!$A$1:$B$1001,2,FALSE)</f>
        <v>Food and beverages</v>
      </c>
      <c r="O391" s="31" t="str">
        <f>VLOOKUP(A391,'City-details'!$A$1:$C$1001,3,FALSE)</f>
        <v>Mandalay</v>
      </c>
      <c r="P391" s="31" t="str">
        <f>VLOOKUP(A391,'City-details'!$A$1:$C$1001,2,FALSE)</f>
        <v>B</v>
      </c>
      <c r="Q391" s="31" t="str">
        <f t="shared" si="18"/>
        <v>Mar</v>
      </c>
      <c r="R391" s="34" t="str">
        <f t="shared" si="19"/>
        <v>Sun</v>
      </c>
      <c r="S391">
        <f t="shared" si="20"/>
        <v>18</v>
      </c>
      <c r="T391" t="str" cm="1">
        <f t="array" ref="T391">_xlfn.IFS(S391&lt;=12,"Morning",S391&lt;=16,"Afternoon",S391&lt;=21,"Evening",S391&lt;=24,"Night")</f>
        <v>Evening</v>
      </c>
    </row>
    <row r="392" spans="1:20" x14ac:dyDescent="0.25">
      <c r="A392" s="23" t="s">
        <v>426</v>
      </c>
      <c r="B392" s="19">
        <v>80.48</v>
      </c>
      <c r="C392" s="20">
        <v>3</v>
      </c>
      <c r="D392" s="19">
        <v>12.071999999999999</v>
      </c>
      <c r="E392" s="19">
        <v>253.512</v>
      </c>
      <c r="F392" s="21">
        <v>43511</v>
      </c>
      <c r="G392" s="22">
        <v>16.797222222222199</v>
      </c>
      <c r="H392" s="23" t="s">
        <v>29</v>
      </c>
      <c r="I392" s="19">
        <v>241.44</v>
      </c>
      <c r="J392" s="24">
        <v>4.7619047620000003</v>
      </c>
      <c r="K392" s="25">
        <v>8.1</v>
      </c>
      <c r="L392" s="23" t="str">
        <f>VLOOKUP(A392,'Customer-details'!$A$1:$C$1001,2,FALSE)</f>
        <v>Member</v>
      </c>
      <c r="M392" s="23" t="str">
        <f>VLOOKUP(A392,'Customer-details'!$A$1:$C$1001,3,FALSE)</f>
        <v>Female</v>
      </c>
      <c r="N392" s="23" t="str">
        <f>VLOOKUP(A392,'Product-details'!$A$1:$B$1001,2,FALSE)</f>
        <v>Fashion accessories</v>
      </c>
      <c r="O392" s="23" t="str">
        <f>VLOOKUP(A392,'City-details'!$A$1:$C$1001,3,FALSE)</f>
        <v>Naypyitaw</v>
      </c>
      <c r="P392" s="23" t="str">
        <f>VLOOKUP(A392,'City-details'!$A$1:$C$1001,2,FALSE)</f>
        <v>C</v>
      </c>
      <c r="Q392" s="23" t="str">
        <f t="shared" si="18"/>
        <v>Feb</v>
      </c>
      <c r="R392" s="26" t="str">
        <f t="shared" si="19"/>
        <v>Fri</v>
      </c>
      <c r="S392">
        <f t="shared" si="20"/>
        <v>19</v>
      </c>
      <c r="T392" t="str" cm="1">
        <f t="array" ref="T392">_xlfn.IFS(S392&lt;=12,"Morning",S392&lt;=16,"Afternoon",S392&lt;=21,"Evening",S392&lt;=24,"Night")</f>
        <v>Evening</v>
      </c>
    </row>
    <row r="393" spans="1:20" x14ac:dyDescent="0.25">
      <c r="A393" s="31" t="s">
        <v>427</v>
      </c>
      <c r="B393" s="27">
        <v>37.950000000000003</v>
      </c>
      <c r="C393" s="28">
        <v>10</v>
      </c>
      <c r="D393" s="27">
        <v>18.975000000000001</v>
      </c>
      <c r="E393" s="27">
        <v>398.47500000000002</v>
      </c>
      <c r="F393" s="29">
        <v>43491</v>
      </c>
      <c r="G393" s="30">
        <v>16.838888888888899</v>
      </c>
      <c r="H393" s="31" t="s">
        <v>29</v>
      </c>
      <c r="I393" s="27">
        <v>379.5</v>
      </c>
      <c r="J393" s="32">
        <v>4.7619047620000003</v>
      </c>
      <c r="K393" s="33">
        <v>9.6999999999999993</v>
      </c>
      <c r="L393" s="31" t="str">
        <f>VLOOKUP(A393,'Customer-details'!$A$1:$C$1001,2,FALSE)</f>
        <v>Normal</v>
      </c>
      <c r="M393" s="31" t="str">
        <f>VLOOKUP(A393,'Customer-details'!$A$1:$C$1001,3,FALSE)</f>
        <v>Female</v>
      </c>
      <c r="N393" s="31" t="str">
        <f>VLOOKUP(A393,'Product-details'!$A$1:$B$1001,2,FALSE)</f>
        <v>Fashion accessories</v>
      </c>
      <c r="O393" s="31" t="str">
        <f>VLOOKUP(A393,'City-details'!$A$1:$C$1001,3,FALSE)</f>
        <v>Mandalay</v>
      </c>
      <c r="P393" s="31" t="str">
        <f>VLOOKUP(A393,'City-details'!$A$1:$C$1001,2,FALSE)</f>
        <v>B</v>
      </c>
      <c r="Q393" s="31" t="str">
        <f t="shared" si="18"/>
        <v>Jan</v>
      </c>
      <c r="R393" s="34" t="str">
        <f t="shared" si="19"/>
        <v>Sat</v>
      </c>
      <c r="S393">
        <f t="shared" si="20"/>
        <v>20</v>
      </c>
      <c r="T393" t="str" cm="1">
        <f t="array" ref="T393">_xlfn.IFS(S393&lt;=12,"Morning",S393&lt;=16,"Afternoon",S393&lt;=21,"Evening",S393&lt;=24,"Night")</f>
        <v>Evening</v>
      </c>
    </row>
    <row r="394" spans="1:20" x14ac:dyDescent="0.25">
      <c r="A394" s="23" t="s">
        <v>428</v>
      </c>
      <c r="B394" s="19">
        <v>76.819999999999993</v>
      </c>
      <c r="C394" s="20">
        <v>1</v>
      </c>
      <c r="D394" s="19">
        <v>3.8410000000000002</v>
      </c>
      <c r="E394" s="19">
        <v>80.661000000000001</v>
      </c>
      <c r="F394" s="21">
        <v>43509</v>
      </c>
      <c r="G394" s="22">
        <v>16.880555555555599</v>
      </c>
      <c r="H394" s="23" t="s">
        <v>23</v>
      </c>
      <c r="I394" s="19">
        <v>76.819999999999993</v>
      </c>
      <c r="J394" s="24">
        <v>4.7619047620000003</v>
      </c>
      <c r="K394" s="25">
        <v>7.2</v>
      </c>
      <c r="L394" s="23" t="str">
        <f>VLOOKUP(A394,'Customer-details'!$A$1:$C$1001,2,FALSE)</f>
        <v>Member</v>
      </c>
      <c r="M394" s="23" t="str">
        <f>VLOOKUP(A394,'Customer-details'!$A$1:$C$1001,3,FALSE)</f>
        <v>Male</v>
      </c>
      <c r="N394" s="23" t="str">
        <f>VLOOKUP(A394,'Product-details'!$A$1:$B$1001,2,FALSE)</f>
        <v>Electronic accessories</v>
      </c>
      <c r="O394" s="23" t="str">
        <f>VLOOKUP(A394,'City-details'!$A$1:$C$1001,3,FALSE)</f>
        <v>Yangon</v>
      </c>
      <c r="P394" s="23" t="str">
        <f>VLOOKUP(A394,'City-details'!$A$1:$C$1001,2,FALSE)</f>
        <v>A</v>
      </c>
      <c r="Q394" s="23" t="str">
        <f t="shared" si="18"/>
        <v>Feb</v>
      </c>
      <c r="R394" s="26" t="str">
        <f t="shared" si="19"/>
        <v>Wed</v>
      </c>
      <c r="S394">
        <f t="shared" si="20"/>
        <v>21</v>
      </c>
      <c r="T394" t="str" cm="1">
        <f t="array" ref="T394">_xlfn.IFS(S394&lt;=12,"Morning",S394&lt;=16,"Afternoon",S394&lt;=21,"Evening",S394&lt;=24,"Night")</f>
        <v>Evening</v>
      </c>
    </row>
    <row r="395" spans="1:20" x14ac:dyDescent="0.25">
      <c r="A395" s="31" t="s">
        <v>429</v>
      </c>
      <c r="B395" s="27">
        <v>52.26</v>
      </c>
      <c r="C395" s="28">
        <v>10</v>
      </c>
      <c r="D395" s="27">
        <v>26.13</v>
      </c>
      <c r="E395" s="27">
        <v>548.73</v>
      </c>
      <c r="F395" s="29">
        <v>43533</v>
      </c>
      <c r="G395" s="30">
        <v>16.922222222222199</v>
      </c>
      <c r="H395" s="31" t="s">
        <v>33</v>
      </c>
      <c r="I395" s="27">
        <v>522.6</v>
      </c>
      <c r="J395" s="32">
        <v>4.7619047620000003</v>
      </c>
      <c r="K395" s="33">
        <v>6.2</v>
      </c>
      <c r="L395" s="31" t="str">
        <f>VLOOKUP(A395,'Customer-details'!$A$1:$C$1001,2,FALSE)</f>
        <v>Member</v>
      </c>
      <c r="M395" s="31" t="str">
        <f>VLOOKUP(A395,'Customer-details'!$A$1:$C$1001,3,FALSE)</f>
        <v>Female</v>
      </c>
      <c r="N395" s="31" t="str">
        <f>VLOOKUP(A395,'Product-details'!$A$1:$B$1001,2,FALSE)</f>
        <v>Sports and travel</v>
      </c>
      <c r="O395" s="31" t="str">
        <f>VLOOKUP(A395,'City-details'!$A$1:$C$1001,3,FALSE)</f>
        <v>Yangon</v>
      </c>
      <c r="P395" s="31" t="str">
        <f>VLOOKUP(A395,'City-details'!$A$1:$C$1001,2,FALSE)</f>
        <v>A</v>
      </c>
      <c r="Q395" s="31" t="str">
        <f t="shared" si="18"/>
        <v>Mar</v>
      </c>
      <c r="R395" s="34" t="str">
        <f t="shared" si="19"/>
        <v>Sat</v>
      </c>
      <c r="S395">
        <f t="shared" si="20"/>
        <v>22</v>
      </c>
      <c r="T395" t="str" cm="1">
        <f t="array" ref="T395">_xlfn.IFS(S395&lt;=12,"Morning",S395&lt;=16,"Afternoon",S395&lt;=21,"Evening",S395&lt;=24,"Night")</f>
        <v>Night</v>
      </c>
    </row>
    <row r="396" spans="1:20" x14ac:dyDescent="0.25">
      <c r="A396" s="23" t="s">
        <v>430</v>
      </c>
      <c r="B396" s="19">
        <v>79.739999999999995</v>
      </c>
      <c r="C396" s="20">
        <v>1</v>
      </c>
      <c r="D396" s="19">
        <v>3.9870000000000001</v>
      </c>
      <c r="E396" s="19">
        <v>83.727000000000004</v>
      </c>
      <c r="F396" s="21">
        <v>43530</v>
      </c>
      <c r="G396" s="22">
        <v>16.963888888888899</v>
      </c>
      <c r="H396" s="23" t="s">
        <v>23</v>
      </c>
      <c r="I396" s="19">
        <v>79.739999999999995</v>
      </c>
      <c r="J396" s="24">
        <v>4.7619047620000003</v>
      </c>
      <c r="K396" s="25">
        <v>7.3</v>
      </c>
      <c r="L396" s="23" t="str">
        <f>VLOOKUP(A396,'Customer-details'!$A$1:$C$1001,2,FALSE)</f>
        <v>Normal</v>
      </c>
      <c r="M396" s="23" t="str">
        <f>VLOOKUP(A396,'Customer-details'!$A$1:$C$1001,3,FALSE)</f>
        <v>Female</v>
      </c>
      <c r="N396" s="23" t="str">
        <f>VLOOKUP(A396,'Product-details'!$A$1:$B$1001,2,FALSE)</f>
        <v>Health and beauty</v>
      </c>
      <c r="O396" s="23" t="str">
        <f>VLOOKUP(A396,'City-details'!$A$1:$C$1001,3,FALSE)</f>
        <v>Yangon</v>
      </c>
      <c r="P396" s="23" t="str">
        <f>VLOOKUP(A396,'City-details'!$A$1:$C$1001,2,FALSE)</f>
        <v>A</v>
      </c>
      <c r="Q396" s="23" t="str">
        <f t="shared" si="18"/>
        <v>Mar</v>
      </c>
      <c r="R396" s="26" t="str">
        <f t="shared" si="19"/>
        <v>Wed</v>
      </c>
      <c r="S396">
        <f t="shared" si="20"/>
        <v>23</v>
      </c>
      <c r="T396" t="str" cm="1">
        <f t="array" ref="T396">_xlfn.IFS(S396&lt;=12,"Morning",S396&lt;=16,"Afternoon",S396&lt;=21,"Evening",S396&lt;=24,"Night")</f>
        <v>Night</v>
      </c>
    </row>
    <row r="397" spans="1:20" x14ac:dyDescent="0.25">
      <c r="A397" s="31" t="s">
        <v>431</v>
      </c>
      <c r="B397" s="27">
        <v>77.5</v>
      </c>
      <c r="C397" s="28">
        <v>5</v>
      </c>
      <c r="D397" s="27">
        <v>19.375</v>
      </c>
      <c r="E397" s="27">
        <v>406.875</v>
      </c>
      <c r="F397" s="29">
        <v>43489</v>
      </c>
      <c r="G397" s="30">
        <v>17.005555555555599</v>
      </c>
      <c r="H397" s="31" t="s">
        <v>23</v>
      </c>
      <c r="I397" s="27">
        <v>387.5</v>
      </c>
      <c r="J397" s="32">
        <v>4.7619047620000003</v>
      </c>
      <c r="K397" s="33">
        <v>4.3</v>
      </c>
      <c r="L397" s="31" t="str">
        <f>VLOOKUP(A397,'Customer-details'!$A$1:$C$1001,2,FALSE)</f>
        <v>Normal</v>
      </c>
      <c r="M397" s="31" t="str">
        <f>VLOOKUP(A397,'Customer-details'!$A$1:$C$1001,3,FALSE)</f>
        <v>Female</v>
      </c>
      <c r="N397" s="31" t="str">
        <f>VLOOKUP(A397,'Product-details'!$A$1:$B$1001,2,FALSE)</f>
        <v>Health and beauty</v>
      </c>
      <c r="O397" s="31" t="str">
        <f>VLOOKUP(A397,'City-details'!$A$1:$C$1001,3,FALSE)</f>
        <v>Yangon</v>
      </c>
      <c r="P397" s="31" t="str">
        <f>VLOOKUP(A397,'City-details'!$A$1:$C$1001,2,FALSE)</f>
        <v>A</v>
      </c>
      <c r="Q397" s="31" t="str">
        <f t="shared" si="18"/>
        <v>Jan</v>
      </c>
      <c r="R397" s="34" t="str">
        <f t="shared" si="19"/>
        <v>Thu</v>
      </c>
      <c r="S397">
        <f t="shared" si="20"/>
        <v>0</v>
      </c>
      <c r="T397" t="str" cm="1">
        <f t="array" ref="T397">_xlfn.IFS(S397&lt;=12,"Morning",S397&lt;=16,"Afternoon",S397&lt;=21,"Evening",S397&lt;=24,"Night")</f>
        <v>Morning</v>
      </c>
    </row>
    <row r="398" spans="1:20" x14ac:dyDescent="0.25">
      <c r="A398" s="23" t="s">
        <v>432</v>
      </c>
      <c r="B398" s="19">
        <v>54.27</v>
      </c>
      <c r="C398" s="20">
        <v>5</v>
      </c>
      <c r="D398" s="19">
        <v>13.567500000000001</v>
      </c>
      <c r="E398" s="19">
        <v>284.91750000000002</v>
      </c>
      <c r="F398" s="21">
        <v>43537</v>
      </c>
      <c r="G398" s="22">
        <v>17.047222222222199</v>
      </c>
      <c r="H398" s="23" t="s">
        <v>23</v>
      </c>
      <c r="I398" s="19">
        <v>271.35000000000002</v>
      </c>
      <c r="J398" s="24">
        <v>4.7619047620000003</v>
      </c>
      <c r="K398" s="25">
        <v>4.5999999999999996</v>
      </c>
      <c r="L398" s="23" t="str">
        <f>VLOOKUP(A398,'Customer-details'!$A$1:$C$1001,2,FALSE)</f>
        <v>Normal</v>
      </c>
      <c r="M398" s="23" t="str">
        <f>VLOOKUP(A398,'Customer-details'!$A$1:$C$1001,3,FALSE)</f>
        <v>Female</v>
      </c>
      <c r="N398" s="23" t="str">
        <f>VLOOKUP(A398,'Product-details'!$A$1:$B$1001,2,FALSE)</f>
        <v>Food and beverages</v>
      </c>
      <c r="O398" s="23" t="str">
        <f>VLOOKUP(A398,'City-details'!$A$1:$C$1001,3,FALSE)</f>
        <v>Yangon</v>
      </c>
      <c r="P398" s="23" t="str">
        <f>VLOOKUP(A398,'City-details'!$A$1:$C$1001,2,FALSE)</f>
        <v>A</v>
      </c>
      <c r="Q398" s="23" t="str">
        <f t="shared" si="18"/>
        <v>Mar</v>
      </c>
      <c r="R398" s="26" t="str">
        <f t="shared" si="19"/>
        <v>Wed</v>
      </c>
      <c r="S398">
        <f t="shared" si="20"/>
        <v>1</v>
      </c>
      <c r="T398" t="str" cm="1">
        <f t="array" ref="T398">_xlfn.IFS(S398&lt;=12,"Morning",S398&lt;=16,"Afternoon",S398&lt;=21,"Evening",S398&lt;=24,"Night")</f>
        <v>Morning</v>
      </c>
    </row>
    <row r="399" spans="1:20" x14ac:dyDescent="0.25">
      <c r="A399" s="31" t="s">
        <v>433</v>
      </c>
      <c r="B399" s="27">
        <v>13.59</v>
      </c>
      <c r="C399" s="28">
        <v>9</v>
      </c>
      <c r="D399" s="27">
        <v>6.1154999999999999</v>
      </c>
      <c r="E399" s="27">
        <v>128.4255</v>
      </c>
      <c r="F399" s="29">
        <v>43539</v>
      </c>
      <c r="G399" s="30">
        <v>17.088888888888899</v>
      </c>
      <c r="H399" s="31" t="s">
        <v>29</v>
      </c>
      <c r="I399" s="27">
        <v>122.31</v>
      </c>
      <c r="J399" s="32">
        <v>4.7619047620000003</v>
      </c>
      <c r="K399" s="33">
        <v>5.8</v>
      </c>
      <c r="L399" s="31" t="str">
        <f>VLOOKUP(A399,'Customer-details'!$A$1:$C$1001,2,FALSE)</f>
        <v>Normal</v>
      </c>
      <c r="M399" s="31" t="str">
        <f>VLOOKUP(A399,'Customer-details'!$A$1:$C$1001,3,FALSE)</f>
        <v>Male</v>
      </c>
      <c r="N399" s="31" t="str">
        <f>VLOOKUP(A399,'Product-details'!$A$1:$B$1001,2,FALSE)</f>
        <v>Home and lifestyle</v>
      </c>
      <c r="O399" s="31" t="str">
        <f>VLOOKUP(A399,'City-details'!$A$1:$C$1001,3,FALSE)</f>
        <v>Mandalay</v>
      </c>
      <c r="P399" s="31" t="str">
        <f>VLOOKUP(A399,'City-details'!$A$1:$C$1001,2,FALSE)</f>
        <v>B</v>
      </c>
      <c r="Q399" s="31" t="str">
        <f t="shared" si="18"/>
        <v>Mar</v>
      </c>
      <c r="R399" s="34" t="str">
        <f t="shared" si="19"/>
        <v>Fri</v>
      </c>
      <c r="S399">
        <f t="shared" si="20"/>
        <v>2</v>
      </c>
      <c r="T399" t="str" cm="1">
        <f t="array" ref="T399">_xlfn.IFS(S399&lt;=12,"Morning",S399&lt;=16,"Afternoon",S399&lt;=21,"Evening",S399&lt;=24,"Night")</f>
        <v>Morning</v>
      </c>
    </row>
    <row r="400" spans="1:20" x14ac:dyDescent="0.25">
      <c r="A400" s="23" t="s">
        <v>434</v>
      </c>
      <c r="B400" s="19">
        <v>41.06</v>
      </c>
      <c r="C400" s="20">
        <v>6</v>
      </c>
      <c r="D400" s="19">
        <v>12.318</v>
      </c>
      <c r="E400" s="19">
        <v>258.678</v>
      </c>
      <c r="F400" s="21">
        <v>43529</v>
      </c>
      <c r="G400" s="22">
        <v>17.130555555555599</v>
      </c>
      <c r="H400" s="23" t="s">
        <v>33</v>
      </c>
      <c r="I400" s="19">
        <v>246.36</v>
      </c>
      <c r="J400" s="24">
        <v>4.7619047620000003</v>
      </c>
      <c r="K400" s="25">
        <v>8.3000000000000007</v>
      </c>
      <c r="L400" s="23" t="str">
        <f>VLOOKUP(A400,'Customer-details'!$A$1:$C$1001,2,FALSE)</f>
        <v>Member</v>
      </c>
      <c r="M400" s="23" t="str">
        <f>VLOOKUP(A400,'Customer-details'!$A$1:$C$1001,3,FALSE)</f>
        <v>Female</v>
      </c>
      <c r="N400" s="23" t="str">
        <f>VLOOKUP(A400,'Product-details'!$A$1:$B$1001,2,FALSE)</f>
        <v>Health and beauty</v>
      </c>
      <c r="O400" s="23" t="str">
        <f>VLOOKUP(A400,'City-details'!$A$1:$C$1001,3,FALSE)</f>
        <v>Mandalay</v>
      </c>
      <c r="P400" s="23" t="str">
        <f>VLOOKUP(A400,'City-details'!$A$1:$C$1001,2,FALSE)</f>
        <v>B</v>
      </c>
      <c r="Q400" s="23" t="str">
        <f t="shared" si="18"/>
        <v>Mar</v>
      </c>
      <c r="R400" s="26" t="str">
        <f t="shared" si="19"/>
        <v>Tue</v>
      </c>
      <c r="S400">
        <f t="shared" si="20"/>
        <v>3</v>
      </c>
      <c r="T400" t="str" cm="1">
        <f t="array" ref="T400">_xlfn.IFS(S400&lt;=12,"Morning",S400&lt;=16,"Afternoon",S400&lt;=21,"Evening",S400&lt;=24,"Night")</f>
        <v>Morning</v>
      </c>
    </row>
    <row r="401" spans="1:20" x14ac:dyDescent="0.25">
      <c r="A401" s="31" t="s">
        <v>435</v>
      </c>
      <c r="B401" s="27">
        <v>19.239999999999998</v>
      </c>
      <c r="C401" s="28">
        <v>9</v>
      </c>
      <c r="D401" s="27">
        <v>8.6579999999999995</v>
      </c>
      <c r="E401" s="27">
        <v>181.81800000000001</v>
      </c>
      <c r="F401" s="29">
        <v>43528</v>
      </c>
      <c r="G401" s="30">
        <v>17.172222222222199</v>
      </c>
      <c r="H401" s="31" t="s">
        <v>29</v>
      </c>
      <c r="I401" s="27">
        <v>173.16</v>
      </c>
      <c r="J401" s="32">
        <v>4.7619047620000003</v>
      </c>
      <c r="K401" s="33">
        <v>8</v>
      </c>
      <c r="L401" s="31" t="str">
        <f>VLOOKUP(A401,'Customer-details'!$A$1:$C$1001,2,FALSE)</f>
        <v>Member</v>
      </c>
      <c r="M401" s="31" t="str">
        <f>VLOOKUP(A401,'Customer-details'!$A$1:$C$1001,3,FALSE)</f>
        <v>Male</v>
      </c>
      <c r="N401" s="31" t="str">
        <f>VLOOKUP(A401,'Product-details'!$A$1:$B$1001,2,FALSE)</f>
        <v>Electronic accessories</v>
      </c>
      <c r="O401" s="31" t="str">
        <f>VLOOKUP(A401,'City-details'!$A$1:$C$1001,3,FALSE)</f>
        <v>Mandalay</v>
      </c>
      <c r="P401" s="31" t="str">
        <f>VLOOKUP(A401,'City-details'!$A$1:$C$1001,2,FALSE)</f>
        <v>B</v>
      </c>
      <c r="Q401" s="31" t="str">
        <f t="shared" si="18"/>
        <v>Mar</v>
      </c>
      <c r="R401" s="34" t="str">
        <f t="shared" si="19"/>
        <v>Mon</v>
      </c>
      <c r="S401">
        <f t="shared" si="20"/>
        <v>4</v>
      </c>
      <c r="T401" t="str" cm="1">
        <f t="array" ref="T401">_xlfn.IFS(S401&lt;=12,"Morning",S401&lt;=16,"Afternoon",S401&lt;=21,"Evening",S401&lt;=24,"Night")</f>
        <v>Morning</v>
      </c>
    </row>
    <row r="402" spans="1:20" x14ac:dyDescent="0.25">
      <c r="A402" s="23" t="s">
        <v>436</v>
      </c>
      <c r="B402" s="19">
        <v>39.43</v>
      </c>
      <c r="C402" s="20">
        <v>6</v>
      </c>
      <c r="D402" s="19">
        <v>11.829000000000001</v>
      </c>
      <c r="E402" s="19">
        <v>248.40899999999999</v>
      </c>
      <c r="F402" s="21">
        <v>43549</v>
      </c>
      <c r="G402" s="22">
        <v>17.213888888888899</v>
      </c>
      <c r="H402" s="23" t="s">
        <v>33</v>
      </c>
      <c r="I402" s="19">
        <v>236.58</v>
      </c>
      <c r="J402" s="24">
        <v>4.7619047620000003</v>
      </c>
      <c r="K402" s="25">
        <v>9.4</v>
      </c>
      <c r="L402" s="23" t="str">
        <f>VLOOKUP(A402,'Customer-details'!$A$1:$C$1001,2,FALSE)</f>
        <v>Normal</v>
      </c>
      <c r="M402" s="23" t="str">
        <f>VLOOKUP(A402,'Customer-details'!$A$1:$C$1001,3,FALSE)</f>
        <v>Female</v>
      </c>
      <c r="N402" s="23" t="str">
        <f>VLOOKUP(A402,'Product-details'!$A$1:$B$1001,2,FALSE)</f>
        <v>Food and beverages</v>
      </c>
      <c r="O402" s="23" t="str">
        <f>VLOOKUP(A402,'City-details'!$A$1:$C$1001,3,FALSE)</f>
        <v>Naypyitaw</v>
      </c>
      <c r="P402" s="23" t="str">
        <f>VLOOKUP(A402,'City-details'!$A$1:$C$1001,2,FALSE)</f>
        <v>C</v>
      </c>
      <c r="Q402" s="23" t="str">
        <f t="shared" si="18"/>
        <v>Mar</v>
      </c>
      <c r="R402" s="26" t="str">
        <f t="shared" si="19"/>
        <v>Mon</v>
      </c>
      <c r="S402">
        <f t="shared" si="20"/>
        <v>5</v>
      </c>
      <c r="T402" t="str" cm="1">
        <f t="array" ref="T402">_xlfn.IFS(S402&lt;=12,"Morning",S402&lt;=16,"Afternoon",S402&lt;=21,"Evening",S402&lt;=24,"Night")</f>
        <v>Morning</v>
      </c>
    </row>
    <row r="403" spans="1:20" x14ac:dyDescent="0.25">
      <c r="A403" s="31" t="s">
        <v>437</v>
      </c>
      <c r="B403" s="27">
        <v>46.22</v>
      </c>
      <c r="C403" s="28">
        <v>4</v>
      </c>
      <c r="D403" s="27">
        <v>9.2439999999999998</v>
      </c>
      <c r="E403" s="27">
        <v>194.124</v>
      </c>
      <c r="F403" s="29">
        <v>43536</v>
      </c>
      <c r="G403" s="30">
        <v>17.255555555555599</v>
      </c>
      <c r="H403" s="31" t="s">
        <v>33</v>
      </c>
      <c r="I403" s="27">
        <v>184.88</v>
      </c>
      <c r="J403" s="32">
        <v>4.7619047620000003</v>
      </c>
      <c r="K403" s="33">
        <v>6.2</v>
      </c>
      <c r="L403" s="31" t="str">
        <f>VLOOKUP(A403,'Customer-details'!$A$1:$C$1001,2,FALSE)</f>
        <v>Normal</v>
      </c>
      <c r="M403" s="31" t="str">
        <f>VLOOKUP(A403,'Customer-details'!$A$1:$C$1001,3,FALSE)</f>
        <v>Male</v>
      </c>
      <c r="N403" s="31" t="str">
        <f>VLOOKUP(A403,'Product-details'!$A$1:$B$1001,2,FALSE)</f>
        <v>Home and lifestyle</v>
      </c>
      <c r="O403" s="31" t="str">
        <f>VLOOKUP(A403,'City-details'!$A$1:$C$1001,3,FALSE)</f>
        <v>Naypyitaw</v>
      </c>
      <c r="P403" s="31" t="str">
        <f>VLOOKUP(A403,'City-details'!$A$1:$C$1001,2,FALSE)</f>
        <v>C</v>
      </c>
      <c r="Q403" s="31" t="str">
        <f t="shared" si="18"/>
        <v>Mar</v>
      </c>
      <c r="R403" s="34" t="str">
        <f t="shared" si="19"/>
        <v>Tue</v>
      </c>
      <c r="S403">
        <f t="shared" si="20"/>
        <v>6</v>
      </c>
      <c r="T403" t="str" cm="1">
        <f t="array" ref="T403">_xlfn.IFS(S403&lt;=12,"Morning",S403&lt;=16,"Afternoon",S403&lt;=21,"Evening",S403&lt;=24,"Night")</f>
        <v>Morning</v>
      </c>
    </row>
    <row r="404" spans="1:20" x14ac:dyDescent="0.25">
      <c r="A404" s="23" t="s">
        <v>438</v>
      </c>
      <c r="B404" s="19">
        <v>13.98</v>
      </c>
      <c r="C404" s="20">
        <v>1</v>
      </c>
      <c r="D404" s="19">
        <v>0.69899999999999995</v>
      </c>
      <c r="E404" s="19">
        <v>14.679</v>
      </c>
      <c r="F404" s="21">
        <v>43500</v>
      </c>
      <c r="G404" s="22">
        <v>17.297222222222199</v>
      </c>
      <c r="H404" s="23" t="s">
        <v>23</v>
      </c>
      <c r="I404" s="19">
        <v>13.98</v>
      </c>
      <c r="J404" s="24">
        <v>4.7619047620000003</v>
      </c>
      <c r="K404" s="25">
        <v>9.8000000000000007</v>
      </c>
      <c r="L404" s="23" t="str">
        <f>VLOOKUP(A404,'Customer-details'!$A$1:$C$1001,2,FALSE)</f>
        <v>Member</v>
      </c>
      <c r="M404" s="23" t="str">
        <f>VLOOKUP(A404,'Customer-details'!$A$1:$C$1001,3,FALSE)</f>
        <v>Male</v>
      </c>
      <c r="N404" s="23" t="str">
        <f>VLOOKUP(A404,'Product-details'!$A$1:$B$1001,2,FALSE)</f>
        <v>Home and lifestyle</v>
      </c>
      <c r="O404" s="23" t="str">
        <f>VLOOKUP(A404,'City-details'!$A$1:$C$1001,3,FALSE)</f>
        <v>Naypyitaw</v>
      </c>
      <c r="P404" s="23" t="str">
        <f>VLOOKUP(A404,'City-details'!$A$1:$C$1001,2,FALSE)</f>
        <v>C</v>
      </c>
      <c r="Q404" s="23" t="str">
        <f t="shared" si="18"/>
        <v>Feb</v>
      </c>
      <c r="R404" s="26" t="str">
        <f t="shared" si="19"/>
        <v>Mon</v>
      </c>
      <c r="S404">
        <f t="shared" si="20"/>
        <v>7</v>
      </c>
      <c r="T404" t="str" cm="1">
        <f t="array" ref="T404">_xlfn.IFS(S404&lt;=12,"Morning",S404&lt;=16,"Afternoon",S404&lt;=21,"Evening",S404&lt;=24,"Night")</f>
        <v>Morning</v>
      </c>
    </row>
    <row r="405" spans="1:20" x14ac:dyDescent="0.25">
      <c r="A405" s="31" t="s">
        <v>439</v>
      </c>
      <c r="B405" s="27">
        <v>39.75</v>
      </c>
      <c r="C405" s="28">
        <v>5</v>
      </c>
      <c r="D405" s="27">
        <v>9.9375</v>
      </c>
      <c r="E405" s="27">
        <v>208.6875</v>
      </c>
      <c r="F405" s="29">
        <v>43518</v>
      </c>
      <c r="G405" s="30">
        <v>17.338888888888899</v>
      </c>
      <c r="H405" s="31" t="s">
        <v>23</v>
      </c>
      <c r="I405" s="27">
        <v>198.75</v>
      </c>
      <c r="J405" s="32">
        <v>4.7619047620000003</v>
      </c>
      <c r="K405" s="33">
        <v>9.6</v>
      </c>
      <c r="L405" s="31" t="str">
        <f>VLOOKUP(A405,'Customer-details'!$A$1:$C$1001,2,FALSE)</f>
        <v>Normal</v>
      </c>
      <c r="M405" s="31" t="str">
        <f>VLOOKUP(A405,'Customer-details'!$A$1:$C$1001,3,FALSE)</f>
        <v>Female</v>
      </c>
      <c r="N405" s="31" t="str">
        <f>VLOOKUP(A405,'Product-details'!$A$1:$B$1001,2,FALSE)</f>
        <v>Fashion accessories</v>
      </c>
      <c r="O405" s="31" t="str">
        <f>VLOOKUP(A405,'City-details'!$A$1:$C$1001,3,FALSE)</f>
        <v>Mandalay</v>
      </c>
      <c r="P405" s="31" t="str">
        <f>VLOOKUP(A405,'City-details'!$A$1:$C$1001,2,FALSE)</f>
        <v>B</v>
      </c>
      <c r="Q405" s="31" t="str">
        <f t="shared" si="18"/>
        <v>Feb</v>
      </c>
      <c r="R405" s="34" t="str">
        <f t="shared" si="19"/>
        <v>Fri</v>
      </c>
      <c r="S405">
        <f t="shared" si="20"/>
        <v>8</v>
      </c>
      <c r="T405" t="str" cm="1">
        <f t="array" ref="T405">_xlfn.IFS(S405&lt;=12,"Morning",S405&lt;=16,"Afternoon",S405&lt;=21,"Evening",S405&lt;=24,"Night")</f>
        <v>Morning</v>
      </c>
    </row>
    <row r="406" spans="1:20" x14ac:dyDescent="0.25">
      <c r="A406" s="23" t="s">
        <v>440</v>
      </c>
      <c r="B406" s="19">
        <v>97.79</v>
      </c>
      <c r="C406" s="20">
        <v>7</v>
      </c>
      <c r="D406" s="19">
        <v>34.226500000000001</v>
      </c>
      <c r="E406" s="19">
        <v>718.75649999999996</v>
      </c>
      <c r="F406" s="21">
        <v>43512</v>
      </c>
      <c r="G406" s="22">
        <v>17.380555555555599</v>
      </c>
      <c r="H406" s="23" t="s">
        <v>23</v>
      </c>
      <c r="I406" s="19">
        <v>684.53</v>
      </c>
      <c r="J406" s="24">
        <v>4.7619047620000003</v>
      </c>
      <c r="K406" s="25">
        <v>4.9000000000000004</v>
      </c>
      <c r="L406" s="23" t="str">
        <f>VLOOKUP(A406,'Customer-details'!$A$1:$C$1001,2,FALSE)</f>
        <v>Member</v>
      </c>
      <c r="M406" s="23" t="str">
        <f>VLOOKUP(A406,'Customer-details'!$A$1:$C$1001,3,FALSE)</f>
        <v>Female</v>
      </c>
      <c r="N406" s="23" t="str">
        <f>VLOOKUP(A406,'Product-details'!$A$1:$B$1001,2,FALSE)</f>
        <v>Fashion accessories</v>
      </c>
      <c r="O406" s="23" t="str">
        <f>VLOOKUP(A406,'City-details'!$A$1:$C$1001,3,FALSE)</f>
        <v>Naypyitaw</v>
      </c>
      <c r="P406" s="23" t="str">
        <f>VLOOKUP(A406,'City-details'!$A$1:$C$1001,2,FALSE)</f>
        <v>C</v>
      </c>
      <c r="Q406" s="23" t="str">
        <f t="shared" si="18"/>
        <v>Feb</v>
      </c>
      <c r="R406" s="26" t="str">
        <f t="shared" si="19"/>
        <v>Sat</v>
      </c>
      <c r="S406">
        <f t="shared" si="20"/>
        <v>9</v>
      </c>
      <c r="T406" t="str" cm="1">
        <f t="array" ref="T406">_xlfn.IFS(S406&lt;=12,"Morning",S406&lt;=16,"Afternoon",S406&lt;=21,"Evening",S406&lt;=24,"Night")</f>
        <v>Morning</v>
      </c>
    </row>
    <row r="407" spans="1:20" x14ac:dyDescent="0.25">
      <c r="A407" s="31" t="s">
        <v>441</v>
      </c>
      <c r="B407" s="27">
        <v>67.260000000000005</v>
      </c>
      <c r="C407" s="28">
        <v>4</v>
      </c>
      <c r="D407" s="27">
        <v>13.452</v>
      </c>
      <c r="E407" s="27">
        <v>282.49200000000002</v>
      </c>
      <c r="F407" s="29">
        <v>43484</v>
      </c>
      <c r="G407" s="30">
        <v>17.422222222222199</v>
      </c>
      <c r="H407" s="31" t="s">
        <v>33</v>
      </c>
      <c r="I407" s="27">
        <v>269.04000000000002</v>
      </c>
      <c r="J407" s="32">
        <v>4.7619047620000003</v>
      </c>
      <c r="K407" s="33">
        <v>8</v>
      </c>
      <c r="L407" s="31" t="str">
        <f>VLOOKUP(A407,'Customer-details'!$A$1:$C$1001,2,FALSE)</f>
        <v>Member</v>
      </c>
      <c r="M407" s="31" t="str">
        <f>VLOOKUP(A407,'Customer-details'!$A$1:$C$1001,3,FALSE)</f>
        <v>Male</v>
      </c>
      <c r="N407" s="31" t="str">
        <f>VLOOKUP(A407,'Product-details'!$A$1:$B$1001,2,FALSE)</f>
        <v>Sports and travel</v>
      </c>
      <c r="O407" s="31" t="str">
        <f>VLOOKUP(A407,'City-details'!$A$1:$C$1001,3,FALSE)</f>
        <v>Yangon</v>
      </c>
      <c r="P407" s="31" t="str">
        <f>VLOOKUP(A407,'City-details'!$A$1:$C$1001,2,FALSE)</f>
        <v>A</v>
      </c>
      <c r="Q407" s="31" t="str">
        <f t="shared" si="18"/>
        <v>Jan</v>
      </c>
      <c r="R407" s="34" t="str">
        <f t="shared" si="19"/>
        <v>Sat</v>
      </c>
      <c r="S407">
        <f t="shared" si="20"/>
        <v>10</v>
      </c>
      <c r="T407" t="str" cm="1">
        <f t="array" ref="T407">_xlfn.IFS(S407&lt;=12,"Morning",S407&lt;=16,"Afternoon",S407&lt;=21,"Evening",S407&lt;=24,"Night")</f>
        <v>Morning</v>
      </c>
    </row>
    <row r="408" spans="1:20" x14ac:dyDescent="0.25">
      <c r="A408" s="23" t="s">
        <v>442</v>
      </c>
      <c r="B408" s="19">
        <v>13.79</v>
      </c>
      <c r="C408" s="20">
        <v>5</v>
      </c>
      <c r="D408" s="19">
        <v>3.4474999999999998</v>
      </c>
      <c r="E408" s="19">
        <v>72.397499999999994</v>
      </c>
      <c r="F408" s="21">
        <v>43476</v>
      </c>
      <c r="G408" s="22">
        <v>17.463888888888899</v>
      </c>
      <c r="H408" s="23" t="s">
        <v>33</v>
      </c>
      <c r="I408" s="19">
        <v>68.95</v>
      </c>
      <c r="J408" s="24">
        <v>4.7619047620000003</v>
      </c>
      <c r="K408" s="25">
        <v>7.8</v>
      </c>
      <c r="L408" s="23" t="str">
        <f>VLOOKUP(A408,'Customer-details'!$A$1:$C$1001,2,FALSE)</f>
        <v>Normal</v>
      </c>
      <c r="M408" s="23" t="str">
        <f>VLOOKUP(A408,'Customer-details'!$A$1:$C$1001,3,FALSE)</f>
        <v>Male</v>
      </c>
      <c r="N408" s="23" t="str">
        <f>VLOOKUP(A408,'Product-details'!$A$1:$B$1001,2,FALSE)</f>
        <v>Food and beverages</v>
      </c>
      <c r="O408" s="23" t="str">
        <f>VLOOKUP(A408,'City-details'!$A$1:$C$1001,3,FALSE)</f>
        <v>Yangon</v>
      </c>
      <c r="P408" s="23" t="str">
        <f>VLOOKUP(A408,'City-details'!$A$1:$C$1001,2,FALSE)</f>
        <v>A</v>
      </c>
      <c r="Q408" s="23" t="str">
        <f t="shared" si="18"/>
        <v>Jan</v>
      </c>
      <c r="R408" s="26" t="str">
        <f t="shared" si="19"/>
        <v>Fri</v>
      </c>
      <c r="S408">
        <f t="shared" si="20"/>
        <v>11</v>
      </c>
      <c r="T408" t="str" cm="1">
        <f t="array" ref="T408">_xlfn.IFS(S408&lt;=12,"Morning",S408&lt;=16,"Afternoon",S408&lt;=21,"Evening",S408&lt;=24,"Night")</f>
        <v>Morning</v>
      </c>
    </row>
    <row r="409" spans="1:20" x14ac:dyDescent="0.25">
      <c r="A409" s="31" t="s">
        <v>443</v>
      </c>
      <c r="B409" s="27">
        <v>68.709999999999994</v>
      </c>
      <c r="C409" s="28">
        <v>4</v>
      </c>
      <c r="D409" s="27">
        <v>13.742000000000001</v>
      </c>
      <c r="E409" s="27">
        <v>288.58199999999999</v>
      </c>
      <c r="F409" s="29">
        <v>43469</v>
      </c>
      <c r="G409" s="30">
        <v>17.505555555555599</v>
      </c>
      <c r="H409" s="31" t="s">
        <v>29</v>
      </c>
      <c r="I409" s="27">
        <v>274.83999999999997</v>
      </c>
      <c r="J409" s="32">
        <v>4.7619047620000003</v>
      </c>
      <c r="K409" s="33">
        <v>4.0999999999999996</v>
      </c>
      <c r="L409" s="31" t="str">
        <f>VLOOKUP(A409,'Customer-details'!$A$1:$C$1001,2,FALSE)</f>
        <v>Member</v>
      </c>
      <c r="M409" s="31" t="str">
        <f>VLOOKUP(A409,'Customer-details'!$A$1:$C$1001,3,FALSE)</f>
        <v>Female</v>
      </c>
      <c r="N409" s="31" t="str">
        <f>VLOOKUP(A409,'Product-details'!$A$1:$B$1001,2,FALSE)</f>
        <v>Fashion accessories</v>
      </c>
      <c r="O409" s="31" t="str">
        <f>VLOOKUP(A409,'City-details'!$A$1:$C$1001,3,FALSE)</f>
        <v>Mandalay</v>
      </c>
      <c r="P409" s="31" t="str">
        <f>VLOOKUP(A409,'City-details'!$A$1:$C$1001,2,FALSE)</f>
        <v>B</v>
      </c>
      <c r="Q409" s="31" t="str">
        <f t="shared" si="18"/>
        <v>Jan</v>
      </c>
      <c r="R409" s="34" t="str">
        <f t="shared" si="19"/>
        <v>Fri</v>
      </c>
      <c r="S409">
        <f t="shared" si="20"/>
        <v>12</v>
      </c>
      <c r="T409" t="str" cm="1">
        <f t="array" ref="T409">_xlfn.IFS(S409&lt;=12,"Morning",S409&lt;=16,"Afternoon",S409&lt;=21,"Evening",S409&lt;=24,"Night")</f>
        <v>Morning</v>
      </c>
    </row>
    <row r="410" spans="1:20" x14ac:dyDescent="0.25">
      <c r="A410" s="23" t="s">
        <v>444</v>
      </c>
      <c r="B410" s="19">
        <v>56.53</v>
      </c>
      <c r="C410" s="20">
        <v>4</v>
      </c>
      <c r="D410" s="19">
        <v>11.305999999999999</v>
      </c>
      <c r="E410" s="19">
        <v>237.42599999999999</v>
      </c>
      <c r="F410" s="21">
        <v>43528</v>
      </c>
      <c r="G410" s="22">
        <v>17.547222222222199</v>
      </c>
      <c r="H410" s="23" t="s">
        <v>23</v>
      </c>
      <c r="I410" s="19">
        <v>226.12</v>
      </c>
      <c r="J410" s="24">
        <v>4.7619047620000003</v>
      </c>
      <c r="K410" s="25">
        <v>5.5</v>
      </c>
      <c r="L410" s="23" t="str">
        <f>VLOOKUP(A410,'Customer-details'!$A$1:$C$1001,2,FALSE)</f>
        <v>Normal</v>
      </c>
      <c r="M410" s="23" t="str">
        <f>VLOOKUP(A410,'Customer-details'!$A$1:$C$1001,3,FALSE)</f>
        <v>Female</v>
      </c>
      <c r="N410" s="23" t="str">
        <f>VLOOKUP(A410,'Product-details'!$A$1:$B$1001,2,FALSE)</f>
        <v>Home and lifestyle</v>
      </c>
      <c r="O410" s="23" t="str">
        <f>VLOOKUP(A410,'City-details'!$A$1:$C$1001,3,FALSE)</f>
        <v>Yangon</v>
      </c>
      <c r="P410" s="23" t="str">
        <f>VLOOKUP(A410,'City-details'!$A$1:$C$1001,2,FALSE)</f>
        <v>A</v>
      </c>
      <c r="Q410" s="23" t="str">
        <f t="shared" si="18"/>
        <v>Mar</v>
      </c>
      <c r="R410" s="26" t="str">
        <f t="shared" si="19"/>
        <v>Mon</v>
      </c>
      <c r="S410">
        <f t="shared" si="20"/>
        <v>13</v>
      </c>
      <c r="T410" t="str" cm="1">
        <f t="array" ref="T410">_xlfn.IFS(S410&lt;=12,"Morning",S410&lt;=16,"Afternoon",S410&lt;=21,"Evening",S410&lt;=24,"Night")</f>
        <v>Afternoon</v>
      </c>
    </row>
    <row r="411" spans="1:20" x14ac:dyDescent="0.25">
      <c r="A411" s="31" t="s">
        <v>445</v>
      </c>
      <c r="B411" s="27">
        <v>23.82</v>
      </c>
      <c r="C411" s="28">
        <v>5</v>
      </c>
      <c r="D411" s="27">
        <v>5.9550000000000001</v>
      </c>
      <c r="E411" s="27">
        <v>125.05500000000001</v>
      </c>
      <c r="F411" s="29">
        <v>43493</v>
      </c>
      <c r="G411" s="30">
        <v>17.588888888888899</v>
      </c>
      <c r="H411" s="31" t="s">
        <v>23</v>
      </c>
      <c r="I411" s="27">
        <v>119.1</v>
      </c>
      <c r="J411" s="32">
        <v>4.7619047620000003</v>
      </c>
      <c r="K411" s="33">
        <v>5.4</v>
      </c>
      <c r="L411" s="31" t="str">
        <f>VLOOKUP(A411,'Customer-details'!$A$1:$C$1001,2,FALSE)</f>
        <v>Normal</v>
      </c>
      <c r="M411" s="31" t="str">
        <f>VLOOKUP(A411,'Customer-details'!$A$1:$C$1001,3,FALSE)</f>
        <v>Female</v>
      </c>
      <c r="N411" s="31" t="str">
        <f>VLOOKUP(A411,'Product-details'!$A$1:$B$1001,2,FALSE)</f>
        <v>Fashion accessories</v>
      </c>
      <c r="O411" s="31" t="str">
        <f>VLOOKUP(A411,'City-details'!$A$1:$C$1001,3,FALSE)</f>
        <v>Naypyitaw</v>
      </c>
      <c r="P411" s="31" t="str">
        <f>VLOOKUP(A411,'City-details'!$A$1:$C$1001,2,FALSE)</f>
        <v>C</v>
      </c>
      <c r="Q411" s="31" t="str">
        <f t="shared" si="18"/>
        <v>Jan</v>
      </c>
      <c r="R411" s="34" t="str">
        <f t="shared" si="19"/>
        <v>Mon</v>
      </c>
      <c r="S411">
        <f t="shared" si="20"/>
        <v>14</v>
      </c>
      <c r="T411" t="str" cm="1">
        <f t="array" ref="T411">_xlfn.IFS(S411&lt;=12,"Morning",S411&lt;=16,"Afternoon",S411&lt;=21,"Evening",S411&lt;=24,"Night")</f>
        <v>Afternoon</v>
      </c>
    </row>
    <row r="412" spans="1:20" x14ac:dyDescent="0.25">
      <c r="A412" s="23" t="s">
        <v>446</v>
      </c>
      <c r="B412" s="19">
        <v>34.21</v>
      </c>
      <c r="C412" s="20">
        <v>10</v>
      </c>
      <c r="D412" s="19">
        <v>17.105</v>
      </c>
      <c r="E412" s="19">
        <v>359.20499999999998</v>
      </c>
      <c r="F412" s="21">
        <v>43467</v>
      </c>
      <c r="G412" s="22">
        <v>17.630555555555599</v>
      </c>
      <c r="H412" s="23" t="s">
        <v>29</v>
      </c>
      <c r="I412" s="19">
        <v>342.1</v>
      </c>
      <c r="J412" s="24">
        <v>4.7619047620000003</v>
      </c>
      <c r="K412" s="25">
        <v>5.0999999999999996</v>
      </c>
      <c r="L412" s="23" t="str">
        <f>VLOOKUP(A412,'Customer-details'!$A$1:$C$1001,2,FALSE)</f>
        <v>Normal</v>
      </c>
      <c r="M412" s="23" t="str">
        <f>VLOOKUP(A412,'Customer-details'!$A$1:$C$1001,3,FALSE)</f>
        <v>Female</v>
      </c>
      <c r="N412" s="23" t="str">
        <f>VLOOKUP(A412,'Product-details'!$A$1:$B$1001,2,FALSE)</f>
        <v>Health and beauty</v>
      </c>
      <c r="O412" s="23" t="str">
        <f>VLOOKUP(A412,'City-details'!$A$1:$C$1001,3,FALSE)</f>
        <v>Mandalay</v>
      </c>
      <c r="P412" s="23" t="str">
        <f>VLOOKUP(A412,'City-details'!$A$1:$C$1001,2,FALSE)</f>
        <v>B</v>
      </c>
      <c r="Q412" s="23" t="str">
        <f t="shared" si="18"/>
        <v>Jan</v>
      </c>
      <c r="R412" s="26" t="str">
        <f t="shared" si="19"/>
        <v>Wed</v>
      </c>
      <c r="S412">
        <f t="shared" si="20"/>
        <v>15</v>
      </c>
      <c r="T412" t="str" cm="1">
        <f t="array" ref="T412">_xlfn.IFS(S412&lt;=12,"Morning",S412&lt;=16,"Afternoon",S412&lt;=21,"Evening",S412&lt;=24,"Night")</f>
        <v>Afternoon</v>
      </c>
    </row>
    <row r="413" spans="1:20" x14ac:dyDescent="0.25">
      <c r="A413" s="31" t="s">
        <v>447</v>
      </c>
      <c r="B413" s="27">
        <v>21.87</v>
      </c>
      <c r="C413" s="28">
        <v>2</v>
      </c>
      <c r="D413" s="27">
        <v>2.1869999999999998</v>
      </c>
      <c r="E413" s="27">
        <v>45.927</v>
      </c>
      <c r="F413" s="29">
        <v>43490</v>
      </c>
      <c r="G413" s="30">
        <v>17.672222222222199</v>
      </c>
      <c r="H413" s="31" t="s">
        <v>23</v>
      </c>
      <c r="I413" s="27">
        <v>43.74</v>
      </c>
      <c r="J413" s="32">
        <v>4.7619047620000003</v>
      </c>
      <c r="K413" s="33">
        <v>6.9</v>
      </c>
      <c r="L413" s="31" t="str">
        <f>VLOOKUP(A413,'Customer-details'!$A$1:$C$1001,2,FALSE)</f>
        <v>Normal</v>
      </c>
      <c r="M413" s="31" t="str">
        <f>VLOOKUP(A413,'Customer-details'!$A$1:$C$1001,3,FALSE)</f>
        <v>Male</v>
      </c>
      <c r="N413" s="31" t="str">
        <f>VLOOKUP(A413,'Product-details'!$A$1:$B$1001,2,FALSE)</f>
        <v>Sports and travel</v>
      </c>
      <c r="O413" s="31" t="str">
        <f>VLOOKUP(A413,'City-details'!$A$1:$C$1001,3,FALSE)</f>
        <v>Mandalay</v>
      </c>
      <c r="P413" s="31" t="str">
        <f>VLOOKUP(A413,'City-details'!$A$1:$C$1001,2,FALSE)</f>
        <v>B</v>
      </c>
      <c r="Q413" s="31" t="str">
        <f t="shared" si="18"/>
        <v>Jan</v>
      </c>
      <c r="R413" s="34" t="str">
        <f t="shared" si="19"/>
        <v>Fri</v>
      </c>
      <c r="S413">
        <f t="shared" si="20"/>
        <v>16</v>
      </c>
      <c r="T413" t="str" cm="1">
        <f t="array" ref="T413">_xlfn.IFS(S413&lt;=12,"Morning",S413&lt;=16,"Afternoon",S413&lt;=21,"Evening",S413&lt;=24,"Night")</f>
        <v>Afternoon</v>
      </c>
    </row>
    <row r="414" spans="1:20" x14ac:dyDescent="0.25">
      <c r="A414" s="23" t="s">
        <v>448</v>
      </c>
      <c r="B414" s="19">
        <v>20.97</v>
      </c>
      <c r="C414" s="20">
        <v>5</v>
      </c>
      <c r="D414" s="19">
        <v>5.2424999999999997</v>
      </c>
      <c r="E414" s="19">
        <v>110.0925</v>
      </c>
      <c r="F414" s="21">
        <v>43469</v>
      </c>
      <c r="G414" s="22">
        <v>17.713888888888899</v>
      </c>
      <c r="H414" s="23" t="s">
        <v>29</v>
      </c>
      <c r="I414" s="19">
        <v>104.85</v>
      </c>
      <c r="J414" s="24">
        <v>4.7619047620000003</v>
      </c>
      <c r="K414" s="25">
        <v>7.8</v>
      </c>
      <c r="L414" s="23" t="str">
        <f>VLOOKUP(A414,'Customer-details'!$A$1:$C$1001,2,FALSE)</f>
        <v>Member</v>
      </c>
      <c r="M414" s="23" t="str">
        <f>VLOOKUP(A414,'Customer-details'!$A$1:$C$1001,3,FALSE)</f>
        <v>Male</v>
      </c>
      <c r="N414" s="23" t="str">
        <f>VLOOKUP(A414,'Product-details'!$A$1:$B$1001,2,FALSE)</f>
        <v>Health and beauty</v>
      </c>
      <c r="O414" s="23" t="str">
        <f>VLOOKUP(A414,'City-details'!$A$1:$C$1001,3,FALSE)</f>
        <v>Yangon</v>
      </c>
      <c r="P414" s="23" t="str">
        <f>VLOOKUP(A414,'City-details'!$A$1:$C$1001,2,FALSE)</f>
        <v>A</v>
      </c>
      <c r="Q414" s="23" t="str">
        <f t="shared" si="18"/>
        <v>Jan</v>
      </c>
      <c r="R414" s="26" t="str">
        <f t="shared" si="19"/>
        <v>Fri</v>
      </c>
      <c r="S414">
        <f t="shared" si="20"/>
        <v>17</v>
      </c>
      <c r="T414" t="str" cm="1">
        <f t="array" ref="T414">_xlfn.IFS(S414&lt;=12,"Morning",S414&lt;=16,"Afternoon",S414&lt;=21,"Evening",S414&lt;=24,"Night")</f>
        <v>Evening</v>
      </c>
    </row>
    <row r="415" spans="1:20" x14ac:dyDescent="0.25">
      <c r="A415" s="31" t="s">
        <v>449</v>
      </c>
      <c r="B415" s="27">
        <v>25.84</v>
      </c>
      <c r="C415" s="28">
        <v>3</v>
      </c>
      <c r="D415" s="27">
        <v>3.8759999999999999</v>
      </c>
      <c r="E415" s="27">
        <v>81.396000000000001</v>
      </c>
      <c r="F415" s="29">
        <v>43534</v>
      </c>
      <c r="G415" s="30">
        <v>17.755555555555599</v>
      </c>
      <c r="H415" s="31" t="s">
        <v>23</v>
      </c>
      <c r="I415" s="27">
        <v>77.52</v>
      </c>
      <c r="J415" s="32">
        <v>4.7619047620000003</v>
      </c>
      <c r="K415" s="33">
        <v>6.6</v>
      </c>
      <c r="L415" s="31" t="str">
        <f>VLOOKUP(A415,'Customer-details'!$A$1:$C$1001,2,FALSE)</f>
        <v>Normal</v>
      </c>
      <c r="M415" s="31" t="str">
        <f>VLOOKUP(A415,'Customer-details'!$A$1:$C$1001,3,FALSE)</f>
        <v>Male</v>
      </c>
      <c r="N415" s="31" t="str">
        <f>VLOOKUP(A415,'Product-details'!$A$1:$B$1001,2,FALSE)</f>
        <v>Sports and travel</v>
      </c>
      <c r="O415" s="31" t="str">
        <f>VLOOKUP(A415,'City-details'!$A$1:$C$1001,3,FALSE)</f>
        <v>Yangon</v>
      </c>
      <c r="P415" s="31" t="str">
        <f>VLOOKUP(A415,'City-details'!$A$1:$C$1001,2,FALSE)</f>
        <v>A</v>
      </c>
      <c r="Q415" s="31" t="str">
        <f t="shared" si="18"/>
        <v>Mar</v>
      </c>
      <c r="R415" s="34" t="str">
        <f t="shared" si="19"/>
        <v>Sun</v>
      </c>
      <c r="S415">
        <f t="shared" si="20"/>
        <v>18</v>
      </c>
      <c r="T415" t="str" cm="1">
        <f t="array" ref="T415">_xlfn.IFS(S415&lt;=12,"Morning",S415&lt;=16,"Afternoon",S415&lt;=21,"Evening",S415&lt;=24,"Night")</f>
        <v>Evening</v>
      </c>
    </row>
    <row r="416" spans="1:20" x14ac:dyDescent="0.25">
      <c r="A416" s="23" t="s">
        <v>450</v>
      </c>
      <c r="B416" s="19">
        <v>50.93</v>
      </c>
      <c r="C416" s="20">
        <v>8</v>
      </c>
      <c r="D416" s="19">
        <v>20.372</v>
      </c>
      <c r="E416" s="19">
        <v>427.81200000000001</v>
      </c>
      <c r="F416" s="21">
        <v>43546</v>
      </c>
      <c r="G416" s="22">
        <v>17.797222222222199</v>
      </c>
      <c r="H416" s="23" t="s">
        <v>23</v>
      </c>
      <c r="I416" s="19">
        <v>407.44</v>
      </c>
      <c r="J416" s="24">
        <v>4.7619047620000003</v>
      </c>
      <c r="K416" s="25">
        <v>9.1999999999999993</v>
      </c>
      <c r="L416" s="23" t="str">
        <f>VLOOKUP(A416,'Customer-details'!$A$1:$C$1001,2,FALSE)</f>
        <v>Normal</v>
      </c>
      <c r="M416" s="23" t="str">
        <f>VLOOKUP(A416,'Customer-details'!$A$1:$C$1001,3,FALSE)</f>
        <v>Male</v>
      </c>
      <c r="N416" s="23" t="str">
        <f>VLOOKUP(A416,'Product-details'!$A$1:$B$1001,2,FALSE)</f>
        <v>Home and lifestyle</v>
      </c>
      <c r="O416" s="23" t="str">
        <f>VLOOKUP(A416,'City-details'!$A$1:$C$1001,3,FALSE)</f>
        <v>Yangon</v>
      </c>
      <c r="P416" s="23" t="str">
        <f>VLOOKUP(A416,'City-details'!$A$1:$C$1001,2,FALSE)</f>
        <v>A</v>
      </c>
      <c r="Q416" s="23" t="str">
        <f t="shared" si="18"/>
        <v>Mar</v>
      </c>
      <c r="R416" s="26" t="str">
        <f t="shared" si="19"/>
        <v>Fri</v>
      </c>
      <c r="S416">
        <f t="shared" si="20"/>
        <v>19</v>
      </c>
      <c r="T416" t="str" cm="1">
        <f t="array" ref="T416">_xlfn.IFS(S416&lt;=12,"Morning",S416&lt;=16,"Afternoon",S416&lt;=21,"Evening",S416&lt;=24,"Night")</f>
        <v>Evening</v>
      </c>
    </row>
    <row r="417" spans="1:20" x14ac:dyDescent="0.25">
      <c r="A417" s="31" t="s">
        <v>451</v>
      </c>
      <c r="B417" s="27">
        <v>96.11</v>
      </c>
      <c r="C417" s="28">
        <v>1</v>
      </c>
      <c r="D417" s="27">
        <v>4.8055000000000003</v>
      </c>
      <c r="E417" s="27">
        <v>100.91549999999999</v>
      </c>
      <c r="F417" s="29">
        <v>43490</v>
      </c>
      <c r="G417" s="30">
        <v>17.838888888888899</v>
      </c>
      <c r="H417" s="31" t="s">
        <v>23</v>
      </c>
      <c r="I417" s="27">
        <v>96.11</v>
      </c>
      <c r="J417" s="32">
        <v>4.7619047620000003</v>
      </c>
      <c r="K417" s="33">
        <v>7.8</v>
      </c>
      <c r="L417" s="31" t="str">
        <f>VLOOKUP(A417,'Customer-details'!$A$1:$C$1001,2,FALSE)</f>
        <v>Normal</v>
      </c>
      <c r="M417" s="31" t="str">
        <f>VLOOKUP(A417,'Customer-details'!$A$1:$C$1001,3,FALSE)</f>
        <v>Male</v>
      </c>
      <c r="N417" s="31" t="str">
        <f>VLOOKUP(A417,'Product-details'!$A$1:$B$1001,2,FALSE)</f>
        <v>Health and beauty</v>
      </c>
      <c r="O417" s="31" t="str">
        <f>VLOOKUP(A417,'City-details'!$A$1:$C$1001,3,FALSE)</f>
        <v>Mandalay</v>
      </c>
      <c r="P417" s="31" t="str">
        <f>VLOOKUP(A417,'City-details'!$A$1:$C$1001,2,FALSE)</f>
        <v>B</v>
      </c>
      <c r="Q417" s="31" t="str">
        <f t="shared" si="18"/>
        <v>Jan</v>
      </c>
      <c r="R417" s="34" t="str">
        <f t="shared" si="19"/>
        <v>Fri</v>
      </c>
      <c r="S417">
        <f t="shared" si="20"/>
        <v>20</v>
      </c>
      <c r="T417" t="str" cm="1">
        <f t="array" ref="T417">_xlfn.IFS(S417&lt;=12,"Morning",S417&lt;=16,"Afternoon",S417&lt;=21,"Evening",S417&lt;=24,"Night")</f>
        <v>Evening</v>
      </c>
    </row>
    <row r="418" spans="1:20" x14ac:dyDescent="0.25">
      <c r="A418" s="23" t="s">
        <v>452</v>
      </c>
      <c r="B418" s="19">
        <v>45.38</v>
      </c>
      <c r="C418" s="20">
        <v>4</v>
      </c>
      <c r="D418" s="19">
        <v>9.0760000000000005</v>
      </c>
      <c r="E418" s="19">
        <v>190.596</v>
      </c>
      <c r="F418" s="21">
        <v>43473</v>
      </c>
      <c r="G418" s="22">
        <v>17.880555555555599</v>
      </c>
      <c r="H418" s="23" t="s">
        <v>33</v>
      </c>
      <c r="I418" s="19">
        <v>181.52</v>
      </c>
      <c r="J418" s="24">
        <v>4.7619047620000003</v>
      </c>
      <c r="K418" s="25">
        <v>8.6999999999999993</v>
      </c>
      <c r="L418" s="23" t="str">
        <f>VLOOKUP(A418,'Customer-details'!$A$1:$C$1001,2,FALSE)</f>
        <v>Normal</v>
      </c>
      <c r="M418" s="23" t="str">
        <f>VLOOKUP(A418,'Customer-details'!$A$1:$C$1001,3,FALSE)</f>
        <v>Female</v>
      </c>
      <c r="N418" s="23" t="str">
        <f>VLOOKUP(A418,'Product-details'!$A$1:$B$1001,2,FALSE)</f>
        <v>Home and lifestyle</v>
      </c>
      <c r="O418" s="23" t="str">
        <f>VLOOKUP(A418,'City-details'!$A$1:$C$1001,3,FALSE)</f>
        <v>Naypyitaw</v>
      </c>
      <c r="P418" s="23" t="str">
        <f>VLOOKUP(A418,'City-details'!$A$1:$C$1001,2,FALSE)</f>
        <v>C</v>
      </c>
      <c r="Q418" s="23" t="str">
        <f t="shared" si="18"/>
        <v>Jan</v>
      </c>
      <c r="R418" s="26" t="str">
        <f t="shared" si="19"/>
        <v>Tue</v>
      </c>
      <c r="S418">
        <f t="shared" si="20"/>
        <v>21</v>
      </c>
      <c r="T418" t="str" cm="1">
        <f t="array" ref="T418">_xlfn.IFS(S418&lt;=12,"Morning",S418&lt;=16,"Afternoon",S418&lt;=21,"Evening",S418&lt;=24,"Night")</f>
        <v>Evening</v>
      </c>
    </row>
    <row r="419" spans="1:20" x14ac:dyDescent="0.25">
      <c r="A419" s="31" t="s">
        <v>453</v>
      </c>
      <c r="B419" s="27">
        <v>81.510000000000005</v>
      </c>
      <c r="C419" s="28">
        <v>1</v>
      </c>
      <c r="D419" s="27">
        <v>4.0754999999999999</v>
      </c>
      <c r="E419" s="27">
        <v>85.585499999999996</v>
      </c>
      <c r="F419" s="29">
        <v>43487</v>
      </c>
      <c r="G419" s="30">
        <v>17.922222222222199</v>
      </c>
      <c r="H419" s="31" t="s">
        <v>23</v>
      </c>
      <c r="I419" s="27">
        <v>81.510000000000005</v>
      </c>
      <c r="J419" s="32">
        <v>4.7619047620000003</v>
      </c>
      <c r="K419" s="33">
        <v>9.1999999999999993</v>
      </c>
      <c r="L419" s="31" t="str">
        <f>VLOOKUP(A419,'Customer-details'!$A$1:$C$1001,2,FALSE)</f>
        <v>Member</v>
      </c>
      <c r="M419" s="31" t="str">
        <f>VLOOKUP(A419,'Customer-details'!$A$1:$C$1001,3,FALSE)</f>
        <v>Female</v>
      </c>
      <c r="N419" s="31" t="str">
        <f>VLOOKUP(A419,'Product-details'!$A$1:$B$1001,2,FALSE)</f>
        <v>Health and beauty</v>
      </c>
      <c r="O419" s="31" t="str">
        <f>VLOOKUP(A419,'City-details'!$A$1:$C$1001,3,FALSE)</f>
        <v>Naypyitaw</v>
      </c>
      <c r="P419" s="31" t="str">
        <f>VLOOKUP(A419,'City-details'!$A$1:$C$1001,2,FALSE)</f>
        <v>C</v>
      </c>
      <c r="Q419" s="31" t="str">
        <f t="shared" si="18"/>
        <v>Jan</v>
      </c>
      <c r="R419" s="34" t="str">
        <f t="shared" si="19"/>
        <v>Tue</v>
      </c>
      <c r="S419">
        <f t="shared" si="20"/>
        <v>22</v>
      </c>
      <c r="T419" t="str" cm="1">
        <f t="array" ref="T419">_xlfn.IFS(S419&lt;=12,"Morning",S419&lt;=16,"Afternoon",S419&lt;=21,"Evening",S419&lt;=24,"Night")</f>
        <v>Night</v>
      </c>
    </row>
    <row r="420" spans="1:20" x14ac:dyDescent="0.25">
      <c r="A420" s="23" t="s">
        <v>454</v>
      </c>
      <c r="B420" s="19">
        <v>57.22</v>
      </c>
      <c r="C420" s="20">
        <v>2</v>
      </c>
      <c r="D420" s="19">
        <v>5.7220000000000004</v>
      </c>
      <c r="E420" s="19">
        <v>120.16200000000001</v>
      </c>
      <c r="F420" s="21">
        <v>43477</v>
      </c>
      <c r="G420" s="22">
        <v>17.963888888888899</v>
      </c>
      <c r="H420" s="23" t="s">
        <v>23</v>
      </c>
      <c r="I420" s="19">
        <v>114.44</v>
      </c>
      <c r="J420" s="24">
        <v>4.7619047620000003</v>
      </c>
      <c r="K420" s="25">
        <v>8.3000000000000007</v>
      </c>
      <c r="L420" s="23" t="str">
        <f>VLOOKUP(A420,'Customer-details'!$A$1:$C$1001,2,FALSE)</f>
        <v>Normal</v>
      </c>
      <c r="M420" s="23" t="str">
        <f>VLOOKUP(A420,'Customer-details'!$A$1:$C$1001,3,FALSE)</f>
        <v>Female</v>
      </c>
      <c r="N420" s="23" t="str">
        <f>VLOOKUP(A420,'Product-details'!$A$1:$B$1001,2,FALSE)</f>
        <v>Health and beauty</v>
      </c>
      <c r="O420" s="23" t="str">
        <f>VLOOKUP(A420,'City-details'!$A$1:$C$1001,3,FALSE)</f>
        <v>Mandalay</v>
      </c>
      <c r="P420" s="23" t="str">
        <f>VLOOKUP(A420,'City-details'!$A$1:$C$1001,2,FALSE)</f>
        <v>B</v>
      </c>
      <c r="Q420" s="23" t="str">
        <f t="shared" si="18"/>
        <v>Jan</v>
      </c>
      <c r="R420" s="26" t="str">
        <f t="shared" si="19"/>
        <v>Sat</v>
      </c>
      <c r="S420">
        <f t="shared" si="20"/>
        <v>23</v>
      </c>
      <c r="T420" t="str" cm="1">
        <f t="array" ref="T420">_xlfn.IFS(S420&lt;=12,"Morning",S420&lt;=16,"Afternoon",S420&lt;=21,"Evening",S420&lt;=24,"Night")</f>
        <v>Night</v>
      </c>
    </row>
    <row r="421" spans="1:20" x14ac:dyDescent="0.25">
      <c r="A421" s="31" t="s">
        <v>455</v>
      </c>
      <c r="B421" s="27">
        <v>25.22</v>
      </c>
      <c r="C421" s="28">
        <v>7</v>
      </c>
      <c r="D421" s="27">
        <v>8.827</v>
      </c>
      <c r="E421" s="27">
        <v>185.36699999999999</v>
      </c>
      <c r="F421" s="29">
        <v>43500</v>
      </c>
      <c r="G421" s="30">
        <v>18.005555555555599</v>
      </c>
      <c r="H421" s="31" t="s">
        <v>29</v>
      </c>
      <c r="I421" s="27">
        <v>176.54</v>
      </c>
      <c r="J421" s="32">
        <v>4.7619047620000003</v>
      </c>
      <c r="K421" s="33">
        <v>8.1999999999999993</v>
      </c>
      <c r="L421" s="31" t="str">
        <f>VLOOKUP(A421,'Customer-details'!$A$1:$C$1001,2,FALSE)</f>
        <v>Member</v>
      </c>
      <c r="M421" s="31" t="str">
        <f>VLOOKUP(A421,'Customer-details'!$A$1:$C$1001,3,FALSE)</f>
        <v>Female</v>
      </c>
      <c r="N421" s="31" t="str">
        <f>VLOOKUP(A421,'Product-details'!$A$1:$B$1001,2,FALSE)</f>
        <v>Electronic accessories</v>
      </c>
      <c r="O421" s="31" t="str">
        <f>VLOOKUP(A421,'City-details'!$A$1:$C$1001,3,FALSE)</f>
        <v>Yangon</v>
      </c>
      <c r="P421" s="31" t="str">
        <f>VLOOKUP(A421,'City-details'!$A$1:$C$1001,2,FALSE)</f>
        <v>A</v>
      </c>
      <c r="Q421" s="31" t="str">
        <f t="shared" si="18"/>
        <v>Feb</v>
      </c>
      <c r="R421" s="34" t="str">
        <f t="shared" si="19"/>
        <v>Mon</v>
      </c>
      <c r="S421">
        <f t="shared" si="20"/>
        <v>0</v>
      </c>
      <c r="T421" t="str" cm="1">
        <f t="array" ref="T421">_xlfn.IFS(S421&lt;=12,"Morning",S421&lt;=16,"Afternoon",S421&lt;=21,"Evening",S421&lt;=24,"Night")</f>
        <v>Morning</v>
      </c>
    </row>
    <row r="422" spans="1:20" x14ac:dyDescent="0.25">
      <c r="A422" s="23" t="s">
        <v>456</v>
      </c>
      <c r="B422" s="19">
        <v>38.6</v>
      </c>
      <c r="C422" s="20">
        <v>3</v>
      </c>
      <c r="D422" s="19">
        <v>5.79</v>
      </c>
      <c r="E422" s="19">
        <v>121.59</v>
      </c>
      <c r="F422" s="21">
        <v>43552</v>
      </c>
      <c r="G422" s="22">
        <v>18.047222222222199</v>
      </c>
      <c r="H422" s="23" t="s">
        <v>23</v>
      </c>
      <c r="I422" s="19">
        <v>115.8</v>
      </c>
      <c r="J422" s="24">
        <v>4.7619047620000003</v>
      </c>
      <c r="K422" s="25">
        <v>7.5</v>
      </c>
      <c r="L422" s="23" t="str">
        <f>VLOOKUP(A422,'Customer-details'!$A$1:$C$1001,2,FALSE)</f>
        <v>Member</v>
      </c>
      <c r="M422" s="23" t="str">
        <f>VLOOKUP(A422,'Customer-details'!$A$1:$C$1001,3,FALSE)</f>
        <v>Female</v>
      </c>
      <c r="N422" s="23" t="str">
        <f>VLOOKUP(A422,'Product-details'!$A$1:$B$1001,2,FALSE)</f>
        <v>Food and beverages</v>
      </c>
      <c r="O422" s="23" t="str">
        <f>VLOOKUP(A422,'City-details'!$A$1:$C$1001,3,FALSE)</f>
        <v>Naypyitaw</v>
      </c>
      <c r="P422" s="23" t="str">
        <f>VLOOKUP(A422,'City-details'!$A$1:$C$1001,2,FALSE)</f>
        <v>C</v>
      </c>
      <c r="Q422" s="23" t="str">
        <f t="shared" si="18"/>
        <v>Mar</v>
      </c>
      <c r="R422" s="26" t="str">
        <f t="shared" si="19"/>
        <v>Thu</v>
      </c>
      <c r="S422">
        <f t="shared" si="20"/>
        <v>1</v>
      </c>
      <c r="T422" t="str" cm="1">
        <f t="array" ref="T422">_xlfn.IFS(S422&lt;=12,"Morning",S422&lt;=16,"Afternoon",S422&lt;=21,"Evening",S422&lt;=24,"Night")</f>
        <v>Morning</v>
      </c>
    </row>
    <row r="423" spans="1:20" x14ac:dyDescent="0.25">
      <c r="A423" s="31" t="s">
        <v>457</v>
      </c>
      <c r="B423" s="27">
        <v>84.05</v>
      </c>
      <c r="C423" s="28">
        <v>3</v>
      </c>
      <c r="D423" s="27">
        <v>12.6075</v>
      </c>
      <c r="E423" s="27">
        <v>264.75749999999999</v>
      </c>
      <c r="F423" s="29">
        <v>43488</v>
      </c>
      <c r="G423" s="30">
        <v>18.088888888888899</v>
      </c>
      <c r="H423" s="31" t="s">
        <v>29</v>
      </c>
      <c r="I423" s="27">
        <v>252.15</v>
      </c>
      <c r="J423" s="32">
        <v>4.7619047620000003</v>
      </c>
      <c r="K423" s="33">
        <v>9.8000000000000007</v>
      </c>
      <c r="L423" s="31" t="str">
        <f>VLOOKUP(A423,'Customer-details'!$A$1:$C$1001,2,FALSE)</f>
        <v>Normal</v>
      </c>
      <c r="M423" s="31" t="str">
        <f>VLOOKUP(A423,'Customer-details'!$A$1:$C$1001,3,FALSE)</f>
        <v>Female</v>
      </c>
      <c r="N423" s="31" t="str">
        <f>VLOOKUP(A423,'Product-details'!$A$1:$B$1001,2,FALSE)</f>
        <v>Electronic accessories</v>
      </c>
      <c r="O423" s="31" t="str">
        <f>VLOOKUP(A423,'City-details'!$A$1:$C$1001,3,FALSE)</f>
        <v>Naypyitaw</v>
      </c>
      <c r="P423" s="31" t="str">
        <f>VLOOKUP(A423,'City-details'!$A$1:$C$1001,2,FALSE)</f>
        <v>C</v>
      </c>
      <c r="Q423" s="31" t="str">
        <f t="shared" si="18"/>
        <v>Jan</v>
      </c>
      <c r="R423" s="34" t="str">
        <f t="shared" si="19"/>
        <v>Wed</v>
      </c>
      <c r="S423">
        <f t="shared" si="20"/>
        <v>2</v>
      </c>
      <c r="T423" t="str" cm="1">
        <f t="array" ref="T423">_xlfn.IFS(S423&lt;=12,"Morning",S423&lt;=16,"Afternoon",S423&lt;=21,"Evening",S423&lt;=24,"Night")</f>
        <v>Morning</v>
      </c>
    </row>
    <row r="424" spans="1:20" x14ac:dyDescent="0.25">
      <c r="A424" s="23" t="s">
        <v>458</v>
      </c>
      <c r="B424" s="19">
        <v>97.21</v>
      </c>
      <c r="C424" s="20">
        <v>10</v>
      </c>
      <c r="D424" s="19">
        <v>48.604999999999997</v>
      </c>
      <c r="E424" s="19">
        <v>1020.705</v>
      </c>
      <c r="F424" s="21">
        <v>43504</v>
      </c>
      <c r="G424" s="22">
        <v>18.130555555555599</v>
      </c>
      <c r="H424" s="23" t="s">
        <v>33</v>
      </c>
      <c r="I424" s="19">
        <v>972.1</v>
      </c>
      <c r="J424" s="24">
        <v>4.7619047620000003</v>
      </c>
      <c r="K424" s="25">
        <v>8.6999999999999993</v>
      </c>
      <c r="L424" s="23" t="str">
        <f>VLOOKUP(A424,'Customer-details'!$A$1:$C$1001,2,FALSE)</f>
        <v>Member</v>
      </c>
      <c r="M424" s="23" t="str">
        <f>VLOOKUP(A424,'Customer-details'!$A$1:$C$1001,3,FALSE)</f>
        <v>Female</v>
      </c>
      <c r="N424" s="23" t="str">
        <f>VLOOKUP(A424,'Product-details'!$A$1:$B$1001,2,FALSE)</f>
        <v>Fashion accessories</v>
      </c>
      <c r="O424" s="23" t="str">
        <f>VLOOKUP(A424,'City-details'!$A$1:$C$1001,3,FALSE)</f>
        <v>Naypyitaw</v>
      </c>
      <c r="P424" s="23" t="str">
        <f>VLOOKUP(A424,'City-details'!$A$1:$C$1001,2,FALSE)</f>
        <v>C</v>
      </c>
      <c r="Q424" s="23" t="str">
        <f t="shared" si="18"/>
        <v>Feb</v>
      </c>
      <c r="R424" s="26" t="str">
        <f t="shared" si="19"/>
        <v>Fri</v>
      </c>
      <c r="S424">
        <f t="shared" si="20"/>
        <v>3</v>
      </c>
      <c r="T424" t="str" cm="1">
        <f t="array" ref="T424">_xlfn.IFS(S424&lt;=12,"Morning",S424&lt;=16,"Afternoon",S424&lt;=21,"Evening",S424&lt;=24,"Night")</f>
        <v>Morning</v>
      </c>
    </row>
    <row r="425" spans="1:20" x14ac:dyDescent="0.25">
      <c r="A425" s="31" t="s">
        <v>459</v>
      </c>
      <c r="B425" s="27">
        <v>25.42</v>
      </c>
      <c r="C425" s="28">
        <v>8</v>
      </c>
      <c r="D425" s="27">
        <v>10.167999999999999</v>
      </c>
      <c r="E425" s="27">
        <v>213.52799999999999</v>
      </c>
      <c r="F425" s="29">
        <v>43543</v>
      </c>
      <c r="G425" s="30">
        <v>18.172222222222199</v>
      </c>
      <c r="H425" s="31" t="s">
        <v>33</v>
      </c>
      <c r="I425" s="27">
        <v>203.36</v>
      </c>
      <c r="J425" s="32">
        <v>4.7619047620000003</v>
      </c>
      <c r="K425" s="33">
        <v>6.7</v>
      </c>
      <c r="L425" s="31" t="str">
        <f>VLOOKUP(A425,'Customer-details'!$A$1:$C$1001,2,FALSE)</f>
        <v>Member</v>
      </c>
      <c r="M425" s="31" t="str">
        <f>VLOOKUP(A425,'Customer-details'!$A$1:$C$1001,3,FALSE)</f>
        <v>Male</v>
      </c>
      <c r="N425" s="31" t="str">
        <f>VLOOKUP(A425,'Product-details'!$A$1:$B$1001,2,FALSE)</f>
        <v>Fashion accessories</v>
      </c>
      <c r="O425" s="31" t="str">
        <f>VLOOKUP(A425,'City-details'!$A$1:$C$1001,3,FALSE)</f>
        <v>Mandalay</v>
      </c>
      <c r="P425" s="31" t="str">
        <f>VLOOKUP(A425,'City-details'!$A$1:$C$1001,2,FALSE)</f>
        <v>B</v>
      </c>
      <c r="Q425" s="31" t="str">
        <f t="shared" si="18"/>
        <v>Mar</v>
      </c>
      <c r="R425" s="34" t="str">
        <f t="shared" si="19"/>
        <v>Tue</v>
      </c>
      <c r="S425">
        <f t="shared" si="20"/>
        <v>4</v>
      </c>
      <c r="T425" t="str" cm="1">
        <f t="array" ref="T425">_xlfn.IFS(S425&lt;=12,"Morning",S425&lt;=16,"Afternoon",S425&lt;=21,"Evening",S425&lt;=24,"Night")</f>
        <v>Morning</v>
      </c>
    </row>
    <row r="426" spans="1:20" x14ac:dyDescent="0.25">
      <c r="A426" s="23" t="s">
        <v>460</v>
      </c>
      <c r="B426" s="19">
        <v>16.28</v>
      </c>
      <c r="C426" s="20">
        <v>1</v>
      </c>
      <c r="D426" s="19">
        <v>0.81399999999999995</v>
      </c>
      <c r="E426" s="19">
        <v>17.094000000000001</v>
      </c>
      <c r="F426" s="21">
        <v>43533</v>
      </c>
      <c r="G426" s="22">
        <v>18.213888888888899</v>
      </c>
      <c r="H426" s="23" t="s">
        <v>29</v>
      </c>
      <c r="I426" s="19">
        <v>16.28</v>
      </c>
      <c r="J426" s="24">
        <v>4.7619047620000003</v>
      </c>
      <c r="K426" s="25">
        <v>5</v>
      </c>
      <c r="L426" s="23" t="str">
        <f>VLOOKUP(A426,'Customer-details'!$A$1:$C$1001,2,FALSE)</f>
        <v>Normal</v>
      </c>
      <c r="M426" s="23" t="str">
        <f>VLOOKUP(A426,'Customer-details'!$A$1:$C$1001,3,FALSE)</f>
        <v>Male</v>
      </c>
      <c r="N426" s="23" t="str">
        <f>VLOOKUP(A426,'Product-details'!$A$1:$B$1001,2,FALSE)</f>
        <v>Fashion accessories</v>
      </c>
      <c r="O426" s="23" t="str">
        <f>VLOOKUP(A426,'City-details'!$A$1:$C$1001,3,FALSE)</f>
        <v>Naypyitaw</v>
      </c>
      <c r="P426" s="23" t="str">
        <f>VLOOKUP(A426,'City-details'!$A$1:$C$1001,2,FALSE)</f>
        <v>C</v>
      </c>
      <c r="Q426" s="23" t="str">
        <f t="shared" si="18"/>
        <v>Mar</v>
      </c>
      <c r="R426" s="26" t="str">
        <f t="shared" si="19"/>
        <v>Sat</v>
      </c>
      <c r="S426">
        <f t="shared" si="20"/>
        <v>5</v>
      </c>
      <c r="T426" t="str" cm="1">
        <f t="array" ref="T426">_xlfn.IFS(S426&lt;=12,"Morning",S426&lt;=16,"Afternoon",S426&lt;=21,"Evening",S426&lt;=24,"Night")</f>
        <v>Morning</v>
      </c>
    </row>
    <row r="427" spans="1:20" x14ac:dyDescent="0.25">
      <c r="A427" s="31" t="s">
        <v>461</v>
      </c>
      <c r="B427" s="27">
        <v>40.61</v>
      </c>
      <c r="C427" s="28">
        <v>9</v>
      </c>
      <c r="D427" s="27">
        <v>18.2745</v>
      </c>
      <c r="E427" s="27">
        <v>383.7645</v>
      </c>
      <c r="F427" s="29">
        <v>43467</v>
      </c>
      <c r="G427" s="30">
        <v>18.255555555555599</v>
      </c>
      <c r="H427" s="31" t="s">
        <v>29</v>
      </c>
      <c r="I427" s="27">
        <v>365.49</v>
      </c>
      <c r="J427" s="32">
        <v>4.7619047620000003</v>
      </c>
      <c r="K427" s="33">
        <v>7</v>
      </c>
      <c r="L427" s="31" t="str">
        <f>VLOOKUP(A427,'Customer-details'!$A$1:$C$1001,2,FALSE)</f>
        <v>Member</v>
      </c>
      <c r="M427" s="31" t="str">
        <f>VLOOKUP(A427,'Customer-details'!$A$1:$C$1001,3,FALSE)</f>
        <v>Male</v>
      </c>
      <c r="N427" s="31" t="str">
        <f>VLOOKUP(A427,'Product-details'!$A$1:$B$1001,2,FALSE)</f>
        <v>Fashion accessories</v>
      </c>
      <c r="O427" s="31" t="str">
        <f>VLOOKUP(A427,'City-details'!$A$1:$C$1001,3,FALSE)</f>
        <v>Mandalay</v>
      </c>
      <c r="P427" s="31" t="str">
        <f>VLOOKUP(A427,'City-details'!$A$1:$C$1001,2,FALSE)</f>
        <v>B</v>
      </c>
      <c r="Q427" s="31" t="str">
        <f t="shared" si="18"/>
        <v>Jan</v>
      </c>
      <c r="R427" s="34" t="str">
        <f t="shared" si="19"/>
        <v>Wed</v>
      </c>
      <c r="S427">
        <f t="shared" si="20"/>
        <v>6</v>
      </c>
      <c r="T427" t="str" cm="1">
        <f t="array" ref="T427">_xlfn.IFS(S427&lt;=12,"Morning",S427&lt;=16,"Afternoon",S427&lt;=21,"Evening",S427&lt;=24,"Night")</f>
        <v>Morning</v>
      </c>
    </row>
    <row r="428" spans="1:20" x14ac:dyDescent="0.25">
      <c r="A428" s="23" t="s">
        <v>462</v>
      </c>
      <c r="B428" s="19">
        <v>53.17</v>
      </c>
      <c r="C428" s="20">
        <v>7</v>
      </c>
      <c r="D428" s="19">
        <v>18.609500000000001</v>
      </c>
      <c r="E428" s="19">
        <v>390.79950000000002</v>
      </c>
      <c r="F428" s="21">
        <v>43486</v>
      </c>
      <c r="G428" s="22">
        <v>18.297222222222199</v>
      </c>
      <c r="H428" s="23" t="s">
        <v>29</v>
      </c>
      <c r="I428" s="19">
        <v>372.19</v>
      </c>
      <c r="J428" s="24">
        <v>4.7619047620000003</v>
      </c>
      <c r="K428" s="25">
        <v>8.9</v>
      </c>
      <c r="L428" s="23" t="str">
        <f>VLOOKUP(A428,'Customer-details'!$A$1:$C$1001,2,FALSE)</f>
        <v>Member</v>
      </c>
      <c r="M428" s="23" t="str">
        <f>VLOOKUP(A428,'Customer-details'!$A$1:$C$1001,3,FALSE)</f>
        <v>Male</v>
      </c>
      <c r="N428" s="23" t="str">
        <f>VLOOKUP(A428,'Product-details'!$A$1:$B$1001,2,FALSE)</f>
        <v>Health and beauty</v>
      </c>
      <c r="O428" s="23" t="str">
        <f>VLOOKUP(A428,'City-details'!$A$1:$C$1001,3,FALSE)</f>
        <v>Yangon</v>
      </c>
      <c r="P428" s="23" t="str">
        <f>VLOOKUP(A428,'City-details'!$A$1:$C$1001,2,FALSE)</f>
        <v>A</v>
      </c>
      <c r="Q428" s="23" t="str">
        <f t="shared" si="18"/>
        <v>Jan</v>
      </c>
      <c r="R428" s="26" t="str">
        <f t="shared" si="19"/>
        <v>Mon</v>
      </c>
      <c r="S428">
        <f t="shared" si="20"/>
        <v>7</v>
      </c>
      <c r="T428" t="str" cm="1">
        <f t="array" ref="T428">_xlfn.IFS(S428&lt;=12,"Morning",S428&lt;=16,"Afternoon",S428&lt;=21,"Evening",S428&lt;=24,"Night")</f>
        <v>Morning</v>
      </c>
    </row>
    <row r="429" spans="1:20" x14ac:dyDescent="0.25">
      <c r="A429" s="31" t="s">
        <v>463</v>
      </c>
      <c r="B429" s="27">
        <v>20.87</v>
      </c>
      <c r="C429" s="28">
        <v>3</v>
      </c>
      <c r="D429" s="27">
        <v>3.1305000000000001</v>
      </c>
      <c r="E429" s="27">
        <v>65.740499999999997</v>
      </c>
      <c r="F429" s="29">
        <v>43544</v>
      </c>
      <c r="G429" s="30">
        <v>18.338888888888899</v>
      </c>
      <c r="H429" s="31" t="s">
        <v>33</v>
      </c>
      <c r="I429" s="27">
        <v>62.61</v>
      </c>
      <c r="J429" s="32">
        <v>4.7619047620000003</v>
      </c>
      <c r="K429" s="33">
        <v>8</v>
      </c>
      <c r="L429" s="31" t="str">
        <f>VLOOKUP(A429,'Customer-details'!$A$1:$C$1001,2,FALSE)</f>
        <v>Member</v>
      </c>
      <c r="M429" s="31" t="str">
        <f>VLOOKUP(A429,'Customer-details'!$A$1:$C$1001,3,FALSE)</f>
        <v>Female</v>
      </c>
      <c r="N429" s="31" t="str">
        <f>VLOOKUP(A429,'Product-details'!$A$1:$B$1001,2,FALSE)</f>
        <v>Food and beverages</v>
      </c>
      <c r="O429" s="31" t="str">
        <f>VLOOKUP(A429,'City-details'!$A$1:$C$1001,3,FALSE)</f>
        <v>Mandalay</v>
      </c>
      <c r="P429" s="31" t="str">
        <f>VLOOKUP(A429,'City-details'!$A$1:$C$1001,2,FALSE)</f>
        <v>B</v>
      </c>
      <c r="Q429" s="31" t="str">
        <f t="shared" si="18"/>
        <v>Mar</v>
      </c>
      <c r="R429" s="34" t="str">
        <f t="shared" si="19"/>
        <v>Wed</v>
      </c>
      <c r="S429">
        <f t="shared" si="20"/>
        <v>8</v>
      </c>
      <c r="T429" t="str" cm="1">
        <f t="array" ref="T429">_xlfn.IFS(S429&lt;=12,"Morning",S429&lt;=16,"Afternoon",S429&lt;=21,"Evening",S429&lt;=24,"Night")</f>
        <v>Morning</v>
      </c>
    </row>
    <row r="430" spans="1:20" x14ac:dyDescent="0.25">
      <c r="A430" s="23" t="s">
        <v>464</v>
      </c>
      <c r="B430" s="19">
        <v>67.27</v>
      </c>
      <c r="C430" s="20">
        <v>5</v>
      </c>
      <c r="D430" s="19">
        <v>16.817499999999999</v>
      </c>
      <c r="E430" s="19">
        <v>353.16750000000002</v>
      </c>
      <c r="F430" s="21">
        <v>43523</v>
      </c>
      <c r="G430" s="22">
        <v>18.380555555555599</v>
      </c>
      <c r="H430" s="23" t="s">
        <v>29</v>
      </c>
      <c r="I430" s="19">
        <v>336.35</v>
      </c>
      <c r="J430" s="24">
        <v>4.7619047620000003</v>
      </c>
      <c r="K430" s="25">
        <v>6.9</v>
      </c>
      <c r="L430" s="23" t="str">
        <f>VLOOKUP(A430,'Customer-details'!$A$1:$C$1001,2,FALSE)</f>
        <v>Normal</v>
      </c>
      <c r="M430" s="23" t="str">
        <f>VLOOKUP(A430,'Customer-details'!$A$1:$C$1001,3,FALSE)</f>
        <v>Male</v>
      </c>
      <c r="N430" s="23" t="str">
        <f>VLOOKUP(A430,'Product-details'!$A$1:$B$1001,2,FALSE)</f>
        <v>Sports and travel</v>
      </c>
      <c r="O430" s="23" t="str">
        <f>VLOOKUP(A430,'City-details'!$A$1:$C$1001,3,FALSE)</f>
        <v>Mandalay</v>
      </c>
      <c r="P430" s="23" t="str">
        <f>VLOOKUP(A430,'City-details'!$A$1:$C$1001,2,FALSE)</f>
        <v>B</v>
      </c>
      <c r="Q430" s="23" t="str">
        <f t="shared" si="18"/>
        <v>Feb</v>
      </c>
      <c r="R430" s="26" t="str">
        <f t="shared" si="19"/>
        <v>Wed</v>
      </c>
      <c r="S430">
        <f t="shared" si="20"/>
        <v>9</v>
      </c>
      <c r="T430" t="str" cm="1">
        <f t="array" ref="T430">_xlfn.IFS(S430&lt;=12,"Morning",S430&lt;=16,"Afternoon",S430&lt;=21,"Evening",S430&lt;=24,"Night")</f>
        <v>Morning</v>
      </c>
    </row>
    <row r="431" spans="1:20" x14ac:dyDescent="0.25">
      <c r="A431" s="31" t="s">
        <v>465</v>
      </c>
      <c r="B431" s="27">
        <v>90.65</v>
      </c>
      <c r="C431" s="28">
        <v>10</v>
      </c>
      <c r="D431" s="27">
        <v>45.325000000000003</v>
      </c>
      <c r="E431" s="27">
        <v>951.82500000000005</v>
      </c>
      <c r="F431" s="29">
        <v>43532</v>
      </c>
      <c r="G431" s="30">
        <v>18.422222222222199</v>
      </c>
      <c r="H431" s="31" t="s">
        <v>23</v>
      </c>
      <c r="I431" s="27">
        <v>906.5</v>
      </c>
      <c r="J431" s="32">
        <v>4.7619047620000003</v>
      </c>
      <c r="K431" s="33">
        <v>7.3</v>
      </c>
      <c r="L431" s="31" t="str">
        <f>VLOOKUP(A431,'Customer-details'!$A$1:$C$1001,2,FALSE)</f>
        <v>Member</v>
      </c>
      <c r="M431" s="31" t="str">
        <f>VLOOKUP(A431,'Customer-details'!$A$1:$C$1001,3,FALSE)</f>
        <v>Female</v>
      </c>
      <c r="N431" s="31" t="str">
        <f>VLOOKUP(A431,'Product-details'!$A$1:$B$1001,2,FALSE)</f>
        <v>Home and lifestyle</v>
      </c>
      <c r="O431" s="31" t="str">
        <f>VLOOKUP(A431,'City-details'!$A$1:$C$1001,3,FALSE)</f>
        <v>Yangon</v>
      </c>
      <c r="P431" s="31" t="str">
        <f>VLOOKUP(A431,'City-details'!$A$1:$C$1001,2,FALSE)</f>
        <v>A</v>
      </c>
      <c r="Q431" s="31" t="str">
        <f t="shared" si="18"/>
        <v>Mar</v>
      </c>
      <c r="R431" s="34" t="str">
        <f t="shared" si="19"/>
        <v>Fri</v>
      </c>
      <c r="S431">
        <f t="shared" si="20"/>
        <v>10</v>
      </c>
      <c r="T431" t="str" cm="1">
        <f t="array" ref="T431">_xlfn.IFS(S431&lt;=12,"Morning",S431&lt;=16,"Afternoon",S431&lt;=21,"Evening",S431&lt;=24,"Night")</f>
        <v>Morning</v>
      </c>
    </row>
    <row r="432" spans="1:20" x14ac:dyDescent="0.25">
      <c r="A432" s="23" t="s">
        <v>466</v>
      </c>
      <c r="B432" s="19">
        <v>69.08</v>
      </c>
      <c r="C432" s="20">
        <v>2</v>
      </c>
      <c r="D432" s="19">
        <v>6.9080000000000004</v>
      </c>
      <c r="E432" s="19">
        <v>145.06800000000001</v>
      </c>
      <c r="F432" s="21">
        <v>43496</v>
      </c>
      <c r="G432" s="22">
        <v>18.463888888888899</v>
      </c>
      <c r="H432" s="23" t="s">
        <v>33</v>
      </c>
      <c r="I432" s="19">
        <v>138.16</v>
      </c>
      <c r="J432" s="24">
        <v>4.7619047620000003</v>
      </c>
      <c r="K432" s="25">
        <v>6.9</v>
      </c>
      <c r="L432" s="23" t="str">
        <f>VLOOKUP(A432,'Customer-details'!$A$1:$C$1001,2,FALSE)</f>
        <v>Normal</v>
      </c>
      <c r="M432" s="23" t="str">
        <f>VLOOKUP(A432,'Customer-details'!$A$1:$C$1001,3,FALSE)</f>
        <v>Male</v>
      </c>
      <c r="N432" s="23" t="str">
        <f>VLOOKUP(A432,'Product-details'!$A$1:$B$1001,2,FALSE)</f>
        <v>Fashion accessories</v>
      </c>
      <c r="O432" s="23" t="str">
        <f>VLOOKUP(A432,'City-details'!$A$1:$C$1001,3,FALSE)</f>
        <v>Mandalay</v>
      </c>
      <c r="P432" s="23" t="str">
        <f>VLOOKUP(A432,'City-details'!$A$1:$C$1001,2,FALSE)</f>
        <v>B</v>
      </c>
      <c r="Q432" s="23" t="str">
        <f t="shared" si="18"/>
        <v>Jan</v>
      </c>
      <c r="R432" s="26" t="str">
        <f t="shared" si="19"/>
        <v>Thu</v>
      </c>
      <c r="S432">
        <f t="shared" si="20"/>
        <v>11</v>
      </c>
      <c r="T432" t="str" cm="1">
        <f t="array" ref="T432">_xlfn.IFS(S432&lt;=12,"Morning",S432&lt;=16,"Afternoon",S432&lt;=21,"Evening",S432&lt;=24,"Night")</f>
        <v>Morning</v>
      </c>
    </row>
    <row r="433" spans="1:20" x14ac:dyDescent="0.25">
      <c r="A433" s="31" t="s">
        <v>467</v>
      </c>
      <c r="B433" s="27">
        <v>43.27</v>
      </c>
      <c r="C433" s="28">
        <v>2</v>
      </c>
      <c r="D433" s="27">
        <v>4.327</v>
      </c>
      <c r="E433" s="27">
        <v>90.867000000000004</v>
      </c>
      <c r="F433" s="29">
        <v>43532</v>
      </c>
      <c r="G433" s="30">
        <v>18.505555555555599</v>
      </c>
      <c r="H433" s="31" t="s">
        <v>23</v>
      </c>
      <c r="I433" s="27">
        <v>86.54</v>
      </c>
      <c r="J433" s="32">
        <v>4.7619047620000003</v>
      </c>
      <c r="K433" s="33">
        <v>5.7</v>
      </c>
      <c r="L433" s="31" t="str">
        <f>VLOOKUP(A433,'Customer-details'!$A$1:$C$1001,2,FALSE)</f>
        <v>Normal</v>
      </c>
      <c r="M433" s="31" t="str">
        <f>VLOOKUP(A433,'Customer-details'!$A$1:$C$1001,3,FALSE)</f>
        <v>Male</v>
      </c>
      <c r="N433" s="31" t="str">
        <f>VLOOKUP(A433,'Product-details'!$A$1:$B$1001,2,FALSE)</f>
        <v>Food and beverages</v>
      </c>
      <c r="O433" s="31" t="str">
        <f>VLOOKUP(A433,'City-details'!$A$1:$C$1001,3,FALSE)</f>
        <v>Naypyitaw</v>
      </c>
      <c r="P433" s="31" t="str">
        <f>VLOOKUP(A433,'City-details'!$A$1:$C$1001,2,FALSE)</f>
        <v>C</v>
      </c>
      <c r="Q433" s="31" t="str">
        <f t="shared" si="18"/>
        <v>Mar</v>
      </c>
      <c r="R433" s="34" t="str">
        <f t="shared" si="19"/>
        <v>Fri</v>
      </c>
      <c r="S433">
        <f t="shared" si="20"/>
        <v>12</v>
      </c>
      <c r="T433" t="str" cm="1">
        <f t="array" ref="T433">_xlfn.IFS(S433&lt;=12,"Morning",S433&lt;=16,"Afternoon",S433&lt;=21,"Evening",S433&lt;=24,"Night")</f>
        <v>Morning</v>
      </c>
    </row>
    <row r="434" spans="1:20" x14ac:dyDescent="0.25">
      <c r="A434" s="23" t="s">
        <v>468</v>
      </c>
      <c r="B434" s="19">
        <v>23.46</v>
      </c>
      <c r="C434" s="20">
        <v>6</v>
      </c>
      <c r="D434" s="19">
        <v>7.0380000000000003</v>
      </c>
      <c r="E434" s="19">
        <v>147.798</v>
      </c>
      <c r="F434" s="21">
        <v>43478</v>
      </c>
      <c r="G434" s="22">
        <v>18.547222222222199</v>
      </c>
      <c r="H434" s="23" t="s">
        <v>23</v>
      </c>
      <c r="I434" s="19">
        <v>140.76</v>
      </c>
      <c r="J434" s="24">
        <v>4.7619047620000003</v>
      </c>
      <c r="K434" s="25">
        <v>6.4</v>
      </c>
      <c r="L434" s="23" t="str">
        <f>VLOOKUP(A434,'Customer-details'!$A$1:$C$1001,2,FALSE)</f>
        <v>Normal</v>
      </c>
      <c r="M434" s="23" t="str">
        <f>VLOOKUP(A434,'Customer-details'!$A$1:$C$1001,3,FALSE)</f>
        <v>Female</v>
      </c>
      <c r="N434" s="23" t="str">
        <f>VLOOKUP(A434,'Product-details'!$A$1:$B$1001,2,FALSE)</f>
        <v>Electronic accessories</v>
      </c>
      <c r="O434" s="23" t="str">
        <f>VLOOKUP(A434,'City-details'!$A$1:$C$1001,3,FALSE)</f>
        <v>Yangon</v>
      </c>
      <c r="P434" s="23" t="str">
        <f>VLOOKUP(A434,'City-details'!$A$1:$C$1001,2,FALSE)</f>
        <v>A</v>
      </c>
      <c r="Q434" s="23" t="str">
        <f t="shared" si="18"/>
        <v>Jan</v>
      </c>
      <c r="R434" s="26" t="str">
        <f t="shared" si="19"/>
        <v>Sun</v>
      </c>
      <c r="S434">
        <f t="shared" si="20"/>
        <v>13</v>
      </c>
      <c r="T434" t="str" cm="1">
        <f t="array" ref="T434">_xlfn.IFS(S434&lt;=12,"Morning",S434&lt;=16,"Afternoon",S434&lt;=21,"Evening",S434&lt;=24,"Night")</f>
        <v>Afternoon</v>
      </c>
    </row>
    <row r="435" spans="1:20" x14ac:dyDescent="0.25">
      <c r="A435" s="31" t="s">
        <v>469</v>
      </c>
      <c r="B435" s="27">
        <v>95.54</v>
      </c>
      <c r="C435" s="28">
        <v>7</v>
      </c>
      <c r="D435" s="27">
        <v>33.439</v>
      </c>
      <c r="E435" s="27">
        <v>702.21900000000005</v>
      </c>
      <c r="F435" s="29">
        <v>43533</v>
      </c>
      <c r="G435" s="30">
        <v>18.588888888888899</v>
      </c>
      <c r="H435" s="31" t="s">
        <v>33</v>
      </c>
      <c r="I435" s="27">
        <v>668.78</v>
      </c>
      <c r="J435" s="32">
        <v>4.7619047620000003</v>
      </c>
      <c r="K435" s="33">
        <v>9.6</v>
      </c>
      <c r="L435" s="31" t="str">
        <f>VLOOKUP(A435,'Customer-details'!$A$1:$C$1001,2,FALSE)</f>
        <v>Normal</v>
      </c>
      <c r="M435" s="31" t="str">
        <f>VLOOKUP(A435,'Customer-details'!$A$1:$C$1001,3,FALSE)</f>
        <v>Male</v>
      </c>
      <c r="N435" s="31" t="str">
        <f>VLOOKUP(A435,'Product-details'!$A$1:$B$1001,2,FALSE)</f>
        <v>Fashion accessories</v>
      </c>
      <c r="O435" s="31" t="str">
        <f>VLOOKUP(A435,'City-details'!$A$1:$C$1001,3,FALSE)</f>
        <v>Mandalay</v>
      </c>
      <c r="P435" s="31" t="str">
        <f>VLOOKUP(A435,'City-details'!$A$1:$C$1001,2,FALSE)</f>
        <v>B</v>
      </c>
      <c r="Q435" s="31" t="str">
        <f t="shared" si="18"/>
        <v>Mar</v>
      </c>
      <c r="R435" s="34" t="str">
        <f t="shared" si="19"/>
        <v>Sat</v>
      </c>
      <c r="S435">
        <f t="shared" si="20"/>
        <v>14</v>
      </c>
      <c r="T435" t="str" cm="1">
        <f t="array" ref="T435">_xlfn.IFS(S435&lt;=12,"Morning",S435&lt;=16,"Afternoon",S435&lt;=21,"Evening",S435&lt;=24,"Night")</f>
        <v>Afternoon</v>
      </c>
    </row>
    <row r="436" spans="1:20" x14ac:dyDescent="0.25">
      <c r="A436" s="23" t="s">
        <v>470</v>
      </c>
      <c r="B436" s="19">
        <v>47.44</v>
      </c>
      <c r="C436" s="20">
        <v>1</v>
      </c>
      <c r="D436" s="19">
        <v>2.3719999999999999</v>
      </c>
      <c r="E436" s="19">
        <v>49.811999999999998</v>
      </c>
      <c r="F436" s="21">
        <v>43518</v>
      </c>
      <c r="G436" s="22">
        <v>18.630555555555599</v>
      </c>
      <c r="H436" s="23" t="s">
        <v>33</v>
      </c>
      <c r="I436" s="19">
        <v>47.44</v>
      </c>
      <c r="J436" s="24">
        <v>4.7619047620000003</v>
      </c>
      <c r="K436" s="25">
        <v>6.8</v>
      </c>
      <c r="L436" s="23" t="str">
        <f>VLOOKUP(A436,'Customer-details'!$A$1:$C$1001,2,FALSE)</f>
        <v>Normal</v>
      </c>
      <c r="M436" s="23" t="str">
        <f>VLOOKUP(A436,'Customer-details'!$A$1:$C$1001,3,FALSE)</f>
        <v>Female</v>
      </c>
      <c r="N436" s="23" t="str">
        <f>VLOOKUP(A436,'Product-details'!$A$1:$B$1001,2,FALSE)</f>
        <v>Fashion accessories</v>
      </c>
      <c r="O436" s="23" t="str">
        <f>VLOOKUP(A436,'City-details'!$A$1:$C$1001,3,FALSE)</f>
        <v>Mandalay</v>
      </c>
      <c r="P436" s="23" t="str">
        <f>VLOOKUP(A436,'City-details'!$A$1:$C$1001,2,FALSE)</f>
        <v>B</v>
      </c>
      <c r="Q436" s="23" t="str">
        <f t="shared" si="18"/>
        <v>Feb</v>
      </c>
      <c r="R436" s="26" t="str">
        <f t="shared" si="19"/>
        <v>Fri</v>
      </c>
      <c r="S436">
        <f t="shared" si="20"/>
        <v>15</v>
      </c>
      <c r="T436" t="str" cm="1">
        <f t="array" ref="T436">_xlfn.IFS(S436&lt;=12,"Morning",S436&lt;=16,"Afternoon",S436&lt;=21,"Evening",S436&lt;=24,"Night")</f>
        <v>Afternoon</v>
      </c>
    </row>
    <row r="437" spans="1:20" x14ac:dyDescent="0.25">
      <c r="A437" s="31" t="s">
        <v>471</v>
      </c>
      <c r="B437" s="27">
        <v>99.24</v>
      </c>
      <c r="C437" s="28">
        <v>9</v>
      </c>
      <c r="D437" s="27">
        <v>44.658000000000001</v>
      </c>
      <c r="E437" s="27">
        <v>937.81799999999998</v>
      </c>
      <c r="F437" s="29">
        <v>43543</v>
      </c>
      <c r="G437" s="30">
        <v>18.672222222222199</v>
      </c>
      <c r="H437" s="31" t="s">
        <v>23</v>
      </c>
      <c r="I437" s="27">
        <v>893.16</v>
      </c>
      <c r="J437" s="32">
        <v>4.7619047620000003</v>
      </c>
      <c r="K437" s="33">
        <v>9</v>
      </c>
      <c r="L437" s="31" t="str">
        <f>VLOOKUP(A437,'Customer-details'!$A$1:$C$1001,2,FALSE)</f>
        <v>Normal</v>
      </c>
      <c r="M437" s="31" t="str">
        <f>VLOOKUP(A437,'Customer-details'!$A$1:$C$1001,3,FALSE)</f>
        <v>Male</v>
      </c>
      <c r="N437" s="31" t="str">
        <f>VLOOKUP(A437,'Product-details'!$A$1:$B$1001,2,FALSE)</f>
        <v>Sports and travel</v>
      </c>
      <c r="O437" s="31" t="str">
        <f>VLOOKUP(A437,'City-details'!$A$1:$C$1001,3,FALSE)</f>
        <v>Naypyitaw</v>
      </c>
      <c r="P437" s="31" t="str">
        <f>VLOOKUP(A437,'City-details'!$A$1:$C$1001,2,FALSE)</f>
        <v>C</v>
      </c>
      <c r="Q437" s="31" t="str">
        <f t="shared" si="18"/>
        <v>Mar</v>
      </c>
      <c r="R437" s="34" t="str">
        <f t="shared" si="19"/>
        <v>Tue</v>
      </c>
      <c r="S437">
        <f t="shared" si="20"/>
        <v>16</v>
      </c>
      <c r="T437" t="str" cm="1">
        <f t="array" ref="T437">_xlfn.IFS(S437&lt;=12,"Morning",S437&lt;=16,"Afternoon",S437&lt;=21,"Evening",S437&lt;=24,"Night")</f>
        <v>Afternoon</v>
      </c>
    </row>
    <row r="438" spans="1:20" x14ac:dyDescent="0.25">
      <c r="A438" s="23" t="s">
        <v>472</v>
      </c>
      <c r="B438" s="19">
        <v>82.93</v>
      </c>
      <c r="C438" s="20">
        <v>4</v>
      </c>
      <c r="D438" s="19">
        <v>16.585999999999999</v>
      </c>
      <c r="E438" s="19">
        <v>348.30599999999998</v>
      </c>
      <c r="F438" s="21">
        <v>43485</v>
      </c>
      <c r="G438" s="22">
        <v>18.713888888888899</v>
      </c>
      <c r="H438" s="23" t="s">
        <v>23</v>
      </c>
      <c r="I438" s="19">
        <v>331.72</v>
      </c>
      <c r="J438" s="24">
        <v>4.7619047620000003</v>
      </c>
      <c r="K438" s="25">
        <v>9.6</v>
      </c>
      <c r="L438" s="23" t="str">
        <f>VLOOKUP(A438,'Customer-details'!$A$1:$C$1001,2,FALSE)</f>
        <v>Member</v>
      </c>
      <c r="M438" s="23" t="str">
        <f>VLOOKUP(A438,'Customer-details'!$A$1:$C$1001,3,FALSE)</f>
        <v>Male</v>
      </c>
      <c r="N438" s="23" t="str">
        <f>VLOOKUP(A438,'Product-details'!$A$1:$B$1001,2,FALSE)</f>
        <v>Sports and travel</v>
      </c>
      <c r="O438" s="23" t="str">
        <f>VLOOKUP(A438,'City-details'!$A$1:$C$1001,3,FALSE)</f>
        <v>Naypyitaw</v>
      </c>
      <c r="P438" s="23" t="str">
        <f>VLOOKUP(A438,'City-details'!$A$1:$C$1001,2,FALSE)</f>
        <v>C</v>
      </c>
      <c r="Q438" s="23" t="str">
        <f t="shared" si="18"/>
        <v>Jan</v>
      </c>
      <c r="R438" s="26" t="str">
        <f t="shared" si="19"/>
        <v>Sun</v>
      </c>
      <c r="S438">
        <f t="shared" si="20"/>
        <v>17</v>
      </c>
      <c r="T438" t="str" cm="1">
        <f t="array" ref="T438">_xlfn.IFS(S438&lt;=12,"Morning",S438&lt;=16,"Afternoon",S438&lt;=21,"Evening",S438&lt;=24,"Night")</f>
        <v>Evening</v>
      </c>
    </row>
    <row r="439" spans="1:20" x14ac:dyDescent="0.25">
      <c r="A439" s="31" t="s">
        <v>473</v>
      </c>
      <c r="B439" s="27">
        <v>33.99</v>
      </c>
      <c r="C439" s="28">
        <v>6</v>
      </c>
      <c r="D439" s="27">
        <v>10.196999999999999</v>
      </c>
      <c r="E439" s="27">
        <v>214.137</v>
      </c>
      <c r="F439" s="29">
        <v>43532</v>
      </c>
      <c r="G439" s="30">
        <v>18.755555555555599</v>
      </c>
      <c r="H439" s="31" t="s">
        <v>33</v>
      </c>
      <c r="I439" s="27">
        <v>203.94</v>
      </c>
      <c r="J439" s="32">
        <v>4.7619047620000003</v>
      </c>
      <c r="K439" s="33">
        <v>7.7</v>
      </c>
      <c r="L439" s="31" t="str">
        <f>VLOOKUP(A439,'Customer-details'!$A$1:$C$1001,2,FALSE)</f>
        <v>Normal</v>
      </c>
      <c r="M439" s="31" t="str">
        <f>VLOOKUP(A439,'Customer-details'!$A$1:$C$1001,3,FALSE)</f>
        <v>Male</v>
      </c>
      <c r="N439" s="31" t="str">
        <f>VLOOKUP(A439,'Product-details'!$A$1:$B$1001,2,FALSE)</f>
        <v>Home and lifestyle</v>
      </c>
      <c r="O439" s="31" t="str">
        <f>VLOOKUP(A439,'City-details'!$A$1:$C$1001,3,FALSE)</f>
        <v>Yangon</v>
      </c>
      <c r="P439" s="31" t="str">
        <f>VLOOKUP(A439,'City-details'!$A$1:$C$1001,2,FALSE)</f>
        <v>A</v>
      </c>
      <c r="Q439" s="31" t="str">
        <f t="shared" si="18"/>
        <v>Mar</v>
      </c>
      <c r="R439" s="34" t="str">
        <f t="shared" si="19"/>
        <v>Fri</v>
      </c>
      <c r="S439">
        <f t="shared" si="20"/>
        <v>18</v>
      </c>
      <c r="T439" t="str" cm="1">
        <f t="array" ref="T439">_xlfn.IFS(S439&lt;=12,"Morning",S439&lt;=16,"Afternoon",S439&lt;=21,"Evening",S439&lt;=24,"Night")</f>
        <v>Evening</v>
      </c>
    </row>
    <row r="440" spans="1:20" x14ac:dyDescent="0.25">
      <c r="A440" s="23" t="s">
        <v>474</v>
      </c>
      <c r="B440" s="19">
        <v>17.04</v>
      </c>
      <c r="C440" s="20">
        <v>4</v>
      </c>
      <c r="D440" s="19">
        <v>3.4079999999999999</v>
      </c>
      <c r="E440" s="19">
        <v>71.567999999999998</v>
      </c>
      <c r="F440" s="21">
        <v>43532</v>
      </c>
      <c r="G440" s="22">
        <v>18.797222222222199</v>
      </c>
      <c r="H440" s="23" t="s">
        <v>23</v>
      </c>
      <c r="I440" s="19">
        <v>68.16</v>
      </c>
      <c r="J440" s="24">
        <v>4.7619047620000003</v>
      </c>
      <c r="K440" s="25">
        <v>7</v>
      </c>
      <c r="L440" s="23" t="str">
        <f>VLOOKUP(A440,'Customer-details'!$A$1:$C$1001,2,FALSE)</f>
        <v>Member</v>
      </c>
      <c r="M440" s="23" t="str">
        <f>VLOOKUP(A440,'Customer-details'!$A$1:$C$1001,3,FALSE)</f>
        <v>Male</v>
      </c>
      <c r="N440" s="23" t="str">
        <f>VLOOKUP(A440,'Product-details'!$A$1:$B$1001,2,FALSE)</f>
        <v>Food and beverages</v>
      </c>
      <c r="O440" s="23" t="str">
        <f>VLOOKUP(A440,'City-details'!$A$1:$C$1001,3,FALSE)</f>
        <v>Naypyitaw</v>
      </c>
      <c r="P440" s="23" t="str">
        <f>VLOOKUP(A440,'City-details'!$A$1:$C$1001,2,FALSE)</f>
        <v>C</v>
      </c>
      <c r="Q440" s="23" t="str">
        <f t="shared" si="18"/>
        <v>Mar</v>
      </c>
      <c r="R440" s="26" t="str">
        <f t="shared" si="19"/>
        <v>Fri</v>
      </c>
      <c r="S440">
        <f t="shared" si="20"/>
        <v>19</v>
      </c>
      <c r="T440" t="str" cm="1">
        <f t="array" ref="T440">_xlfn.IFS(S440&lt;=12,"Morning",S440&lt;=16,"Afternoon",S440&lt;=21,"Evening",S440&lt;=24,"Night")</f>
        <v>Evening</v>
      </c>
    </row>
    <row r="441" spans="1:20" x14ac:dyDescent="0.25">
      <c r="A441" s="31" t="s">
        <v>475</v>
      </c>
      <c r="B441" s="27">
        <v>40.86</v>
      </c>
      <c r="C441" s="28">
        <v>8</v>
      </c>
      <c r="D441" s="27">
        <v>16.344000000000001</v>
      </c>
      <c r="E441" s="27">
        <v>343.22399999999999</v>
      </c>
      <c r="F441" s="29">
        <v>43503</v>
      </c>
      <c r="G441" s="30">
        <v>18.838888888888899</v>
      </c>
      <c r="H441" s="31" t="s">
        <v>33</v>
      </c>
      <c r="I441" s="27">
        <v>326.88</v>
      </c>
      <c r="J441" s="32">
        <v>4.7619047620000003</v>
      </c>
      <c r="K441" s="33">
        <v>6.5</v>
      </c>
      <c r="L441" s="31" t="str">
        <f>VLOOKUP(A441,'Customer-details'!$A$1:$C$1001,2,FALSE)</f>
        <v>Normal</v>
      </c>
      <c r="M441" s="31" t="str">
        <f>VLOOKUP(A441,'Customer-details'!$A$1:$C$1001,3,FALSE)</f>
        <v>Female</v>
      </c>
      <c r="N441" s="31" t="str">
        <f>VLOOKUP(A441,'Product-details'!$A$1:$B$1001,2,FALSE)</f>
        <v>Electronic accessories</v>
      </c>
      <c r="O441" s="31" t="str">
        <f>VLOOKUP(A441,'City-details'!$A$1:$C$1001,3,FALSE)</f>
        <v>Naypyitaw</v>
      </c>
      <c r="P441" s="31" t="str">
        <f>VLOOKUP(A441,'City-details'!$A$1:$C$1001,2,FALSE)</f>
        <v>C</v>
      </c>
      <c r="Q441" s="31" t="str">
        <f t="shared" si="18"/>
        <v>Feb</v>
      </c>
      <c r="R441" s="34" t="str">
        <f t="shared" si="19"/>
        <v>Thu</v>
      </c>
      <c r="S441">
        <f t="shared" si="20"/>
        <v>20</v>
      </c>
      <c r="T441" t="str" cm="1">
        <f t="array" ref="T441">_xlfn.IFS(S441&lt;=12,"Morning",S441&lt;=16,"Afternoon",S441&lt;=21,"Evening",S441&lt;=24,"Night")</f>
        <v>Evening</v>
      </c>
    </row>
    <row r="442" spans="1:20" x14ac:dyDescent="0.25">
      <c r="A442" s="23" t="s">
        <v>476</v>
      </c>
      <c r="B442" s="19">
        <v>17.440000000000001</v>
      </c>
      <c r="C442" s="20">
        <v>5</v>
      </c>
      <c r="D442" s="19">
        <v>4.3600000000000003</v>
      </c>
      <c r="E442" s="19">
        <v>91.56</v>
      </c>
      <c r="F442" s="21">
        <v>43480</v>
      </c>
      <c r="G442" s="22">
        <v>18.880555555555599</v>
      </c>
      <c r="H442" s="23" t="s">
        <v>29</v>
      </c>
      <c r="I442" s="19">
        <v>87.2</v>
      </c>
      <c r="J442" s="24">
        <v>4.7619047620000003</v>
      </c>
      <c r="K442" s="25">
        <v>8.1</v>
      </c>
      <c r="L442" s="23" t="str">
        <f>VLOOKUP(A442,'Customer-details'!$A$1:$C$1001,2,FALSE)</f>
        <v>Member</v>
      </c>
      <c r="M442" s="23" t="str">
        <f>VLOOKUP(A442,'Customer-details'!$A$1:$C$1001,3,FALSE)</f>
        <v>Male</v>
      </c>
      <c r="N442" s="23" t="str">
        <f>VLOOKUP(A442,'Product-details'!$A$1:$B$1001,2,FALSE)</f>
        <v>Food and beverages</v>
      </c>
      <c r="O442" s="23" t="str">
        <f>VLOOKUP(A442,'City-details'!$A$1:$C$1001,3,FALSE)</f>
        <v>Naypyitaw</v>
      </c>
      <c r="P442" s="23" t="str">
        <f>VLOOKUP(A442,'City-details'!$A$1:$C$1001,2,FALSE)</f>
        <v>C</v>
      </c>
      <c r="Q442" s="23" t="str">
        <f t="shared" si="18"/>
        <v>Jan</v>
      </c>
      <c r="R442" s="26" t="str">
        <f t="shared" si="19"/>
        <v>Tue</v>
      </c>
      <c r="S442">
        <f t="shared" si="20"/>
        <v>21</v>
      </c>
      <c r="T442" t="str" cm="1">
        <f t="array" ref="T442">_xlfn.IFS(S442&lt;=12,"Morning",S442&lt;=16,"Afternoon",S442&lt;=21,"Evening",S442&lt;=24,"Night")</f>
        <v>Evening</v>
      </c>
    </row>
    <row r="443" spans="1:20" x14ac:dyDescent="0.25">
      <c r="A443" s="31" t="s">
        <v>477</v>
      </c>
      <c r="B443" s="27">
        <v>88.43</v>
      </c>
      <c r="C443" s="28">
        <v>8</v>
      </c>
      <c r="D443" s="27">
        <v>35.372</v>
      </c>
      <c r="E443" s="27">
        <v>742.81200000000001</v>
      </c>
      <c r="F443" s="29">
        <v>43546</v>
      </c>
      <c r="G443" s="30">
        <v>18.922222222222199</v>
      </c>
      <c r="H443" s="31" t="s">
        <v>33</v>
      </c>
      <c r="I443" s="27">
        <v>707.44</v>
      </c>
      <c r="J443" s="32">
        <v>4.7619047620000003</v>
      </c>
      <c r="K443" s="33">
        <v>4.3</v>
      </c>
      <c r="L443" s="31" t="str">
        <f>VLOOKUP(A443,'Customer-details'!$A$1:$C$1001,2,FALSE)</f>
        <v>Member</v>
      </c>
      <c r="M443" s="31" t="str">
        <f>VLOOKUP(A443,'Customer-details'!$A$1:$C$1001,3,FALSE)</f>
        <v>Female</v>
      </c>
      <c r="N443" s="31" t="str">
        <f>VLOOKUP(A443,'Product-details'!$A$1:$B$1001,2,FALSE)</f>
        <v>Sports and travel</v>
      </c>
      <c r="O443" s="31" t="str">
        <f>VLOOKUP(A443,'City-details'!$A$1:$C$1001,3,FALSE)</f>
        <v>Mandalay</v>
      </c>
      <c r="P443" s="31" t="str">
        <f>VLOOKUP(A443,'City-details'!$A$1:$C$1001,2,FALSE)</f>
        <v>B</v>
      </c>
      <c r="Q443" s="31" t="str">
        <f t="shared" si="18"/>
        <v>Mar</v>
      </c>
      <c r="R443" s="34" t="str">
        <f t="shared" si="19"/>
        <v>Fri</v>
      </c>
      <c r="S443">
        <f t="shared" si="20"/>
        <v>22</v>
      </c>
      <c r="T443" t="str" cm="1">
        <f t="array" ref="T443">_xlfn.IFS(S443&lt;=12,"Morning",S443&lt;=16,"Afternoon",S443&lt;=21,"Evening",S443&lt;=24,"Night")</f>
        <v>Night</v>
      </c>
    </row>
    <row r="444" spans="1:20" x14ac:dyDescent="0.25">
      <c r="A444" s="23" t="s">
        <v>478</v>
      </c>
      <c r="B444" s="19">
        <v>89.21</v>
      </c>
      <c r="C444" s="20">
        <v>9</v>
      </c>
      <c r="D444" s="19">
        <v>40.144500000000001</v>
      </c>
      <c r="E444" s="19">
        <v>843.03449999999998</v>
      </c>
      <c r="F444" s="21">
        <v>43480</v>
      </c>
      <c r="G444" s="22">
        <v>18.963888888888899</v>
      </c>
      <c r="H444" s="23" t="s">
        <v>33</v>
      </c>
      <c r="I444" s="19">
        <v>802.89</v>
      </c>
      <c r="J444" s="24">
        <v>4.7619047620000003</v>
      </c>
      <c r="K444" s="25">
        <v>6.5</v>
      </c>
      <c r="L444" s="23" t="str">
        <f>VLOOKUP(A444,'Customer-details'!$A$1:$C$1001,2,FALSE)</f>
        <v>Member</v>
      </c>
      <c r="M444" s="23" t="str">
        <f>VLOOKUP(A444,'Customer-details'!$A$1:$C$1001,3,FALSE)</f>
        <v>Female</v>
      </c>
      <c r="N444" s="23" t="str">
        <f>VLOOKUP(A444,'Product-details'!$A$1:$B$1001,2,FALSE)</f>
        <v>Home and lifestyle</v>
      </c>
      <c r="O444" s="23" t="str">
        <f>VLOOKUP(A444,'City-details'!$A$1:$C$1001,3,FALSE)</f>
        <v>Yangon</v>
      </c>
      <c r="P444" s="23" t="str">
        <f>VLOOKUP(A444,'City-details'!$A$1:$C$1001,2,FALSE)</f>
        <v>A</v>
      </c>
      <c r="Q444" s="23" t="str">
        <f t="shared" si="18"/>
        <v>Jan</v>
      </c>
      <c r="R444" s="26" t="str">
        <f t="shared" si="19"/>
        <v>Tue</v>
      </c>
      <c r="S444">
        <f t="shared" si="20"/>
        <v>23</v>
      </c>
      <c r="T444" t="str" cm="1">
        <f t="array" ref="T444">_xlfn.IFS(S444&lt;=12,"Morning",S444&lt;=16,"Afternoon",S444&lt;=21,"Evening",S444&lt;=24,"Night")</f>
        <v>Night</v>
      </c>
    </row>
    <row r="445" spans="1:20" x14ac:dyDescent="0.25">
      <c r="A445" s="31" t="s">
        <v>479</v>
      </c>
      <c r="B445" s="27">
        <v>12.78</v>
      </c>
      <c r="C445" s="28">
        <v>1</v>
      </c>
      <c r="D445" s="27">
        <v>0.63900000000000001</v>
      </c>
      <c r="E445" s="27">
        <v>13.419</v>
      </c>
      <c r="F445" s="29">
        <v>43473</v>
      </c>
      <c r="G445" s="30">
        <v>19.005555555555599</v>
      </c>
      <c r="H445" s="31" t="s">
        <v>23</v>
      </c>
      <c r="I445" s="27">
        <v>12.78</v>
      </c>
      <c r="J445" s="32">
        <v>4.7619047620000003</v>
      </c>
      <c r="K445" s="33">
        <v>9.5</v>
      </c>
      <c r="L445" s="31" t="str">
        <f>VLOOKUP(A445,'Customer-details'!$A$1:$C$1001,2,FALSE)</f>
        <v>Normal</v>
      </c>
      <c r="M445" s="31" t="str">
        <f>VLOOKUP(A445,'Customer-details'!$A$1:$C$1001,3,FALSE)</f>
        <v>Male</v>
      </c>
      <c r="N445" s="31" t="str">
        <f>VLOOKUP(A445,'Product-details'!$A$1:$B$1001,2,FALSE)</f>
        <v>Fashion accessories</v>
      </c>
      <c r="O445" s="31" t="str">
        <f>VLOOKUP(A445,'City-details'!$A$1:$C$1001,3,FALSE)</f>
        <v>Naypyitaw</v>
      </c>
      <c r="P445" s="31" t="str">
        <f>VLOOKUP(A445,'City-details'!$A$1:$C$1001,2,FALSE)</f>
        <v>C</v>
      </c>
      <c r="Q445" s="31" t="str">
        <f t="shared" si="18"/>
        <v>Jan</v>
      </c>
      <c r="R445" s="34" t="str">
        <f t="shared" si="19"/>
        <v>Tue</v>
      </c>
      <c r="S445">
        <f t="shared" si="20"/>
        <v>0</v>
      </c>
      <c r="T445" t="str" cm="1">
        <f t="array" ref="T445">_xlfn.IFS(S445&lt;=12,"Morning",S445&lt;=16,"Afternoon",S445&lt;=21,"Evening",S445&lt;=24,"Night")</f>
        <v>Morning</v>
      </c>
    </row>
    <row r="446" spans="1:20" x14ac:dyDescent="0.25">
      <c r="A446" s="23" t="s">
        <v>480</v>
      </c>
      <c r="B446" s="19">
        <v>19.100000000000001</v>
      </c>
      <c r="C446" s="20">
        <v>7</v>
      </c>
      <c r="D446" s="19">
        <v>6.6849999999999996</v>
      </c>
      <c r="E446" s="19">
        <v>140.38499999999999</v>
      </c>
      <c r="F446" s="21">
        <v>43480</v>
      </c>
      <c r="G446" s="22">
        <v>19.047222222222199</v>
      </c>
      <c r="H446" s="23" t="s">
        <v>29</v>
      </c>
      <c r="I446" s="19">
        <v>133.69999999999999</v>
      </c>
      <c r="J446" s="24">
        <v>4.7619047620000003</v>
      </c>
      <c r="K446" s="25">
        <v>9.6999999999999993</v>
      </c>
      <c r="L446" s="23" t="str">
        <f>VLOOKUP(A446,'Customer-details'!$A$1:$C$1001,2,FALSE)</f>
        <v>Normal</v>
      </c>
      <c r="M446" s="23" t="str">
        <f>VLOOKUP(A446,'Customer-details'!$A$1:$C$1001,3,FALSE)</f>
        <v>Female</v>
      </c>
      <c r="N446" s="23" t="str">
        <f>VLOOKUP(A446,'Product-details'!$A$1:$B$1001,2,FALSE)</f>
        <v>Sports and travel</v>
      </c>
      <c r="O446" s="23" t="str">
        <f>VLOOKUP(A446,'City-details'!$A$1:$C$1001,3,FALSE)</f>
        <v>Yangon</v>
      </c>
      <c r="P446" s="23" t="str">
        <f>VLOOKUP(A446,'City-details'!$A$1:$C$1001,2,FALSE)</f>
        <v>A</v>
      </c>
      <c r="Q446" s="23" t="str">
        <f t="shared" si="18"/>
        <v>Jan</v>
      </c>
      <c r="R446" s="26" t="str">
        <f t="shared" si="19"/>
        <v>Tue</v>
      </c>
      <c r="S446">
        <f t="shared" si="20"/>
        <v>1</v>
      </c>
      <c r="T446" t="str" cm="1">
        <f t="array" ref="T446">_xlfn.IFS(S446&lt;=12,"Morning",S446&lt;=16,"Afternoon",S446&lt;=21,"Evening",S446&lt;=24,"Night")</f>
        <v>Morning</v>
      </c>
    </row>
    <row r="447" spans="1:20" x14ac:dyDescent="0.25">
      <c r="A447" s="31" t="s">
        <v>481</v>
      </c>
      <c r="B447" s="27">
        <v>19.149999999999999</v>
      </c>
      <c r="C447" s="28">
        <v>1</v>
      </c>
      <c r="D447" s="27">
        <v>0.95750000000000002</v>
      </c>
      <c r="E447" s="27">
        <v>20.107500000000002</v>
      </c>
      <c r="F447" s="29">
        <v>43493</v>
      </c>
      <c r="G447" s="30">
        <v>19.088888888888899</v>
      </c>
      <c r="H447" s="31" t="s">
        <v>33</v>
      </c>
      <c r="I447" s="27">
        <v>19.149999999999999</v>
      </c>
      <c r="J447" s="32">
        <v>4.7619047620000003</v>
      </c>
      <c r="K447" s="33">
        <v>9.5</v>
      </c>
      <c r="L447" s="31" t="str">
        <f>VLOOKUP(A447,'Customer-details'!$A$1:$C$1001,2,FALSE)</f>
        <v>Member</v>
      </c>
      <c r="M447" s="31" t="str">
        <f>VLOOKUP(A447,'Customer-details'!$A$1:$C$1001,3,FALSE)</f>
        <v>Female</v>
      </c>
      <c r="N447" s="31" t="str">
        <f>VLOOKUP(A447,'Product-details'!$A$1:$B$1001,2,FALSE)</f>
        <v>Health and beauty</v>
      </c>
      <c r="O447" s="31" t="str">
        <f>VLOOKUP(A447,'City-details'!$A$1:$C$1001,3,FALSE)</f>
        <v>Mandalay</v>
      </c>
      <c r="P447" s="31" t="str">
        <f>VLOOKUP(A447,'City-details'!$A$1:$C$1001,2,FALSE)</f>
        <v>B</v>
      </c>
      <c r="Q447" s="31" t="str">
        <f t="shared" si="18"/>
        <v>Jan</v>
      </c>
      <c r="R447" s="34" t="str">
        <f t="shared" si="19"/>
        <v>Mon</v>
      </c>
      <c r="S447">
        <f t="shared" si="20"/>
        <v>2</v>
      </c>
      <c r="T447" t="str" cm="1">
        <f t="array" ref="T447">_xlfn.IFS(S447&lt;=12,"Morning",S447&lt;=16,"Afternoon",S447&lt;=21,"Evening",S447&lt;=24,"Night")</f>
        <v>Morning</v>
      </c>
    </row>
    <row r="448" spans="1:20" x14ac:dyDescent="0.25">
      <c r="A448" s="23" t="s">
        <v>482</v>
      </c>
      <c r="B448" s="19">
        <v>27.66</v>
      </c>
      <c r="C448" s="20">
        <v>10</v>
      </c>
      <c r="D448" s="19">
        <v>13.83</v>
      </c>
      <c r="E448" s="19">
        <v>290.43</v>
      </c>
      <c r="F448" s="21">
        <v>43510</v>
      </c>
      <c r="G448" s="22">
        <v>19.130555555555599</v>
      </c>
      <c r="H448" s="23" t="s">
        <v>33</v>
      </c>
      <c r="I448" s="19">
        <v>276.60000000000002</v>
      </c>
      <c r="J448" s="24">
        <v>4.7619047620000003</v>
      </c>
      <c r="K448" s="25">
        <v>8.9</v>
      </c>
      <c r="L448" s="23" t="str">
        <f>VLOOKUP(A448,'Customer-details'!$A$1:$C$1001,2,FALSE)</f>
        <v>Member</v>
      </c>
      <c r="M448" s="23" t="str">
        <f>VLOOKUP(A448,'Customer-details'!$A$1:$C$1001,3,FALSE)</f>
        <v>Male</v>
      </c>
      <c r="N448" s="23" t="str">
        <f>VLOOKUP(A448,'Product-details'!$A$1:$B$1001,2,FALSE)</f>
        <v>Food and beverages</v>
      </c>
      <c r="O448" s="23" t="str">
        <f>VLOOKUP(A448,'City-details'!$A$1:$C$1001,3,FALSE)</f>
        <v>Naypyitaw</v>
      </c>
      <c r="P448" s="23" t="str">
        <f>VLOOKUP(A448,'City-details'!$A$1:$C$1001,2,FALSE)</f>
        <v>C</v>
      </c>
      <c r="Q448" s="23" t="str">
        <f t="shared" si="18"/>
        <v>Feb</v>
      </c>
      <c r="R448" s="26" t="str">
        <f t="shared" si="19"/>
        <v>Thu</v>
      </c>
      <c r="S448">
        <f t="shared" si="20"/>
        <v>3</v>
      </c>
      <c r="T448" t="str" cm="1">
        <f t="array" ref="T448">_xlfn.IFS(S448&lt;=12,"Morning",S448&lt;=16,"Afternoon",S448&lt;=21,"Evening",S448&lt;=24,"Night")</f>
        <v>Morning</v>
      </c>
    </row>
    <row r="449" spans="1:20" x14ac:dyDescent="0.25">
      <c r="A449" s="31" t="s">
        <v>483</v>
      </c>
      <c r="B449" s="27">
        <v>45.74</v>
      </c>
      <c r="C449" s="28">
        <v>3</v>
      </c>
      <c r="D449" s="27">
        <v>6.8609999999999998</v>
      </c>
      <c r="E449" s="27">
        <v>144.08099999999999</v>
      </c>
      <c r="F449" s="29">
        <v>43534</v>
      </c>
      <c r="G449" s="30">
        <v>19.172222222222199</v>
      </c>
      <c r="H449" s="31" t="s">
        <v>33</v>
      </c>
      <c r="I449" s="27">
        <v>137.22</v>
      </c>
      <c r="J449" s="32">
        <v>4.7619047620000003</v>
      </c>
      <c r="K449" s="33">
        <v>6.5</v>
      </c>
      <c r="L449" s="31" t="str">
        <f>VLOOKUP(A449,'Customer-details'!$A$1:$C$1001,2,FALSE)</f>
        <v>Normal</v>
      </c>
      <c r="M449" s="31" t="str">
        <f>VLOOKUP(A449,'Customer-details'!$A$1:$C$1001,3,FALSE)</f>
        <v>Male</v>
      </c>
      <c r="N449" s="31" t="str">
        <f>VLOOKUP(A449,'Product-details'!$A$1:$B$1001,2,FALSE)</f>
        <v>Fashion accessories</v>
      </c>
      <c r="O449" s="31" t="str">
        <f>VLOOKUP(A449,'City-details'!$A$1:$C$1001,3,FALSE)</f>
        <v>Naypyitaw</v>
      </c>
      <c r="P449" s="31" t="str">
        <f>VLOOKUP(A449,'City-details'!$A$1:$C$1001,2,FALSE)</f>
        <v>C</v>
      </c>
      <c r="Q449" s="31" t="str">
        <f t="shared" si="18"/>
        <v>Mar</v>
      </c>
      <c r="R449" s="34" t="str">
        <f t="shared" si="19"/>
        <v>Sun</v>
      </c>
      <c r="S449">
        <f t="shared" si="20"/>
        <v>4</v>
      </c>
      <c r="T449" t="str" cm="1">
        <f t="array" ref="T449">_xlfn.IFS(S449&lt;=12,"Morning",S449&lt;=16,"Afternoon",S449&lt;=21,"Evening",S449&lt;=24,"Night")</f>
        <v>Morning</v>
      </c>
    </row>
    <row r="450" spans="1:20" x14ac:dyDescent="0.25">
      <c r="A450" s="23" t="s">
        <v>484</v>
      </c>
      <c r="B450" s="19">
        <v>27.07</v>
      </c>
      <c r="C450" s="20">
        <v>1</v>
      </c>
      <c r="D450" s="19">
        <v>1.3534999999999999</v>
      </c>
      <c r="E450" s="19">
        <v>28.423500000000001</v>
      </c>
      <c r="F450" s="21">
        <v>43477</v>
      </c>
      <c r="G450" s="22">
        <v>19.213888888888899</v>
      </c>
      <c r="H450" s="23" t="s">
        <v>33</v>
      </c>
      <c r="I450" s="19">
        <v>27.07</v>
      </c>
      <c r="J450" s="24">
        <v>4.7619047620000003</v>
      </c>
      <c r="K450" s="25">
        <v>5.3</v>
      </c>
      <c r="L450" s="23" t="str">
        <f>VLOOKUP(A450,'Customer-details'!$A$1:$C$1001,2,FALSE)</f>
        <v>Member</v>
      </c>
      <c r="M450" s="23" t="str">
        <f>VLOOKUP(A450,'Customer-details'!$A$1:$C$1001,3,FALSE)</f>
        <v>Female</v>
      </c>
      <c r="N450" s="23" t="str">
        <f>VLOOKUP(A450,'Product-details'!$A$1:$B$1001,2,FALSE)</f>
        <v>Health and beauty</v>
      </c>
      <c r="O450" s="23" t="str">
        <f>VLOOKUP(A450,'City-details'!$A$1:$C$1001,3,FALSE)</f>
        <v>Mandalay</v>
      </c>
      <c r="P450" s="23" t="str">
        <f>VLOOKUP(A450,'City-details'!$A$1:$C$1001,2,FALSE)</f>
        <v>B</v>
      </c>
      <c r="Q450" s="23" t="str">
        <f t="shared" si="18"/>
        <v>Jan</v>
      </c>
      <c r="R450" s="26" t="str">
        <f t="shared" si="19"/>
        <v>Sat</v>
      </c>
      <c r="S450">
        <f t="shared" si="20"/>
        <v>5</v>
      </c>
      <c r="T450" t="str" cm="1">
        <f t="array" ref="T450">_xlfn.IFS(S450&lt;=12,"Morning",S450&lt;=16,"Afternoon",S450&lt;=21,"Evening",S450&lt;=24,"Night")</f>
        <v>Morning</v>
      </c>
    </row>
    <row r="451" spans="1:20" x14ac:dyDescent="0.25">
      <c r="A451" s="31" t="s">
        <v>485</v>
      </c>
      <c r="B451" s="27">
        <v>39.119999999999997</v>
      </c>
      <c r="C451" s="28">
        <v>1</v>
      </c>
      <c r="D451" s="27">
        <v>1.956</v>
      </c>
      <c r="E451" s="27">
        <v>41.076000000000001</v>
      </c>
      <c r="F451" s="29">
        <v>43550</v>
      </c>
      <c r="G451" s="30">
        <v>19.255555555555599</v>
      </c>
      <c r="H451" s="31" t="s">
        <v>33</v>
      </c>
      <c r="I451" s="27">
        <v>39.119999999999997</v>
      </c>
      <c r="J451" s="32">
        <v>4.7619047620000003</v>
      </c>
      <c r="K451" s="33">
        <v>9.6</v>
      </c>
      <c r="L451" s="31" t="str">
        <f>VLOOKUP(A451,'Customer-details'!$A$1:$C$1001,2,FALSE)</f>
        <v>Member</v>
      </c>
      <c r="M451" s="31" t="str">
        <f>VLOOKUP(A451,'Customer-details'!$A$1:$C$1001,3,FALSE)</f>
        <v>Female</v>
      </c>
      <c r="N451" s="31" t="str">
        <f>VLOOKUP(A451,'Product-details'!$A$1:$B$1001,2,FALSE)</f>
        <v>Sports and travel</v>
      </c>
      <c r="O451" s="31" t="str">
        <f>VLOOKUP(A451,'City-details'!$A$1:$C$1001,3,FALSE)</f>
        <v>Mandalay</v>
      </c>
      <c r="P451" s="31" t="str">
        <f>VLOOKUP(A451,'City-details'!$A$1:$C$1001,2,FALSE)</f>
        <v>B</v>
      </c>
      <c r="Q451" s="31" t="str">
        <f t="shared" ref="Q451:Q514" si="21">TEXT(F451,"mmm")</f>
        <v>Mar</v>
      </c>
      <c r="R451" s="34" t="str">
        <f t="shared" ref="R451:R514" si="22">TEXT(F451,"ddd")</f>
        <v>Tue</v>
      </c>
      <c r="S451">
        <f t="shared" ref="S451:S514" si="23">HOUR(G451)</f>
        <v>6</v>
      </c>
      <c r="T451" t="str" cm="1">
        <f t="array" ref="T451">_xlfn.IFS(S451&lt;=12,"Morning",S451&lt;=16,"Afternoon",S451&lt;=21,"Evening",S451&lt;=24,"Night")</f>
        <v>Morning</v>
      </c>
    </row>
    <row r="452" spans="1:20" x14ac:dyDescent="0.25">
      <c r="A452" s="23" t="s">
        <v>486</v>
      </c>
      <c r="B452" s="19">
        <v>74.709999999999994</v>
      </c>
      <c r="C452" s="20">
        <v>6</v>
      </c>
      <c r="D452" s="19">
        <v>22.413</v>
      </c>
      <c r="E452" s="19">
        <v>470.673</v>
      </c>
      <c r="F452" s="21">
        <v>43466</v>
      </c>
      <c r="G452" s="22">
        <v>19.297222222222199</v>
      </c>
      <c r="H452" s="23" t="s">
        <v>29</v>
      </c>
      <c r="I452" s="19">
        <v>448.26</v>
      </c>
      <c r="J452" s="24">
        <v>4.7619047620000003</v>
      </c>
      <c r="K452" s="25">
        <v>6.7</v>
      </c>
      <c r="L452" s="23" t="str">
        <f>VLOOKUP(A452,'Customer-details'!$A$1:$C$1001,2,FALSE)</f>
        <v>Normal</v>
      </c>
      <c r="M452" s="23" t="str">
        <f>VLOOKUP(A452,'Customer-details'!$A$1:$C$1001,3,FALSE)</f>
        <v>Female</v>
      </c>
      <c r="N452" s="23" t="str">
        <f>VLOOKUP(A452,'Product-details'!$A$1:$B$1001,2,FALSE)</f>
        <v>Electronic accessories</v>
      </c>
      <c r="O452" s="23" t="str">
        <f>VLOOKUP(A452,'City-details'!$A$1:$C$1001,3,FALSE)</f>
        <v>Mandalay</v>
      </c>
      <c r="P452" s="23" t="str">
        <f>VLOOKUP(A452,'City-details'!$A$1:$C$1001,2,FALSE)</f>
        <v>B</v>
      </c>
      <c r="Q452" s="23" t="str">
        <f t="shared" si="21"/>
        <v>Jan</v>
      </c>
      <c r="R452" s="26" t="str">
        <f t="shared" si="22"/>
        <v>Tue</v>
      </c>
      <c r="S452">
        <f t="shared" si="23"/>
        <v>7</v>
      </c>
      <c r="T452" t="str" cm="1">
        <f t="array" ref="T452">_xlfn.IFS(S452&lt;=12,"Morning",S452&lt;=16,"Afternoon",S452&lt;=21,"Evening",S452&lt;=24,"Night")</f>
        <v>Morning</v>
      </c>
    </row>
    <row r="453" spans="1:20" x14ac:dyDescent="0.25">
      <c r="A453" s="31" t="s">
        <v>487</v>
      </c>
      <c r="B453" s="27">
        <v>22.01</v>
      </c>
      <c r="C453" s="28">
        <v>6</v>
      </c>
      <c r="D453" s="27">
        <v>6.6029999999999998</v>
      </c>
      <c r="E453" s="27">
        <v>138.66300000000001</v>
      </c>
      <c r="F453" s="29">
        <v>43467</v>
      </c>
      <c r="G453" s="30">
        <v>19.338888888888899</v>
      </c>
      <c r="H453" s="31" t="s">
        <v>29</v>
      </c>
      <c r="I453" s="27">
        <v>132.06</v>
      </c>
      <c r="J453" s="32">
        <v>4.7619047620000003</v>
      </c>
      <c r="K453" s="33">
        <v>7.6</v>
      </c>
      <c r="L453" s="31" t="str">
        <f>VLOOKUP(A453,'Customer-details'!$A$1:$C$1001,2,FALSE)</f>
        <v>Normal</v>
      </c>
      <c r="M453" s="31" t="str">
        <f>VLOOKUP(A453,'Customer-details'!$A$1:$C$1001,3,FALSE)</f>
        <v>Male</v>
      </c>
      <c r="N453" s="31" t="str">
        <f>VLOOKUP(A453,'Product-details'!$A$1:$B$1001,2,FALSE)</f>
        <v>Electronic accessories</v>
      </c>
      <c r="O453" s="31" t="str">
        <f>VLOOKUP(A453,'City-details'!$A$1:$C$1001,3,FALSE)</f>
        <v>Mandalay</v>
      </c>
      <c r="P453" s="31" t="str">
        <f>VLOOKUP(A453,'City-details'!$A$1:$C$1001,2,FALSE)</f>
        <v>B</v>
      </c>
      <c r="Q453" s="31" t="str">
        <f t="shared" si="21"/>
        <v>Jan</v>
      </c>
      <c r="R453" s="34" t="str">
        <f t="shared" si="22"/>
        <v>Wed</v>
      </c>
      <c r="S453">
        <f t="shared" si="23"/>
        <v>8</v>
      </c>
      <c r="T453" t="str" cm="1">
        <f t="array" ref="T453">_xlfn.IFS(S453&lt;=12,"Morning",S453&lt;=16,"Afternoon",S453&lt;=21,"Evening",S453&lt;=24,"Night")</f>
        <v>Morning</v>
      </c>
    </row>
    <row r="454" spans="1:20" x14ac:dyDescent="0.25">
      <c r="A454" s="23" t="s">
        <v>488</v>
      </c>
      <c r="B454" s="19">
        <v>63.61</v>
      </c>
      <c r="C454" s="20">
        <v>5</v>
      </c>
      <c r="D454" s="19">
        <v>15.9025</v>
      </c>
      <c r="E454" s="19">
        <v>333.95249999999999</v>
      </c>
      <c r="F454" s="21">
        <v>43540</v>
      </c>
      <c r="G454" s="22">
        <v>19.380555555555599</v>
      </c>
      <c r="H454" s="23" t="s">
        <v>23</v>
      </c>
      <c r="I454" s="19">
        <v>318.05</v>
      </c>
      <c r="J454" s="24">
        <v>4.7619047620000003</v>
      </c>
      <c r="K454" s="25">
        <v>4.8</v>
      </c>
      <c r="L454" s="23" t="str">
        <f>VLOOKUP(A454,'Customer-details'!$A$1:$C$1001,2,FALSE)</f>
        <v>Normal</v>
      </c>
      <c r="M454" s="23" t="str">
        <f>VLOOKUP(A454,'Customer-details'!$A$1:$C$1001,3,FALSE)</f>
        <v>Female</v>
      </c>
      <c r="N454" s="23" t="str">
        <f>VLOOKUP(A454,'Product-details'!$A$1:$B$1001,2,FALSE)</f>
        <v>Food and beverages</v>
      </c>
      <c r="O454" s="23" t="str">
        <f>VLOOKUP(A454,'City-details'!$A$1:$C$1001,3,FALSE)</f>
        <v>Yangon</v>
      </c>
      <c r="P454" s="23" t="str">
        <f>VLOOKUP(A454,'City-details'!$A$1:$C$1001,2,FALSE)</f>
        <v>A</v>
      </c>
      <c r="Q454" s="23" t="str">
        <f t="shared" si="21"/>
        <v>Mar</v>
      </c>
      <c r="R454" s="26" t="str">
        <f t="shared" si="22"/>
        <v>Sat</v>
      </c>
      <c r="S454">
        <f t="shared" si="23"/>
        <v>9</v>
      </c>
      <c r="T454" t="str" cm="1">
        <f t="array" ref="T454">_xlfn.IFS(S454&lt;=12,"Morning",S454&lt;=16,"Afternoon",S454&lt;=21,"Evening",S454&lt;=24,"Night")</f>
        <v>Morning</v>
      </c>
    </row>
    <row r="455" spans="1:20" x14ac:dyDescent="0.25">
      <c r="A455" s="31" t="s">
        <v>489</v>
      </c>
      <c r="B455" s="27">
        <v>25</v>
      </c>
      <c r="C455" s="28">
        <v>1</v>
      </c>
      <c r="D455" s="27">
        <v>1.25</v>
      </c>
      <c r="E455" s="27">
        <v>26.25</v>
      </c>
      <c r="F455" s="29">
        <v>43527</v>
      </c>
      <c r="G455" s="30">
        <v>19.422222222222199</v>
      </c>
      <c r="H455" s="31" t="s">
        <v>23</v>
      </c>
      <c r="I455" s="27">
        <v>25</v>
      </c>
      <c r="J455" s="32">
        <v>4.7619047620000003</v>
      </c>
      <c r="K455" s="33">
        <v>5.5</v>
      </c>
      <c r="L455" s="31" t="str">
        <f>VLOOKUP(A455,'Customer-details'!$A$1:$C$1001,2,FALSE)</f>
        <v>Normal</v>
      </c>
      <c r="M455" s="31" t="str">
        <f>VLOOKUP(A455,'Customer-details'!$A$1:$C$1001,3,FALSE)</f>
        <v>Male</v>
      </c>
      <c r="N455" s="31" t="str">
        <f>VLOOKUP(A455,'Product-details'!$A$1:$B$1001,2,FALSE)</f>
        <v>Health and beauty</v>
      </c>
      <c r="O455" s="31" t="str">
        <f>VLOOKUP(A455,'City-details'!$A$1:$C$1001,3,FALSE)</f>
        <v>Yangon</v>
      </c>
      <c r="P455" s="31" t="str">
        <f>VLOOKUP(A455,'City-details'!$A$1:$C$1001,2,FALSE)</f>
        <v>A</v>
      </c>
      <c r="Q455" s="31" t="str">
        <f t="shared" si="21"/>
        <v>Mar</v>
      </c>
      <c r="R455" s="34" t="str">
        <f t="shared" si="22"/>
        <v>Sun</v>
      </c>
      <c r="S455">
        <f t="shared" si="23"/>
        <v>10</v>
      </c>
      <c r="T455" t="str" cm="1">
        <f t="array" ref="T455">_xlfn.IFS(S455&lt;=12,"Morning",S455&lt;=16,"Afternoon",S455&lt;=21,"Evening",S455&lt;=24,"Night")</f>
        <v>Morning</v>
      </c>
    </row>
    <row r="456" spans="1:20" x14ac:dyDescent="0.25">
      <c r="A456" s="23" t="s">
        <v>490</v>
      </c>
      <c r="B456" s="19">
        <v>20.77</v>
      </c>
      <c r="C456" s="20">
        <v>4</v>
      </c>
      <c r="D456" s="19">
        <v>4.1539999999999999</v>
      </c>
      <c r="E456" s="19">
        <v>87.233999999999995</v>
      </c>
      <c r="F456" s="21">
        <v>43496</v>
      </c>
      <c r="G456" s="22">
        <v>19.463888888888899</v>
      </c>
      <c r="H456" s="23" t="s">
        <v>29</v>
      </c>
      <c r="I456" s="19">
        <v>83.08</v>
      </c>
      <c r="J456" s="24">
        <v>4.7619047620000003</v>
      </c>
      <c r="K456" s="25">
        <v>4.7</v>
      </c>
      <c r="L456" s="23" t="str">
        <f>VLOOKUP(A456,'Customer-details'!$A$1:$C$1001,2,FALSE)</f>
        <v>Member</v>
      </c>
      <c r="M456" s="23" t="str">
        <f>VLOOKUP(A456,'Customer-details'!$A$1:$C$1001,3,FALSE)</f>
        <v>Male</v>
      </c>
      <c r="N456" s="23" t="str">
        <f>VLOOKUP(A456,'Product-details'!$A$1:$B$1001,2,FALSE)</f>
        <v>Electronic accessories</v>
      </c>
      <c r="O456" s="23" t="str">
        <f>VLOOKUP(A456,'City-details'!$A$1:$C$1001,3,FALSE)</f>
        <v>Yangon</v>
      </c>
      <c r="P456" s="23" t="str">
        <f>VLOOKUP(A456,'City-details'!$A$1:$C$1001,2,FALSE)</f>
        <v>A</v>
      </c>
      <c r="Q456" s="23" t="str">
        <f t="shared" si="21"/>
        <v>Jan</v>
      </c>
      <c r="R456" s="26" t="str">
        <f t="shared" si="22"/>
        <v>Thu</v>
      </c>
      <c r="S456">
        <f t="shared" si="23"/>
        <v>11</v>
      </c>
      <c r="T456" t="str" cm="1">
        <f t="array" ref="T456">_xlfn.IFS(S456&lt;=12,"Morning",S456&lt;=16,"Afternoon",S456&lt;=21,"Evening",S456&lt;=24,"Night")</f>
        <v>Morning</v>
      </c>
    </row>
    <row r="457" spans="1:20" x14ac:dyDescent="0.25">
      <c r="A457" s="31" t="s">
        <v>491</v>
      </c>
      <c r="B457" s="27">
        <v>29.56</v>
      </c>
      <c r="C457" s="28">
        <v>5</v>
      </c>
      <c r="D457" s="27">
        <v>7.39</v>
      </c>
      <c r="E457" s="27">
        <v>155.19</v>
      </c>
      <c r="F457" s="29">
        <v>43509</v>
      </c>
      <c r="G457" s="30">
        <v>19.505555555555599</v>
      </c>
      <c r="H457" s="31" t="s">
        <v>29</v>
      </c>
      <c r="I457" s="27">
        <v>147.80000000000001</v>
      </c>
      <c r="J457" s="32">
        <v>4.7619047620000003</v>
      </c>
      <c r="K457" s="33">
        <v>6.9</v>
      </c>
      <c r="L457" s="31" t="str">
        <f>VLOOKUP(A457,'Customer-details'!$A$1:$C$1001,2,FALSE)</f>
        <v>Member</v>
      </c>
      <c r="M457" s="31" t="str">
        <f>VLOOKUP(A457,'Customer-details'!$A$1:$C$1001,3,FALSE)</f>
        <v>Female</v>
      </c>
      <c r="N457" s="31" t="str">
        <f>VLOOKUP(A457,'Product-details'!$A$1:$B$1001,2,FALSE)</f>
        <v>Fashion accessories</v>
      </c>
      <c r="O457" s="31" t="str">
        <f>VLOOKUP(A457,'City-details'!$A$1:$C$1001,3,FALSE)</f>
        <v>Mandalay</v>
      </c>
      <c r="P457" s="31" t="str">
        <f>VLOOKUP(A457,'City-details'!$A$1:$C$1001,2,FALSE)</f>
        <v>B</v>
      </c>
      <c r="Q457" s="31" t="str">
        <f t="shared" si="21"/>
        <v>Feb</v>
      </c>
      <c r="R457" s="34" t="str">
        <f t="shared" si="22"/>
        <v>Wed</v>
      </c>
      <c r="S457">
        <f t="shared" si="23"/>
        <v>12</v>
      </c>
      <c r="T457" t="str" cm="1">
        <f t="array" ref="T457">_xlfn.IFS(S457&lt;=12,"Morning",S457&lt;=16,"Afternoon",S457&lt;=21,"Evening",S457&lt;=24,"Night")</f>
        <v>Morning</v>
      </c>
    </row>
    <row r="458" spans="1:20" x14ac:dyDescent="0.25">
      <c r="A458" s="23" t="s">
        <v>492</v>
      </c>
      <c r="B458" s="19">
        <v>77.400000000000006</v>
      </c>
      <c r="C458" s="20">
        <v>9</v>
      </c>
      <c r="D458" s="19">
        <v>34.83</v>
      </c>
      <c r="E458" s="19">
        <v>731.43</v>
      </c>
      <c r="F458" s="21">
        <v>43511</v>
      </c>
      <c r="G458" s="22">
        <v>19.547222222222199</v>
      </c>
      <c r="H458" s="23" t="s">
        <v>33</v>
      </c>
      <c r="I458" s="19">
        <v>696.6</v>
      </c>
      <c r="J458" s="24">
        <v>4.7619047620000003</v>
      </c>
      <c r="K458" s="25">
        <v>4.5</v>
      </c>
      <c r="L458" s="23" t="str">
        <f>VLOOKUP(A458,'Customer-details'!$A$1:$C$1001,2,FALSE)</f>
        <v>Member</v>
      </c>
      <c r="M458" s="23" t="str">
        <f>VLOOKUP(A458,'Customer-details'!$A$1:$C$1001,3,FALSE)</f>
        <v>Female</v>
      </c>
      <c r="N458" s="23" t="str">
        <f>VLOOKUP(A458,'Product-details'!$A$1:$B$1001,2,FALSE)</f>
        <v>Food and beverages</v>
      </c>
      <c r="O458" s="23" t="str">
        <f>VLOOKUP(A458,'City-details'!$A$1:$C$1001,3,FALSE)</f>
        <v>Mandalay</v>
      </c>
      <c r="P458" s="23" t="str">
        <f>VLOOKUP(A458,'City-details'!$A$1:$C$1001,2,FALSE)</f>
        <v>B</v>
      </c>
      <c r="Q458" s="23" t="str">
        <f t="shared" si="21"/>
        <v>Feb</v>
      </c>
      <c r="R458" s="26" t="str">
        <f t="shared" si="22"/>
        <v>Fri</v>
      </c>
      <c r="S458">
        <f t="shared" si="23"/>
        <v>13</v>
      </c>
      <c r="T458" t="str" cm="1">
        <f t="array" ref="T458">_xlfn.IFS(S458&lt;=12,"Morning",S458&lt;=16,"Afternoon",S458&lt;=21,"Evening",S458&lt;=24,"Night")</f>
        <v>Afternoon</v>
      </c>
    </row>
    <row r="459" spans="1:20" x14ac:dyDescent="0.25">
      <c r="A459" s="31" t="s">
        <v>493</v>
      </c>
      <c r="B459" s="27">
        <v>79.39</v>
      </c>
      <c r="C459" s="28">
        <v>10</v>
      </c>
      <c r="D459" s="27">
        <v>39.695</v>
      </c>
      <c r="E459" s="27">
        <v>833.59500000000003</v>
      </c>
      <c r="F459" s="29">
        <v>43503</v>
      </c>
      <c r="G459" s="30">
        <v>19.588888888888899</v>
      </c>
      <c r="H459" s="31" t="s">
        <v>29</v>
      </c>
      <c r="I459" s="27">
        <v>793.9</v>
      </c>
      <c r="J459" s="32">
        <v>4.7619047620000003</v>
      </c>
      <c r="K459" s="33">
        <v>6.2</v>
      </c>
      <c r="L459" s="31" t="str">
        <f>VLOOKUP(A459,'Customer-details'!$A$1:$C$1001,2,FALSE)</f>
        <v>Normal</v>
      </c>
      <c r="M459" s="31" t="str">
        <f>VLOOKUP(A459,'Customer-details'!$A$1:$C$1001,3,FALSE)</f>
        <v>Male</v>
      </c>
      <c r="N459" s="31" t="str">
        <f>VLOOKUP(A459,'Product-details'!$A$1:$B$1001,2,FALSE)</f>
        <v>Electronic accessories</v>
      </c>
      <c r="O459" s="31" t="str">
        <f>VLOOKUP(A459,'City-details'!$A$1:$C$1001,3,FALSE)</f>
        <v>Mandalay</v>
      </c>
      <c r="P459" s="31" t="str">
        <f>VLOOKUP(A459,'City-details'!$A$1:$C$1001,2,FALSE)</f>
        <v>B</v>
      </c>
      <c r="Q459" s="31" t="str">
        <f t="shared" si="21"/>
        <v>Feb</v>
      </c>
      <c r="R459" s="34" t="str">
        <f t="shared" si="22"/>
        <v>Thu</v>
      </c>
      <c r="S459">
        <f t="shared" si="23"/>
        <v>14</v>
      </c>
      <c r="T459" t="str" cm="1">
        <f t="array" ref="T459">_xlfn.IFS(S459&lt;=12,"Morning",S459&lt;=16,"Afternoon",S459&lt;=21,"Evening",S459&lt;=24,"Night")</f>
        <v>Afternoon</v>
      </c>
    </row>
    <row r="460" spans="1:20" x14ac:dyDescent="0.25">
      <c r="A460" s="23" t="s">
        <v>494</v>
      </c>
      <c r="B460" s="19">
        <v>46.57</v>
      </c>
      <c r="C460" s="20">
        <v>10</v>
      </c>
      <c r="D460" s="19">
        <v>23.285</v>
      </c>
      <c r="E460" s="19">
        <v>488.98500000000001</v>
      </c>
      <c r="F460" s="21">
        <v>43492</v>
      </c>
      <c r="G460" s="22">
        <v>19.630555555555599</v>
      </c>
      <c r="H460" s="23" t="s">
        <v>29</v>
      </c>
      <c r="I460" s="19">
        <v>465.7</v>
      </c>
      <c r="J460" s="24">
        <v>4.7619047620000003</v>
      </c>
      <c r="K460" s="25">
        <v>7.6</v>
      </c>
      <c r="L460" s="23" t="str">
        <f>VLOOKUP(A460,'Customer-details'!$A$1:$C$1001,2,FALSE)</f>
        <v>Member</v>
      </c>
      <c r="M460" s="23" t="str">
        <f>VLOOKUP(A460,'Customer-details'!$A$1:$C$1001,3,FALSE)</f>
        <v>Female</v>
      </c>
      <c r="N460" s="23" t="str">
        <f>VLOOKUP(A460,'Product-details'!$A$1:$B$1001,2,FALSE)</f>
        <v>Electronic accessories</v>
      </c>
      <c r="O460" s="23" t="str">
        <f>VLOOKUP(A460,'City-details'!$A$1:$C$1001,3,FALSE)</f>
        <v>Naypyitaw</v>
      </c>
      <c r="P460" s="23" t="str">
        <f>VLOOKUP(A460,'City-details'!$A$1:$C$1001,2,FALSE)</f>
        <v>C</v>
      </c>
      <c r="Q460" s="23" t="str">
        <f t="shared" si="21"/>
        <v>Jan</v>
      </c>
      <c r="R460" s="26" t="str">
        <f t="shared" si="22"/>
        <v>Sun</v>
      </c>
      <c r="S460">
        <f t="shared" si="23"/>
        <v>15</v>
      </c>
      <c r="T460" t="str" cm="1">
        <f t="array" ref="T460">_xlfn.IFS(S460&lt;=12,"Morning",S460&lt;=16,"Afternoon",S460&lt;=21,"Evening",S460&lt;=24,"Night")</f>
        <v>Afternoon</v>
      </c>
    </row>
    <row r="461" spans="1:20" x14ac:dyDescent="0.25">
      <c r="A461" s="31" t="s">
        <v>495</v>
      </c>
      <c r="B461" s="27">
        <v>35.89</v>
      </c>
      <c r="C461" s="28">
        <v>1</v>
      </c>
      <c r="D461" s="27">
        <v>1.7945</v>
      </c>
      <c r="E461" s="27">
        <v>37.6845</v>
      </c>
      <c r="F461" s="29">
        <v>43519</v>
      </c>
      <c r="G461" s="30">
        <v>19.672222222222199</v>
      </c>
      <c r="H461" s="31" t="s">
        <v>33</v>
      </c>
      <c r="I461" s="27">
        <v>35.89</v>
      </c>
      <c r="J461" s="32">
        <v>4.7619047620000003</v>
      </c>
      <c r="K461" s="33">
        <v>7.9</v>
      </c>
      <c r="L461" s="31" t="str">
        <f>VLOOKUP(A461,'Customer-details'!$A$1:$C$1001,2,FALSE)</f>
        <v>Normal</v>
      </c>
      <c r="M461" s="31" t="str">
        <f>VLOOKUP(A461,'Customer-details'!$A$1:$C$1001,3,FALSE)</f>
        <v>Male</v>
      </c>
      <c r="N461" s="31" t="str">
        <f>VLOOKUP(A461,'Product-details'!$A$1:$B$1001,2,FALSE)</f>
        <v>Food and beverages</v>
      </c>
      <c r="O461" s="31" t="str">
        <f>VLOOKUP(A461,'City-details'!$A$1:$C$1001,3,FALSE)</f>
        <v>Naypyitaw</v>
      </c>
      <c r="P461" s="31" t="str">
        <f>VLOOKUP(A461,'City-details'!$A$1:$C$1001,2,FALSE)</f>
        <v>C</v>
      </c>
      <c r="Q461" s="31" t="str">
        <f t="shared" si="21"/>
        <v>Feb</v>
      </c>
      <c r="R461" s="34" t="str">
        <f t="shared" si="22"/>
        <v>Sat</v>
      </c>
      <c r="S461">
        <f t="shared" si="23"/>
        <v>16</v>
      </c>
      <c r="T461" t="str" cm="1">
        <f t="array" ref="T461">_xlfn.IFS(S461&lt;=12,"Morning",S461&lt;=16,"Afternoon",S461&lt;=21,"Evening",S461&lt;=24,"Night")</f>
        <v>Afternoon</v>
      </c>
    </row>
    <row r="462" spans="1:20" x14ac:dyDescent="0.25">
      <c r="A462" s="23" t="s">
        <v>496</v>
      </c>
      <c r="B462" s="19">
        <v>40.520000000000003</v>
      </c>
      <c r="C462" s="20">
        <v>5</v>
      </c>
      <c r="D462" s="19">
        <v>10.130000000000001</v>
      </c>
      <c r="E462" s="19">
        <v>212.73</v>
      </c>
      <c r="F462" s="21">
        <v>43499</v>
      </c>
      <c r="G462" s="22">
        <v>19.713888888888899</v>
      </c>
      <c r="H462" s="23" t="s">
        <v>29</v>
      </c>
      <c r="I462" s="19">
        <v>202.6</v>
      </c>
      <c r="J462" s="24">
        <v>4.7619047620000003</v>
      </c>
      <c r="K462" s="25">
        <v>4.5</v>
      </c>
      <c r="L462" s="23" t="str">
        <f>VLOOKUP(A462,'Customer-details'!$A$1:$C$1001,2,FALSE)</f>
        <v>Normal</v>
      </c>
      <c r="M462" s="23" t="str">
        <f>VLOOKUP(A462,'Customer-details'!$A$1:$C$1001,3,FALSE)</f>
        <v>Male</v>
      </c>
      <c r="N462" s="23" t="str">
        <f>VLOOKUP(A462,'Product-details'!$A$1:$B$1001,2,FALSE)</f>
        <v>Food and beverages</v>
      </c>
      <c r="O462" s="23" t="str">
        <f>VLOOKUP(A462,'City-details'!$A$1:$C$1001,3,FALSE)</f>
        <v>Naypyitaw</v>
      </c>
      <c r="P462" s="23" t="str">
        <f>VLOOKUP(A462,'City-details'!$A$1:$C$1001,2,FALSE)</f>
        <v>C</v>
      </c>
      <c r="Q462" s="23" t="str">
        <f t="shared" si="21"/>
        <v>Feb</v>
      </c>
      <c r="R462" s="26" t="str">
        <f t="shared" si="22"/>
        <v>Sun</v>
      </c>
      <c r="S462">
        <f t="shared" si="23"/>
        <v>17</v>
      </c>
      <c r="T462" t="str" cm="1">
        <f t="array" ref="T462">_xlfn.IFS(S462&lt;=12,"Morning",S462&lt;=16,"Afternoon",S462&lt;=21,"Evening",S462&lt;=24,"Night")</f>
        <v>Evening</v>
      </c>
    </row>
    <row r="463" spans="1:20" x14ac:dyDescent="0.25">
      <c r="A463" s="31" t="s">
        <v>497</v>
      </c>
      <c r="B463" s="27">
        <v>73.05</v>
      </c>
      <c r="C463" s="28">
        <v>10</v>
      </c>
      <c r="D463" s="27">
        <v>36.524999999999999</v>
      </c>
      <c r="E463" s="27">
        <v>767.02499999999998</v>
      </c>
      <c r="F463" s="29">
        <v>43527</v>
      </c>
      <c r="G463" s="30">
        <v>19.755555555555599</v>
      </c>
      <c r="H463" s="31" t="s">
        <v>33</v>
      </c>
      <c r="I463" s="27">
        <v>730.5</v>
      </c>
      <c r="J463" s="32">
        <v>4.7619047620000003</v>
      </c>
      <c r="K463" s="33">
        <v>8.6999999999999993</v>
      </c>
      <c r="L463" s="31" t="str">
        <f>VLOOKUP(A463,'Customer-details'!$A$1:$C$1001,2,FALSE)</f>
        <v>Member</v>
      </c>
      <c r="M463" s="31" t="str">
        <f>VLOOKUP(A463,'Customer-details'!$A$1:$C$1001,3,FALSE)</f>
        <v>Female</v>
      </c>
      <c r="N463" s="31" t="str">
        <f>VLOOKUP(A463,'Product-details'!$A$1:$B$1001,2,FALSE)</f>
        <v>Food and beverages</v>
      </c>
      <c r="O463" s="31" t="str">
        <f>VLOOKUP(A463,'City-details'!$A$1:$C$1001,3,FALSE)</f>
        <v>Mandalay</v>
      </c>
      <c r="P463" s="31" t="str">
        <f>VLOOKUP(A463,'City-details'!$A$1:$C$1001,2,FALSE)</f>
        <v>B</v>
      </c>
      <c r="Q463" s="31" t="str">
        <f t="shared" si="21"/>
        <v>Mar</v>
      </c>
      <c r="R463" s="34" t="str">
        <f t="shared" si="22"/>
        <v>Sun</v>
      </c>
      <c r="S463">
        <f t="shared" si="23"/>
        <v>18</v>
      </c>
      <c r="T463" t="str" cm="1">
        <f t="array" ref="T463">_xlfn.IFS(S463&lt;=12,"Morning",S463&lt;=16,"Afternoon",S463&lt;=21,"Evening",S463&lt;=24,"Night")</f>
        <v>Evening</v>
      </c>
    </row>
    <row r="464" spans="1:20" x14ac:dyDescent="0.25">
      <c r="A464" s="23" t="s">
        <v>498</v>
      </c>
      <c r="B464" s="19">
        <v>73.95</v>
      </c>
      <c r="C464" s="20">
        <v>4</v>
      </c>
      <c r="D464" s="19">
        <v>14.79</v>
      </c>
      <c r="E464" s="19">
        <v>310.58999999999997</v>
      </c>
      <c r="F464" s="21">
        <v>43499</v>
      </c>
      <c r="G464" s="22">
        <v>19.797222222222199</v>
      </c>
      <c r="H464" s="23" t="s">
        <v>29</v>
      </c>
      <c r="I464" s="19">
        <v>295.8</v>
      </c>
      <c r="J464" s="24">
        <v>4.7619047620000003</v>
      </c>
      <c r="K464" s="25">
        <v>6.1</v>
      </c>
      <c r="L464" s="23" t="str">
        <f>VLOOKUP(A464,'Customer-details'!$A$1:$C$1001,2,FALSE)</f>
        <v>Normal</v>
      </c>
      <c r="M464" s="23" t="str">
        <f>VLOOKUP(A464,'Customer-details'!$A$1:$C$1001,3,FALSE)</f>
        <v>Female</v>
      </c>
      <c r="N464" s="23" t="str">
        <f>VLOOKUP(A464,'Product-details'!$A$1:$B$1001,2,FALSE)</f>
        <v>Sports and travel</v>
      </c>
      <c r="O464" s="23" t="str">
        <f>VLOOKUP(A464,'City-details'!$A$1:$C$1001,3,FALSE)</f>
        <v>Naypyitaw</v>
      </c>
      <c r="P464" s="23" t="str">
        <f>VLOOKUP(A464,'City-details'!$A$1:$C$1001,2,FALSE)</f>
        <v>C</v>
      </c>
      <c r="Q464" s="23" t="str">
        <f t="shared" si="21"/>
        <v>Feb</v>
      </c>
      <c r="R464" s="26" t="str">
        <f t="shared" si="22"/>
        <v>Sun</v>
      </c>
      <c r="S464">
        <f t="shared" si="23"/>
        <v>19</v>
      </c>
      <c r="T464" t="str" cm="1">
        <f t="array" ref="T464">_xlfn.IFS(S464&lt;=12,"Morning",S464&lt;=16,"Afternoon",S464&lt;=21,"Evening",S464&lt;=24,"Night")</f>
        <v>Evening</v>
      </c>
    </row>
    <row r="465" spans="1:20" x14ac:dyDescent="0.25">
      <c r="A465" s="31" t="s">
        <v>499</v>
      </c>
      <c r="B465" s="27">
        <v>22.62</v>
      </c>
      <c r="C465" s="28">
        <v>1</v>
      </c>
      <c r="D465" s="27">
        <v>1.131</v>
      </c>
      <c r="E465" s="27">
        <v>23.751000000000001</v>
      </c>
      <c r="F465" s="29">
        <v>43541</v>
      </c>
      <c r="G465" s="30">
        <v>19.838888888888899</v>
      </c>
      <c r="H465" s="31" t="s">
        <v>29</v>
      </c>
      <c r="I465" s="27">
        <v>22.62</v>
      </c>
      <c r="J465" s="32">
        <v>4.7619047620000003</v>
      </c>
      <c r="K465" s="33">
        <v>6.4</v>
      </c>
      <c r="L465" s="31" t="str">
        <f>VLOOKUP(A465,'Customer-details'!$A$1:$C$1001,2,FALSE)</f>
        <v>Member</v>
      </c>
      <c r="M465" s="31" t="str">
        <f>VLOOKUP(A465,'Customer-details'!$A$1:$C$1001,3,FALSE)</f>
        <v>Female</v>
      </c>
      <c r="N465" s="31" t="str">
        <f>VLOOKUP(A465,'Product-details'!$A$1:$B$1001,2,FALSE)</f>
        <v>Food and beverages</v>
      </c>
      <c r="O465" s="31" t="str">
        <f>VLOOKUP(A465,'City-details'!$A$1:$C$1001,3,FALSE)</f>
        <v>Naypyitaw</v>
      </c>
      <c r="P465" s="31" t="str">
        <f>VLOOKUP(A465,'City-details'!$A$1:$C$1001,2,FALSE)</f>
        <v>C</v>
      </c>
      <c r="Q465" s="31" t="str">
        <f t="shared" si="21"/>
        <v>Mar</v>
      </c>
      <c r="R465" s="34" t="str">
        <f t="shared" si="22"/>
        <v>Sun</v>
      </c>
      <c r="S465">
        <f t="shared" si="23"/>
        <v>20</v>
      </c>
      <c r="T465" t="str" cm="1">
        <f t="array" ref="T465">_xlfn.IFS(S465&lt;=12,"Morning",S465&lt;=16,"Afternoon",S465&lt;=21,"Evening",S465&lt;=24,"Night")</f>
        <v>Evening</v>
      </c>
    </row>
    <row r="466" spans="1:20" x14ac:dyDescent="0.25">
      <c r="A466" s="23" t="s">
        <v>500</v>
      </c>
      <c r="B466" s="19">
        <v>51.34</v>
      </c>
      <c r="C466" s="20">
        <v>5</v>
      </c>
      <c r="D466" s="19">
        <v>12.835000000000001</v>
      </c>
      <c r="E466" s="19">
        <v>269.53500000000003</v>
      </c>
      <c r="F466" s="21">
        <v>43552</v>
      </c>
      <c r="G466" s="22">
        <v>19.880555555555599</v>
      </c>
      <c r="H466" s="23" t="s">
        <v>33</v>
      </c>
      <c r="I466" s="19">
        <v>256.7</v>
      </c>
      <c r="J466" s="24">
        <v>4.7619047620000003</v>
      </c>
      <c r="K466" s="25">
        <v>9.1</v>
      </c>
      <c r="L466" s="23" t="str">
        <f>VLOOKUP(A466,'Customer-details'!$A$1:$C$1001,2,FALSE)</f>
        <v>Member</v>
      </c>
      <c r="M466" s="23" t="str">
        <f>VLOOKUP(A466,'Customer-details'!$A$1:$C$1001,3,FALSE)</f>
        <v>Male</v>
      </c>
      <c r="N466" s="23" t="str">
        <f>VLOOKUP(A466,'Product-details'!$A$1:$B$1001,2,FALSE)</f>
        <v>Food and beverages</v>
      </c>
      <c r="O466" s="23" t="str">
        <f>VLOOKUP(A466,'City-details'!$A$1:$C$1001,3,FALSE)</f>
        <v>Yangon</v>
      </c>
      <c r="P466" s="23" t="str">
        <f>VLOOKUP(A466,'City-details'!$A$1:$C$1001,2,FALSE)</f>
        <v>A</v>
      </c>
      <c r="Q466" s="23" t="str">
        <f t="shared" si="21"/>
        <v>Mar</v>
      </c>
      <c r="R466" s="26" t="str">
        <f t="shared" si="22"/>
        <v>Thu</v>
      </c>
      <c r="S466">
        <f t="shared" si="23"/>
        <v>21</v>
      </c>
      <c r="T466" t="str" cm="1">
        <f t="array" ref="T466">_xlfn.IFS(S466&lt;=12,"Morning",S466&lt;=16,"Afternoon",S466&lt;=21,"Evening",S466&lt;=24,"Night")</f>
        <v>Evening</v>
      </c>
    </row>
    <row r="467" spans="1:20" x14ac:dyDescent="0.25">
      <c r="A467" s="31" t="s">
        <v>501</v>
      </c>
      <c r="B467" s="27">
        <v>54.55</v>
      </c>
      <c r="C467" s="28">
        <v>10</v>
      </c>
      <c r="D467" s="27">
        <v>27.274999999999999</v>
      </c>
      <c r="E467" s="27">
        <v>572.77499999999998</v>
      </c>
      <c r="F467" s="29">
        <v>43526</v>
      </c>
      <c r="G467" s="30">
        <v>19.922222222222199</v>
      </c>
      <c r="H467" s="31" t="s">
        <v>33</v>
      </c>
      <c r="I467" s="27">
        <v>545.5</v>
      </c>
      <c r="J467" s="32">
        <v>4.7619047620000003</v>
      </c>
      <c r="K467" s="33">
        <v>7.1</v>
      </c>
      <c r="L467" s="31" t="str">
        <f>VLOOKUP(A467,'Customer-details'!$A$1:$C$1001,2,FALSE)</f>
        <v>Member</v>
      </c>
      <c r="M467" s="31" t="str">
        <f>VLOOKUP(A467,'Customer-details'!$A$1:$C$1001,3,FALSE)</f>
        <v>Female</v>
      </c>
      <c r="N467" s="31" t="str">
        <f>VLOOKUP(A467,'Product-details'!$A$1:$B$1001,2,FALSE)</f>
        <v>Sports and travel</v>
      </c>
      <c r="O467" s="31" t="str">
        <f>VLOOKUP(A467,'City-details'!$A$1:$C$1001,3,FALSE)</f>
        <v>Naypyitaw</v>
      </c>
      <c r="P467" s="31" t="str">
        <f>VLOOKUP(A467,'City-details'!$A$1:$C$1001,2,FALSE)</f>
        <v>C</v>
      </c>
      <c r="Q467" s="31" t="str">
        <f t="shared" si="21"/>
        <v>Mar</v>
      </c>
      <c r="R467" s="34" t="str">
        <f t="shared" si="22"/>
        <v>Sat</v>
      </c>
      <c r="S467">
        <f t="shared" si="23"/>
        <v>22</v>
      </c>
      <c r="T467" t="str" cm="1">
        <f t="array" ref="T467">_xlfn.IFS(S467&lt;=12,"Morning",S467&lt;=16,"Afternoon",S467&lt;=21,"Evening",S467&lt;=24,"Night")</f>
        <v>Night</v>
      </c>
    </row>
    <row r="468" spans="1:20" x14ac:dyDescent="0.25">
      <c r="A468" s="23" t="s">
        <v>502</v>
      </c>
      <c r="B468" s="19">
        <v>37.15</v>
      </c>
      <c r="C468" s="20">
        <v>7</v>
      </c>
      <c r="D468" s="19">
        <v>13.0025</v>
      </c>
      <c r="E468" s="19">
        <v>273.05250000000001</v>
      </c>
      <c r="F468" s="21">
        <v>43504</v>
      </c>
      <c r="G468" s="22">
        <v>19.963888888888899</v>
      </c>
      <c r="H468" s="23" t="s">
        <v>33</v>
      </c>
      <c r="I468" s="19">
        <v>260.05</v>
      </c>
      <c r="J468" s="24">
        <v>4.7619047620000003</v>
      </c>
      <c r="K468" s="25">
        <v>7.7</v>
      </c>
      <c r="L468" s="23" t="str">
        <f>VLOOKUP(A468,'Customer-details'!$A$1:$C$1001,2,FALSE)</f>
        <v>Member</v>
      </c>
      <c r="M468" s="23" t="str">
        <f>VLOOKUP(A468,'Customer-details'!$A$1:$C$1001,3,FALSE)</f>
        <v>Female</v>
      </c>
      <c r="N468" s="23" t="str">
        <f>VLOOKUP(A468,'Product-details'!$A$1:$B$1001,2,FALSE)</f>
        <v>Health and beauty</v>
      </c>
      <c r="O468" s="23" t="str">
        <f>VLOOKUP(A468,'City-details'!$A$1:$C$1001,3,FALSE)</f>
        <v>Naypyitaw</v>
      </c>
      <c r="P468" s="23" t="str">
        <f>VLOOKUP(A468,'City-details'!$A$1:$C$1001,2,FALSE)</f>
        <v>C</v>
      </c>
      <c r="Q468" s="23" t="str">
        <f t="shared" si="21"/>
        <v>Feb</v>
      </c>
      <c r="R468" s="26" t="str">
        <f t="shared" si="22"/>
        <v>Fri</v>
      </c>
      <c r="S468">
        <f t="shared" si="23"/>
        <v>23</v>
      </c>
      <c r="T468" t="str" cm="1">
        <f t="array" ref="T468">_xlfn.IFS(S468&lt;=12,"Morning",S468&lt;=16,"Afternoon",S468&lt;=21,"Evening",S468&lt;=24,"Night")</f>
        <v>Night</v>
      </c>
    </row>
    <row r="469" spans="1:20" x14ac:dyDescent="0.25">
      <c r="A469" s="31" t="s">
        <v>503</v>
      </c>
      <c r="B469" s="27">
        <v>37.020000000000003</v>
      </c>
      <c r="C469" s="28">
        <v>6</v>
      </c>
      <c r="D469" s="27">
        <v>11.106</v>
      </c>
      <c r="E469" s="27">
        <v>233.226</v>
      </c>
      <c r="F469" s="29">
        <v>43546</v>
      </c>
      <c r="G469" s="30">
        <v>20.005555555555599</v>
      </c>
      <c r="H469" s="31" t="s">
        <v>29</v>
      </c>
      <c r="I469" s="27">
        <v>222.12</v>
      </c>
      <c r="J469" s="32">
        <v>4.7619047620000003</v>
      </c>
      <c r="K469" s="33">
        <v>4.5</v>
      </c>
      <c r="L469" s="31" t="str">
        <f>VLOOKUP(A469,'Customer-details'!$A$1:$C$1001,2,FALSE)</f>
        <v>Normal</v>
      </c>
      <c r="M469" s="31" t="str">
        <f>VLOOKUP(A469,'Customer-details'!$A$1:$C$1001,3,FALSE)</f>
        <v>Male</v>
      </c>
      <c r="N469" s="31" t="str">
        <f>VLOOKUP(A469,'Product-details'!$A$1:$B$1001,2,FALSE)</f>
        <v>Sports and travel</v>
      </c>
      <c r="O469" s="31" t="str">
        <f>VLOOKUP(A469,'City-details'!$A$1:$C$1001,3,FALSE)</f>
        <v>Mandalay</v>
      </c>
      <c r="P469" s="31" t="str">
        <f>VLOOKUP(A469,'City-details'!$A$1:$C$1001,2,FALSE)</f>
        <v>B</v>
      </c>
      <c r="Q469" s="31" t="str">
        <f t="shared" si="21"/>
        <v>Mar</v>
      </c>
      <c r="R469" s="34" t="str">
        <f t="shared" si="22"/>
        <v>Fri</v>
      </c>
      <c r="S469">
        <f t="shared" si="23"/>
        <v>0</v>
      </c>
      <c r="T469" t="str" cm="1">
        <f t="array" ref="T469">_xlfn.IFS(S469&lt;=12,"Morning",S469&lt;=16,"Afternoon",S469&lt;=21,"Evening",S469&lt;=24,"Night")</f>
        <v>Morning</v>
      </c>
    </row>
    <row r="470" spans="1:20" x14ac:dyDescent="0.25">
      <c r="A470" s="23" t="s">
        <v>504</v>
      </c>
      <c r="B470" s="19">
        <v>21.58</v>
      </c>
      <c r="C470" s="20">
        <v>1</v>
      </c>
      <c r="D470" s="19">
        <v>1.079</v>
      </c>
      <c r="E470" s="19">
        <v>22.658999999999999</v>
      </c>
      <c r="F470" s="21">
        <v>43505</v>
      </c>
      <c r="G470" s="22">
        <v>20.047222222222199</v>
      </c>
      <c r="H470" s="23" t="s">
        <v>23</v>
      </c>
      <c r="I470" s="19">
        <v>21.58</v>
      </c>
      <c r="J470" s="24">
        <v>4.7619047620000003</v>
      </c>
      <c r="K470" s="25">
        <v>7.2</v>
      </c>
      <c r="L470" s="23" t="str">
        <f>VLOOKUP(A470,'Customer-details'!$A$1:$C$1001,2,FALSE)</f>
        <v>Normal</v>
      </c>
      <c r="M470" s="23" t="str">
        <f>VLOOKUP(A470,'Customer-details'!$A$1:$C$1001,3,FALSE)</f>
        <v>Male</v>
      </c>
      <c r="N470" s="23" t="str">
        <f>VLOOKUP(A470,'Product-details'!$A$1:$B$1001,2,FALSE)</f>
        <v>Food and beverages</v>
      </c>
      <c r="O470" s="23" t="str">
        <f>VLOOKUP(A470,'City-details'!$A$1:$C$1001,3,FALSE)</f>
        <v>Naypyitaw</v>
      </c>
      <c r="P470" s="23" t="str">
        <f>VLOOKUP(A470,'City-details'!$A$1:$C$1001,2,FALSE)</f>
        <v>C</v>
      </c>
      <c r="Q470" s="23" t="str">
        <f t="shared" si="21"/>
        <v>Feb</v>
      </c>
      <c r="R470" s="26" t="str">
        <f t="shared" si="22"/>
        <v>Sat</v>
      </c>
      <c r="S470">
        <f t="shared" si="23"/>
        <v>1</v>
      </c>
      <c r="T470" t="str" cm="1">
        <f t="array" ref="T470">_xlfn.IFS(S470&lt;=12,"Morning",S470&lt;=16,"Afternoon",S470&lt;=21,"Evening",S470&lt;=24,"Night")</f>
        <v>Morning</v>
      </c>
    </row>
    <row r="471" spans="1:20" x14ac:dyDescent="0.25">
      <c r="A471" s="31" t="s">
        <v>505</v>
      </c>
      <c r="B471" s="27">
        <v>98.84</v>
      </c>
      <c r="C471" s="28">
        <v>1</v>
      </c>
      <c r="D471" s="27">
        <v>4.9420000000000002</v>
      </c>
      <c r="E471" s="27">
        <v>103.782</v>
      </c>
      <c r="F471" s="29">
        <v>43511</v>
      </c>
      <c r="G471" s="30">
        <v>20.088888888888899</v>
      </c>
      <c r="H471" s="31" t="s">
        <v>29</v>
      </c>
      <c r="I471" s="27">
        <v>98.84</v>
      </c>
      <c r="J471" s="32">
        <v>4.7619047620000003</v>
      </c>
      <c r="K471" s="33">
        <v>8.4</v>
      </c>
      <c r="L471" s="31" t="str">
        <f>VLOOKUP(A471,'Customer-details'!$A$1:$C$1001,2,FALSE)</f>
        <v>Member</v>
      </c>
      <c r="M471" s="31" t="str">
        <f>VLOOKUP(A471,'Customer-details'!$A$1:$C$1001,3,FALSE)</f>
        <v>Female</v>
      </c>
      <c r="N471" s="31" t="str">
        <f>VLOOKUP(A471,'Product-details'!$A$1:$B$1001,2,FALSE)</f>
        <v>Electronic accessories</v>
      </c>
      <c r="O471" s="31" t="str">
        <f>VLOOKUP(A471,'City-details'!$A$1:$C$1001,3,FALSE)</f>
        <v>Naypyitaw</v>
      </c>
      <c r="P471" s="31" t="str">
        <f>VLOOKUP(A471,'City-details'!$A$1:$C$1001,2,FALSE)</f>
        <v>C</v>
      </c>
      <c r="Q471" s="31" t="str">
        <f t="shared" si="21"/>
        <v>Feb</v>
      </c>
      <c r="R471" s="34" t="str">
        <f t="shared" si="22"/>
        <v>Fri</v>
      </c>
      <c r="S471">
        <f t="shared" si="23"/>
        <v>2</v>
      </c>
      <c r="T471" t="str" cm="1">
        <f t="array" ref="T471">_xlfn.IFS(S471&lt;=12,"Morning",S471&lt;=16,"Afternoon",S471&lt;=21,"Evening",S471&lt;=24,"Night")</f>
        <v>Morning</v>
      </c>
    </row>
    <row r="472" spans="1:20" x14ac:dyDescent="0.25">
      <c r="A472" s="23" t="s">
        <v>506</v>
      </c>
      <c r="B472" s="19">
        <v>83.77</v>
      </c>
      <c r="C472" s="20">
        <v>6</v>
      </c>
      <c r="D472" s="19">
        <v>25.131</v>
      </c>
      <c r="E472" s="19">
        <v>527.75099999999998</v>
      </c>
      <c r="F472" s="21">
        <v>43488</v>
      </c>
      <c r="G472" s="22">
        <v>20.130555555555599</v>
      </c>
      <c r="H472" s="23" t="s">
        <v>23</v>
      </c>
      <c r="I472" s="19">
        <v>502.62</v>
      </c>
      <c r="J472" s="24">
        <v>4.7619047620000003</v>
      </c>
      <c r="K472" s="25">
        <v>5.4</v>
      </c>
      <c r="L472" s="23" t="str">
        <f>VLOOKUP(A472,'Customer-details'!$A$1:$C$1001,2,FALSE)</f>
        <v>Member</v>
      </c>
      <c r="M472" s="23" t="str">
        <f>VLOOKUP(A472,'Customer-details'!$A$1:$C$1001,3,FALSE)</f>
        <v>Female</v>
      </c>
      <c r="N472" s="23" t="str">
        <f>VLOOKUP(A472,'Product-details'!$A$1:$B$1001,2,FALSE)</f>
        <v>Home and lifestyle</v>
      </c>
      <c r="O472" s="23" t="str">
        <f>VLOOKUP(A472,'City-details'!$A$1:$C$1001,3,FALSE)</f>
        <v>Naypyitaw</v>
      </c>
      <c r="P472" s="23" t="str">
        <f>VLOOKUP(A472,'City-details'!$A$1:$C$1001,2,FALSE)</f>
        <v>C</v>
      </c>
      <c r="Q472" s="23" t="str">
        <f t="shared" si="21"/>
        <v>Jan</v>
      </c>
      <c r="R472" s="26" t="str">
        <f t="shared" si="22"/>
        <v>Wed</v>
      </c>
      <c r="S472">
        <f t="shared" si="23"/>
        <v>3</v>
      </c>
      <c r="T472" t="str" cm="1">
        <f t="array" ref="T472">_xlfn.IFS(S472&lt;=12,"Morning",S472&lt;=16,"Afternoon",S472&lt;=21,"Evening",S472&lt;=24,"Night")</f>
        <v>Morning</v>
      </c>
    </row>
    <row r="473" spans="1:20" x14ac:dyDescent="0.25">
      <c r="A473" s="31" t="s">
        <v>507</v>
      </c>
      <c r="B473" s="27">
        <v>40.049999999999997</v>
      </c>
      <c r="C473" s="28">
        <v>4</v>
      </c>
      <c r="D473" s="27">
        <v>8.01</v>
      </c>
      <c r="E473" s="27">
        <v>168.21</v>
      </c>
      <c r="F473" s="29">
        <v>43490</v>
      </c>
      <c r="G473" s="30">
        <v>20.172222222222199</v>
      </c>
      <c r="H473" s="31" t="s">
        <v>29</v>
      </c>
      <c r="I473" s="27">
        <v>160.19999999999999</v>
      </c>
      <c r="J473" s="32">
        <v>4.7619047620000003</v>
      </c>
      <c r="K473" s="33">
        <v>9.6999999999999993</v>
      </c>
      <c r="L473" s="31" t="str">
        <f>VLOOKUP(A473,'Customer-details'!$A$1:$C$1001,2,FALSE)</f>
        <v>Member</v>
      </c>
      <c r="M473" s="31" t="str">
        <f>VLOOKUP(A473,'Customer-details'!$A$1:$C$1001,3,FALSE)</f>
        <v>Female</v>
      </c>
      <c r="N473" s="31" t="str">
        <f>VLOOKUP(A473,'Product-details'!$A$1:$B$1001,2,FALSE)</f>
        <v>Sports and travel</v>
      </c>
      <c r="O473" s="31" t="str">
        <f>VLOOKUP(A473,'City-details'!$A$1:$C$1001,3,FALSE)</f>
        <v>Yangon</v>
      </c>
      <c r="P473" s="31" t="str">
        <f>VLOOKUP(A473,'City-details'!$A$1:$C$1001,2,FALSE)</f>
        <v>A</v>
      </c>
      <c r="Q473" s="31" t="str">
        <f t="shared" si="21"/>
        <v>Jan</v>
      </c>
      <c r="R473" s="34" t="str">
        <f t="shared" si="22"/>
        <v>Fri</v>
      </c>
      <c r="S473">
        <f t="shared" si="23"/>
        <v>4</v>
      </c>
      <c r="T473" t="str" cm="1">
        <f t="array" ref="T473">_xlfn.IFS(S473&lt;=12,"Morning",S473&lt;=16,"Afternoon",S473&lt;=21,"Evening",S473&lt;=24,"Night")</f>
        <v>Morning</v>
      </c>
    </row>
    <row r="474" spans="1:20" x14ac:dyDescent="0.25">
      <c r="A474" s="23" t="s">
        <v>508</v>
      </c>
      <c r="B474" s="19">
        <v>43.13</v>
      </c>
      <c r="C474" s="20">
        <v>10</v>
      </c>
      <c r="D474" s="19">
        <v>21.565000000000001</v>
      </c>
      <c r="E474" s="19">
        <v>452.86500000000001</v>
      </c>
      <c r="F474" s="21">
        <v>43498</v>
      </c>
      <c r="G474" s="22">
        <v>20.213888888888899</v>
      </c>
      <c r="H474" s="23" t="s">
        <v>33</v>
      </c>
      <c r="I474" s="19">
        <v>431.3</v>
      </c>
      <c r="J474" s="24">
        <v>4.7619047620000003</v>
      </c>
      <c r="K474" s="25">
        <v>5.5</v>
      </c>
      <c r="L474" s="23" t="str">
        <f>VLOOKUP(A474,'Customer-details'!$A$1:$C$1001,2,FALSE)</f>
        <v>Member</v>
      </c>
      <c r="M474" s="23" t="str">
        <f>VLOOKUP(A474,'Customer-details'!$A$1:$C$1001,3,FALSE)</f>
        <v>Male</v>
      </c>
      <c r="N474" s="23" t="str">
        <f>VLOOKUP(A474,'Product-details'!$A$1:$B$1001,2,FALSE)</f>
        <v>Fashion accessories</v>
      </c>
      <c r="O474" s="23" t="str">
        <f>VLOOKUP(A474,'City-details'!$A$1:$C$1001,3,FALSE)</f>
        <v>Yangon</v>
      </c>
      <c r="P474" s="23" t="str">
        <f>VLOOKUP(A474,'City-details'!$A$1:$C$1001,2,FALSE)</f>
        <v>A</v>
      </c>
      <c r="Q474" s="23" t="str">
        <f t="shared" si="21"/>
        <v>Feb</v>
      </c>
      <c r="R474" s="26" t="str">
        <f t="shared" si="22"/>
        <v>Sat</v>
      </c>
      <c r="S474">
        <f t="shared" si="23"/>
        <v>5</v>
      </c>
      <c r="T474" t="str" cm="1">
        <f t="array" ref="T474">_xlfn.IFS(S474&lt;=12,"Morning",S474&lt;=16,"Afternoon",S474&lt;=21,"Evening",S474&lt;=24,"Night")</f>
        <v>Morning</v>
      </c>
    </row>
    <row r="475" spans="1:20" x14ac:dyDescent="0.25">
      <c r="A475" s="31" t="s">
        <v>509</v>
      </c>
      <c r="B475" s="27">
        <v>72.569999999999993</v>
      </c>
      <c r="C475" s="28">
        <v>8</v>
      </c>
      <c r="D475" s="27">
        <v>29.027999999999999</v>
      </c>
      <c r="E475" s="27">
        <v>609.58799999999997</v>
      </c>
      <c r="F475" s="29">
        <v>43554</v>
      </c>
      <c r="G475" s="30">
        <v>20.255555555555599</v>
      </c>
      <c r="H475" s="31" t="s">
        <v>29</v>
      </c>
      <c r="I475" s="27">
        <v>580.55999999999995</v>
      </c>
      <c r="J475" s="32">
        <v>4.7619047620000003</v>
      </c>
      <c r="K475" s="33">
        <v>4.5999999999999996</v>
      </c>
      <c r="L475" s="31" t="str">
        <f>VLOOKUP(A475,'Customer-details'!$A$1:$C$1001,2,FALSE)</f>
        <v>Member</v>
      </c>
      <c r="M475" s="31" t="str">
        <f>VLOOKUP(A475,'Customer-details'!$A$1:$C$1001,3,FALSE)</f>
        <v>Male</v>
      </c>
      <c r="N475" s="31" t="str">
        <f>VLOOKUP(A475,'Product-details'!$A$1:$B$1001,2,FALSE)</f>
        <v>Health and beauty</v>
      </c>
      <c r="O475" s="31" t="str">
        <f>VLOOKUP(A475,'City-details'!$A$1:$C$1001,3,FALSE)</f>
        <v>Mandalay</v>
      </c>
      <c r="P475" s="31" t="str">
        <f>VLOOKUP(A475,'City-details'!$A$1:$C$1001,2,FALSE)</f>
        <v>B</v>
      </c>
      <c r="Q475" s="31" t="str">
        <f t="shared" si="21"/>
        <v>Mar</v>
      </c>
      <c r="R475" s="34" t="str">
        <f t="shared" si="22"/>
        <v>Sat</v>
      </c>
      <c r="S475">
        <f t="shared" si="23"/>
        <v>6</v>
      </c>
      <c r="T475" t="str" cm="1">
        <f t="array" ref="T475">_xlfn.IFS(S475&lt;=12,"Morning",S475&lt;=16,"Afternoon",S475&lt;=21,"Evening",S475&lt;=24,"Night")</f>
        <v>Morning</v>
      </c>
    </row>
    <row r="476" spans="1:20" x14ac:dyDescent="0.25">
      <c r="A476" s="23" t="s">
        <v>510</v>
      </c>
      <c r="B476" s="19">
        <v>64.44</v>
      </c>
      <c r="C476" s="20">
        <v>5</v>
      </c>
      <c r="D476" s="19">
        <v>16.11</v>
      </c>
      <c r="E476" s="19">
        <v>338.31</v>
      </c>
      <c r="F476" s="21">
        <v>43554</v>
      </c>
      <c r="G476" s="22">
        <v>20.297222222222199</v>
      </c>
      <c r="H476" s="23" t="s">
        <v>29</v>
      </c>
      <c r="I476" s="19">
        <v>322.2</v>
      </c>
      <c r="J476" s="24">
        <v>4.7619047620000003</v>
      </c>
      <c r="K476" s="25">
        <v>6.6</v>
      </c>
      <c r="L476" s="23" t="str">
        <f>VLOOKUP(A476,'Customer-details'!$A$1:$C$1001,2,FALSE)</f>
        <v>Member</v>
      </c>
      <c r="M476" s="23" t="str">
        <f>VLOOKUP(A476,'Customer-details'!$A$1:$C$1001,3,FALSE)</f>
        <v>Female</v>
      </c>
      <c r="N476" s="23" t="str">
        <f>VLOOKUP(A476,'Product-details'!$A$1:$B$1001,2,FALSE)</f>
        <v>Electronic accessories</v>
      </c>
      <c r="O476" s="23" t="str">
        <f>VLOOKUP(A476,'City-details'!$A$1:$C$1001,3,FALSE)</f>
        <v>Yangon</v>
      </c>
      <c r="P476" s="23" t="str">
        <f>VLOOKUP(A476,'City-details'!$A$1:$C$1001,2,FALSE)</f>
        <v>A</v>
      </c>
      <c r="Q476" s="23" t="str">
        <f t="shared" si="21"/>
        <v>Mar</v>
      </c>
      <c r="R476" s="26" t="str">
        <f t="shared" si="22"/>
        <v>Sat</v>
      </c>
      <c r="S476">
        <f t="shared" si="23"/>
        <v>7</v>
      </c>
      <c r="T476" t="str" cm="1">
        <f t="array" ref="T476">_xlfn.IFS(S476&lt;=12,"Morning",S476&lt;=16,"Afternoon",S476&lt;=21,"Evening",S476&lt;=24,"Night")</f>
        <v>Morning</v>
      </c>
    </row>
    <row r="477" spans="1:20" x14ac:dyDescent="0.25">
      <c r="A477" s="31" t="s">
        <v>511</v>
      </c>
      <c r="B477" s="27">
        <v>65.180000000000007</v>
      </c>
      <c r="C477" s="28">
        <v>3</v>
      </c>
      <c r="D477" s="27">
        <v>9.7769999999999992</v>
      </c>
      <c r="E477" s="27">
        <v>205.31700000000001</v>
      </c>
      <c r="F477" s="29">
        <v>43521</v>
      </c>
      <c r="G477" s="30">
        <v>20.338888888888899</v>
      </c>
      <c r="H477" s="31" t="s">
        <v>33</v>
      </c>
      <c r="I477" s="27">
        <v>195.54</v>
      </c>
      <c r="J477" s="32">
        <v>4.7619047620000003</v>
      </c>
      <c r="K477" s="33">
        <v>6.3</v>
      </c>
      <c r="L477" s="31" t="str">
        <f>VLOOKUP(A477,'Customer-details'!$A$1:$C$1001,2,FALSE)</f>
        <v>Normal</v>
      </c>
      <c r="M477" s="31" t="str">
        <f>VLOOKUP(A477,'Customer-details'!$A$1:$C$1001,3,FALSE)</f>
        <v>Male</v>
      </c>
      <c r="N477" s="31" t="str">
        <f>VLOOKUP(A477,'Product-details'!$A$1:$B$1001,2,FALSE)</f>
        <v>Health and beauty</v>
      </c>
      <c r="O477" s="31" t="str">
        <f>VLOOKUP(A477,'City-details'!$A$1:$C$1001,3,FALSE)</f>
        <v>Yangon</v>
      </c>
      <c r="P477" s="31" t="str">
        <f>VLOOKUP(A477,'City-details'!$A$1:$C$1001,2,FALSE)</f>
        <v>A</v>
      </c>
      <c r="Q477" s="31" t="str">
        <f t="shared" si="21"/>
        <v>Feb</v>
      </c>
      <c r="R477" s="34" t="str">
        <f t="shared" si="22"/>
        <v>Mon</v>
      </c>
      <c r="S477">
        <f t="shared" si="23"/>
        <v>8</v>
      </c>
      <c r="T477" t="str" cm="1">
        <f t="array" ref="T477">_xlfn.IFS(S477&lt;=12,"Morning",S477&lt;=16,"Afternoon",S477&lt;=21,"Evening",S477&lt;=24,"Night")</f>
        <v>Morning</v>
      </c>
    </row>
    <row r="478" spans="1:20" x14ac:dyDescent="0.25">
      <c r="A478" s="23" t="s">
        <v>512</v>
      </c>
      <c r="B478" s="19">
        <v>33.26</v>
      </c>
      <c r="C478" s="20">
        <v>5</v>
      </c>
      <c r="D478" s="19">
        <v>8.3149999999999995</v>
      </c>
      <c r="E478" s="19">
        <v>174.61500000000001</v>
      </c>
      <c r="F478" s="21">
        <v>43542</v>
      </c>
      <c r="G478" s="22">
        <v>20.380555555555599</v>
      </c>
      <c r="H478" s="23" t="s">
        <v>33</v>
      </c>
      <c r="I478" s="19">
        <v>166.3</v>
      </c>
      <c r="J478" s="24">
        <v>4.7619047620000003</v>
      </c>
      <c r="K478" s="25">
        <v>4.2</v>
      </c>
      <c r="L478" s="23" t="str">
        <f>VLOOKUP(A478,'Customer-details'!$A$1:$C$1001,2,FALSE)</f>
        <v>Normal</v>
      </c>
      <c r="M478" s="23" t="str">
        <f>VLOOKUP(A478,'Customer-details'!$A$1:$C$1001,3,FALSE)</f>
        <v>Female</v>
      </c>
      <c r="N478" s="23" t="str">
        <f>VLOOKUP(A478,'Product-details'!$A$1:$B$1001,2,FALSE)</f>
        <v>Sports and travel</v>
      </c>
      <c r="O478" s="23" t="str">
        <f>VLOOKUP(A478,'City-details'!$A$1:$C$1001,3,FALSE)</f>
        <v>Yangon</v>
      </c>
      <c r="P478" s="23" t="str">
        <f>VLOOKUP(A478,'City-details'!$A$1:$C$1001,2,FALSE)</f>
        <v>A</v>
      </c>
      <c r="Q478" s="23" t="str">
        <f t="shared" si="21"/>
        <v>Mar</v>
      </c>
      <c r="R478" s="26" t="str">
        <f t="shared" si="22"/>
        <v>Mon</v>
      </c>
      <c r="S478">
        <f t="shared" si="23"/>
        <v>9</v>
      </c>
      <c r="T478" t="str" cm="1">
        <f t="array" ref="T478">_xlfn.IFS(S478&lt;=12,"Morning",S478&lt;=16,"Afternoon",S478&lt;=21,"Evening",S478&lt;=24,"Night")</f>
        <v>Morning</v>
      </c>
    </row>
    <row r="479" spans="1:20" x14ac:dyDescent="0.25">
      <c r="A479" s="31" t="s">
        <v>513</v>
      </c>
      <c r="B479" s="27">
        <v>84.07</v>
      </c>
      <c r="C479" s="28">
        <v>4</v>
      </c>
      <c r="D479" s="27">
        <v>16.814</v>
      </c>
      <c r="E479" s="27">
        <v>353.09399999999999</v>
      </c>
      <c r="F479" s="29">
        <v>43531</v>
      </c>
      <c r="G479" s="30">
        <v>20.422222222222199</v>
      </c>
      <c r="H479" s="31" t="s">
        <v>23</v>
      </c>
      <c r="I479" s="27">
        <v>336.28</v>
      </c>
      <c r="J479" s="32">
        <v>4.7619047620000003</v>
      </c>
      <c r="K479" s="33">
        <v>4.4000000000000004</v>
      </c>
      <c r="L479" s="31" t="str">
        <f>VLOOKUP(A479,'Customer-details'!$A$1:$C$1001,2,FALSE)</f>
        <v>Normal</v>
      </c>
      <c r="M479" s="31" t="str">
        <f>VLOOKUP(A479,'Customer-details'!$A$1:$C$1001,3,FALSE)</f>
        <v>Male</v>
      </c>
      <c r="N479" s="31" t="str">
        <f>VLOOKUP(A479,'Product-details'!$A$1:$B$1001,2,FALSE)</f>
        <v>Electronic accessories</v>
      </c>
      <c r="O479" s="31" t="str">
        <f>VLOOKUP(A479,'City-details'!$A$1:$C$1001,3,FALSE)</f>
        <v>Naypyitaw</v>
      </c>
      <c r="P479" s="31" t="str">
        <f>VLOOKUP(A479,'City-details'!$A$1:$C$1001,2,FALSE)</f>
        <v>C</v>
      </c>
      <c r="Q479" s="31" t="str">
        <f t="shared" si="21"/>
        <v>Mar</v>
      </c>
      <c r="R479" s="34" t="str">
        <f t="shared" si="22"/>
        <v>Thu</v>
      </c>
      <c r="S479">
        <f t="shared" si="23"/>
        <v>10</v>
      </c>
      <c r="T479" t="str" cm="1">
        <f t="array" ref="T479">_xlfn.IFS(S479&lt;=12,"Morning",S479&lt;=16,"Afternoon",S479&lt;=21,"Evening",S479&lt;=24,"Night")</f>
        <v>Morning</v>
      </c>
    </row>
    <row r="480" spans="1:20" x14ac:dyDescent="0.25">
      <c r="A480" s="23" t="s">
        <v>514</v>
      </c>
      <c r="B480" s="19">
        <v>34.369999999999997</v>
      </c>
      <c r="C480" s="20">
        <v>10</v>
      </c>
      <c r="D480" s="19">
        <v>17.184999999999999</v>
      </c>
      <c r="E480" s="19">
        <v>360.88499999999999</v>
      </c>
      <c r="F480" s="21">
        <v>43540</v>
      </c>
      <c r="G480" s="22">
        <v>20.463888888888899</v>
      </c>
      <c r="H480" s="23" t="s">
        <v>23</v>
      </c>
      <c r="I480" s="19">
        <v>343.7</v>
      </c>
      <c r="J480" s="24">
        <v>4.7619047620000003</v>
      </c>
      <c r="K480" s="25">
        <v>6.7</v>
      </c>
      <c r="L480" s="23" t="str">
        <f>VLOOKUP(A480,'Customer-details'!$A$1:$C$1001,2,FALSE)</f>
        <v>Normal</v>
      </c>
      <c r="M480" s="23" t="str">
        <f>VLOOKUP(A480,'Customer-details'!$A$1:$C$1001,3,FALSE)</f>
        <v>Male</v>
      </c>
      <c r="N480" s="23" t="str">
        <f>VLOOKUP(A480,'Product-details'!$A$1:$B$1001,2,FALSE)</f>
        <v>Sports and travel</v>
      </c>
      <c r="O480" s="23" t="str">
        <f>VLOOKUP(A480,'City-details'!$A$1:$C$1001,3,FALSE)</f>
        <v>Mandalay</v>
      </c>
      <c r="P480" s="23" t="str">
        <f>VLOOKUP(A480,'City-details'!$A$1:$C$1001,2,FALSE)</f>
        <v>B</v>
      </c>
      <c r="Q480" s="23" t="str">
        <f t="shared" si="21"/>
        <v>Mar</v>
      </c>
      <c r="R480" s="26" t="str">
        <f t="shared" si="22"/>
        <v>Sat</v>
      </c>
      <c r="S480">
        <f t="shared" si="23"/>
        <v>11</v>
      </c>
      <c r="T480" t="str" cm="1">
        <f t="array" ref="T480">_xlfn.IFS(S480&lt;=12,"Morning",S480&lt;=16,"Afternoon",S480&lt;=21,"Evening",S480&lt;=24,"Night")</f>
        <v>Morning</v>
      </c>
    </row>
    <row r="481" spans="1:20" x14ac:dyDescent="0.25">
      <c r="A481" s="31" t="s">
        <v>515</v>
      </c>
      <c r="B481" s="27">
        <v>38.6</v>
      </c>
      <c r="C481" s="28">
        <v>1</v>
      </c>
      <c r="D481" s="27">
        <v>1.93</v>
      </c>
      <c r="E481" s="27">
        <v>40.53</v>
      </c>
      <c r="F481" s="29">
        <v>43494</v>
      </c>
      <c r="G481" s="30">
        <v>20.505555555555599</v>
      </c>
      <c r="H481" s="31" t="s">
        <v>23</v>
      </c>
      <c r="I481" s="27">
        <v>38.6</v>
      </c>
      <c r="J481" s="32">
        <v>4.7619047620000003</v>
      </c>
      <c r="K481" s="33">
        <v>6.7</v>
      </c>
      <c r="L481" s="31" t="str">
        <f>VLOOKUP(A481,'Customer-details'!$A$1:$C$1001,2,FALSE)</f>
        <v>Normal</v>
      </c>
      <c r="M481" s="31" t="str">
        <f>VLOOKUP(A481,'Customer-details'!$A$1:$C$1001,3,FALSE)</f>
        <v>Male</v>
      </c>
      <c r="N481" s="31" t="str">
        <f>VLOOKUP(A481,'Product-details'!$A$1:$B$1001,2,FALSE)</f>
        <v>Electronic accessories</v>
      </c>
      <c r="O481" s="31" t="str">
        <f>VLOOKUP(A481,'City-details'!$A$1:$C$1001,3,FALSE)</f>
        <v>Yangon</v>
      </c>
      <c r="P481" s="31" t="str">
        <f>VLOOKUP(A481,'City-details'!$A$1:$C$1001,2,FALSE)</f>
        <v>A</v>
      </c>
      <c r="Q481" s="31" t="str">
        <f t="shared" si="21"/>
        <v>Jan</v>
      </c>
      <c r="R481" s="34" t="str">
        <f t="shared" si="22"/>
        <v>Tue</v>
      </c>
      <c r="S481">
        <f t="shared" si="23"/>
        <v>12</v>
      </c>
      <c r="T481" t="str" cm="1">
        <f t="array" ref="T481">_xlfn.IFS(S481&lt;=12,"Morning",S481&lt;=16,"Afternoon",S481&lt;=21,"Evening",S481&lt;=24,"Night")</f>
        <v>Morning</v>
      </c>
    </row>
    <row r="482" spans="1:20" x14ac:dyDescent="0.25">
      <c r="A482" s="23" t="s">
        <v>516</v>
      </c>
      <c r="B482" s="19">
        <v>65.97</v>
      </c>
      <c r="C482" s="20">
        <v>8</v>
      </c>
      <c r="D482" s="19">
        <v>26.388000000000002</v>
      </c>
      <c r="E482" s="19">
        <v>554.14800000000002</v>
      </c>
      <c r="F482" s="21">
        <v>43498</v>
      </c>
      <c r="G482" s="22">
        <v>20.547222222222199</v>
      </c>
      <c r="H482" s="23" t="s">
        <v>29</v>
      </c>
      <c r="I482" s="19">
        <v>527.76</v>
      </c>
      <c r="J482" s="24">
        <v>4.7619047620000003</v>
      </c>
      <c r="K482" s="25">
        <v>8.4</v>
      </c>
      <c r="L482" s="23" t="str">
        <f>VLOOKUP(A482,'Customer-details'!$A$1:$C$1001,2,FALSE)</f>
        <v>Normal</v>
      </c>
      <c r="M482" s="23" t="str">
        <f>VLOOKUP(A482,'Customer-details'!$A$1:$C$1001,3,FALSE)</f>
        <v>Male</v>
      </c>
      <c r="N482" s="23" t="str">
        <f>VLOOKUP(A482,'Product-details'!$A$1:$B$1001,2,FALSE)</f>
        <v>Food and beverages</v>
      </c>
      <c r="O482" s="23" t="str">
        <f>VLOOKUP(A482,'City-details'!$A$1:$C$1001,3,FALSE)</f>
        <v>Naypyitaw</v>
      </c>
      <c r="P482" s="23" t="str">
        <f>VLOOKUP(A482,'City-details'!$A$1:$C$1001,2,FALSE)</f>
        <v>C</v>
      </c>
      <c r="Q482" s="23" t="str">
        <f t="shared" si="21"/>
        <v>Feb</v>
      </c>
      <c r="R482" s="26" t="str">
        <f t="shared" si="22"/>
        <v>Sat</v>
      </c>
      <c r="S482">
        <f t="shared" si="23"/>
        <v>13</v>
      </c>
      <c r="T482" t="str" cm="1">
        <f t="array" ref="T482">_xlfn.IFS(S482&lt;=12,"Morning",S482&lt;=16,"Afternoon",S482&lt;=21,"Evening",S482&lt;=24,"Night")</f>
        <v>Afternoon</v>
      </c>
    </row>
    <row r="483" spans="1:20" x14ac:dyDescent="0.25">
      <c r="A483" s="31" t="s">
        <v>517</v>
      </c>
      <c r="B483" s="27">
        <v>32.799999999999997</v>
      </c>
      <c r="C483" s="28">
        <v>10</v>
      </c>
      <c r="D483" s="27">
        <v>16.399999999999999</v>
      </c>
      <c r="E483" s="27">
        <v>344.4</v>
      </c>
      <c r="F483" s="29">
        <v>43511</v>
      </c>
      <c r="G483" s="30">
        <v>20.588888888888899</v>
      </c>
      <c r="H483" s="31" t="s">
        <v>29</v>
      </c>
      <c r="I483" s="27">
        <v>328</v>
      </c>
      <c r="J483" s="32">
        <v>4.7619047620000003</v>
      </c>
      <c r="K483" s="33">
        <v>6.2</v>
      </c>
      <c r="L483" s="31" t="str">
        <f>VLOOKUP(A483,'Customer-details'!$A$1:$C$1001,2,FALSE)</f>
        <v>Normal</v>
      </c>
      <c r="M483" s="31" t="str">
        <f>VLOOKUP(A483,'Customer-details'!$A$1:$C$1001,3,FALSE)</f>
        <v>Female</v>
      </c>
      <c r="N483" s="31" t="str">
        <f>VLOOKUP(A483,'Product-details'!$A$1:$B$1001,2,FALSE)</f>
        <v>Electronic accessories</v>
      </c>
      <c r="O483" s="31" t="str">
        <f>VLOOKUP(A483,'City-details'!$A$1:$C$1001,3,FALSE)</f>
        <v>Naypyitaw</v>
      </c>
      <c r="P483" s="31" t="str">
        <f>VLOOKUP(A483,'City-details'!$A$1:$C$1001,2,FALSE)</f>
        <v>C</v>
      </c>
      <c r="Q483" s="31" t="str">
        <f t="shared" si="21"/>
        <v>Feb</v>
      </c>
      <c r="R483" s="34" t="str">
        <f t="shared" si="22"/>
        <v>Fri</v>
      </c>
      <c r="S483">
        <f t="shared" si="23"/>
        <v>14</v>
      </c>
      <c r="T483" t="str" cm="1">
        <f t="array" ref="T483">_xlfn.IFS(S483&lt;=12,"Morning",S483&lt;=16,"Afternoon",S483&lt;=21,"Evening",S483&lt;=24,"Night")</f>
        <v>Afternoon</v>
      </c>
    </row>
    <row r="484" spans="1:20" x14ac:dyDescent="0.25">
      <c r="A484" s="23" t="s">
        <v>518</v>
      </c>
      <c r="B484" s="19">
        <v>37.14</v>
      </c>
      <c r="C484" s="20">
        <v>5</v>
      </c>
      <c r="D484" s="19">
        <v>9.2850000000000001</v>
      </c>
      <c r="E484" s="19">
        <v>194.98500000000001</v>
      </c>
      <c r="F484" s="21">
        <v>43473</v>
      </c>
      <c r="G484" s="22">
        <v>20.630555555555599</v>
      </c>
      <c r="H484" s="23" t="s">
        <v>23</v>
      </c>
      <c r="I484" s="19">
        <v>185.7</v>
      </c>
      <c r="J484" s="24">
        <v>4.7619047620000003</v>
      </c>
      <c r="K484" s="25">
        <v>5</v>
      </c>
      <c r="L484" s="23" t="str">
        <f>VLOOKUP(A484,'Customer-details'!$A$1:$C$1001,2,FALSE)</f>
        <v>Normal</v>
      </c>
      <c r="M484" s="23" t="str">
        <f>VLOOKUP(A484,'Customer-details'!$A$1:$C$1001,3,FALSE)</f>
        <v>Male</v>
      </c>
      <c r="N484" s="23" t="str">
        <f>VLOOKUP(A484,'Product-details'!$A$1:$B$1001,2,FALSE)</f>
        <v>Sports and travel</v>
      </c>
      <c r="O484" s="23" t="str">
        <f>VLOOKUP(A484,'City-details'!$A$1:$C$1001,3,FALSE)</f>
        <v>Yangon</v>
      </c>
      <c r="P484" s="23" t="str">
        <f>VLOOKUP(A484,'City-details'!$A$1:$C$1001,2,FALSE)</f>
        <v>A</v>
      </c>
      <c r="Q484" s="23" t="str">
        <f t="shared" si="21"/>
        <v>Jan</v>
      </c>
      <c r="R484" s="26" t="str">
        <f t="shared" si="22"/>
        <v>Tue</v>
      </c>
      <c r="S484">
        <f t="shared" si="23"/>
        <v>15</v>
      </c>
      <c r="T484" t="str" cm="1">
        <f t="array" ref="T484">_xlfn.IFS(S484&lt;=12,"Morning",S484&lt;=16,"Afternoon",S484&lt;=21,"Evening",S484&lt;=24,"Night")</f>
        <v>Afternoon</v>
      </c>
    </row>
    <row r="485" spans="1:20" x14ac:dyDescent="0.25">
      <c r="A485" s="31" t="s">
        <v>519</v>
      </c>
      <c r="B485" s="27">
        <v>60.38</v>
      </c>
      <c r="C485" s="28">
        <v>10</v>
      </c>
      <c r="D485" s="27">
        <v>30.19</v>
      </c>
      <c r="E485" s="27">
        <v>633.99</v>
      </c>
      <c r="F485" s="29">
        <v>43508</v>
      </c>
      <c r="G485" s="30">
        <v>20.672222222222199</v>
      </c>
      <c r="H485" s="31" t="s">
        <v>29</v>
      </c>
      <c r="I485" s="27">
        <v>603.79999999999995</v>
      </c>
      <c r="J485" s="32">
        <v>4.7619047620000003</v>
      </c>
      <c r="K485" s="33">
        <v>6</v>
      </c>
      <c r="L485" s="31" t="str">
        <f>VLOOKUP(A485,'Customer-details'!$A$1:$C$1001,2,FALSE)</f>
        <v>Member</v>
      </c>
      <c r="M485" s="31" t="str">
        <f>VLOOKUP(A485,'Customer-details'!$A$1:$C$1001,3,FALSE)</f>
        <v>Male</v>
      </c>
      <c r="N485" s="31" t="str">
        <f>VLOOKUP(A485,'Product-details'!$A$1:$B$1001,2,FALSE)</f>
        <v>Home and lifestyle</v>
      </c>
      <c r="O485" s="31" t="str">
        <f>VLOOKUP(A485,'City-details'!$A$1:$C$1001,3,FALSE)</f>
        <v>Mandalay</v>
      </c>
      <c r="P485" s="31" t="str">
        <f>VLOOKUP(A485,'City-details'!$A$1:$C$1001,2,FALSE)</f>
        <v>B</v>
      </c>
      <c r="Q485" s="31" t="str">
        <f t="shared" si="21"/>
        <v>Feb</v>
      </c>
      <c r="R485" s="34" t="str">
        <f t="shared" si="22"/>
        <v>Tue</v>
      </c>
      <c r="S485">
        <f t="shared" si="23"/>
        <v>16</v>
      </c>
      <c r="T485" t="str" cm="1">
        <f t="array" ref="T485">_xlfn.IFS(S485&lt;=12,"Morning",S485&lt;=16,"Afternoon",S485&lt;=21,"Evening",S485&lt;=24,"Night")</f>
        <v>Afternoon</v>
      </c>
    </row>
    <row r="486" spans="1:20" x14ac:dyDescent="0.25">
      <c r="A486" s="23" t="s">
        <v>520</v>
      </c>
      <c r="B486" s="19">
        <v>36.979999999999997</v>
      </c>
      <c r="C486" s="20">
        <v>10</v>
      </c>
      <c r="D486" s="19">
        <v>18.489999999999998</v>
      </c>
      <c r="E486" s="19">
        <v>388.29</v>
      </c>
      <c r="F486" s="21">
        <v>43466</v>
      </c>
      <c r="G486" s="22">
        <v>20.713888888888899</v>
      </c>
      <c r="H486" s="23" t="s">
        <v>33</v>
      </c>
      <c r="I486" s="19">
        <v>369.8</v>
      </c>
      <c r="J486" s="24">
        <v>4.7619047620000003</v>
      </c>
      <c r="K486" s="25">
        <v>7</v>
      </c>
      <c r="L486" s="23" t="str">
        <f>VLOOKUP(A486,'Customer-details'!$A$1:$C$1001,2,FALSE)</f>
        <v>Member</v>
      </c>
      <c r="M486" s="23" t="str">
        <f>VLOOKUP(A486,'Customer-details'!$A$1:$C$1001,3,FALSE)</f>
        <v>Female</v>
      </c>
      <c r="N486" s="23" t="str">
        <f>VLOOKUP(A486,'Product-details'!$A$1:$B$1001,2,FALSE)</f>
        <v>Sports and travel</v>
      </c>
      <c r="O486" s="23" t="str">
        <f>VLOOKUP(A486,'City-details'!$A$1:$C$1001,3,FALSE)</f>
        <v>Naypyitaw</v>
      </c>
      <c r="P486" s="23" t="str">
        <f>VLOOKUP(A486,'City-details'!$A$1:$C$1001,2,FALSE)</f>
        <v>C</v>
      </c>
      <c r="Q486" s="23" t="str">
        <f t="shared" si="21"/>
        <v>Jan</v>
      </c>
      <c r="R486" s="26" t="str">
        <f t="shared" si="22"/>
        <v>Tue</v>
      </c>
      <c r="S486">
        <f t="shared" si="23"/>
        <v>17</v>
      </c>
      <c r="T486" t="str" cm="1">
        <f t="array" ref="T486">_xlfn.IFS(S486&lt;=12,"Morning",S486&lt;=16,"Afternoon",S486&lt;=21,"Evening",S486&lt;=24,"Night")</f>
        <v>Evening</v>
      </c>
    </row>
    <row r="487" spans="1:20" x14ac:dyDescent="0.25">
      <c r="A487" s="31" t="s">
        <v>521</v>
      </c>
      <c r="B487" s="27">
        <v>49.49</v>
      </c>
      <c r="C487" s="28">
        <v>4</v>
      </c>
      <c r="D487" s="27">
        <v>9.8979999999999997</v>
      </c>
      <c r="E487" s="27">
        <v>207.858</v>
      </c>
      <c r="F487" s="29">
        <v>43545</v>
      </c>
      <c r="G487" s="30">
        <v>20.755555555555599</v>
      </c>
      <c r="H487" s="31" t="s">
        <v>23</v>
      </c>
      <c r="I487" s="27">
        <v>197.96</v>
      </c>
      <c r="J487" s="32">
        <v>4.7619047620000003</v>
      </c>
      <c r="K487" s="33">
        <v>6.6</v>
      </c>
      <c r="L487" s="31" t="str">
        <f>VLOOKUP(A487,'Customer-details'!$A$1:$C$1001,2,FALSE)</f>
        <v>Member</v>
      </c>
      <c r="M487" s="31" t="str">
        <f>VLOOKUP(A487,'Customer-details'!$A$1:$C$1001,3,FALSE)</f>
        <v>Female</v>
      </c>
      <c r="N487" s="31" t="str">
        <f>VLOOKUP(A487,'Product-details'!$A$1:$B$1001,2,FALSE)</f>
        <v>Sports and travel</v>
      </c>
      <c r="O487" s="31" t="str">
        <f>VLOOKUP(A487,'City-details'!$A$1:$C$1001,3,FALSE)</f>
        <v>Mandalay</v>
      </c>
      <c r="P487" s="31" t="str">
        <f>VLOOKUP(A487,'City-details'!$A$1:$C$1001,2,FALSE)</f>
        <v>B</v>
      </c>
      <c r="Q487" s="31" t="str">
        <f t="shared" si="21"/>
        <v>Mar</v>
      </c>
      <c r="R487" s="34" t="str">
        <f t="shared" si="22"/>
        <v>Thu</v>
      </c>
      <c r="S487">
        <f t="shared" si="23"/>
        <v>18</v>
      </c>
      <c r="T487" t="str" cm="1">
        <f t="array" ref="T487">_xlfn.IFS(S487&lt;=12,"Morning",S487&lt;=16,"Afternoon",S487&lt;=21,"Evening",S487&lt;=24,"Night")</f>
        <v>Evening</v>
      </c>
    </row>
    <row r="488" spans="1:20" x14ac:dyDescent="0.25">
      <c r="A488" s="23" t="s">
        <v>522</v>
      </c>
      <c r="B488" s="19">
        <v>41.09</v>
      </c>
      <c r="C488" s="20">
        <v>10</v>
      </c>
      <c r="D488" s="19">
        <v>20.545000000000002</v>
      </c>
      <c r="E488" s="19">
        <v>431.44499999999999</v>
      </c>
      <c r="F488" s="21">
        <v>43524</v>
      </c>
      <c r="G488" s="22">
        <v>20.797222222222199</v>
      </c>
      <c r="H488" s="23" t="s">
        <v>29</v>
      </c>
      <c r="I488" s="19">
        <v>410.9</v>
      </c>
      <c r="J488" s="24">
        <v>4.7619047620000003</v>
      </c>
      <c r="K488" s="25">
        <v>7.3</v>
      </c>
      <c r="L488" s="23" t="str">
        <f>VLOOKUP(A488,'Customer-details'!$A$1:$C$1001,2,FALSE)</f>
        <v>Normal</v>
      </c>
      <c r="M488" s="23" t="str">
        <f>VLOOKUP(A488,'Customer-details'!$A$1:$C$1001,3,FALSE)</f>
        <v>Female</v>
      </c>
      <c r="N488" s="23" t="str">
        <f>VLOOKUP(A488,'Product-details'!$A$1:$B$1001,2,FALSE)</f>
        <v>Fashion accessories</v>
      </c>
      <c r="O488" s="23" t="str">
        <f>VLOOKUP(A488,'City-details'!$A$1:$C$1001,3,FALSE)</f>
        <v>Mandalay</v>
      </c>
      <c r="P488" s="23" t="str">
        <f>VLOOKUP(A488,'City-details'!$A$1:$C$1001,2,FALSE)</f>
        <v>B</v>
      </c>
      <c r="Q488" s="23" t="str">
        <f t="shared" si="21"/>
        <v>Feb</v>
      </c>
      <c r="R488" s="26" t="str">
        <f t="shared" si="22"/>
        <v>Thu</v>
      </c>
      <c r="S488">
        <f t="shared" si="23"/>
        <v>19</v>
      </c>
      <c r="T488" t="str" cm="1">
        <f t="array" ref="T488">_xlfn.IFS(S488&lt;=12,"Morning",S488&lt;=16,"Afternoon",S488&lt;=21,"Evening",S488&lt;=24,"Night")</f>
        <v>Evening</v>
      </c>
    </row>
    <row r="489" spans="1:20" x14ac:dyDescent="0.25">
      <c r="A489" s="31" t="s">
        <v>523</v>
      </c>
      <c r="B489" s="27">
        <v>37.15</v>
      </c>
      <c r="C489" s="28">
        <v>4</v>
      </c>
      <c r="D489" s="27">
        <v>7.43</v>
      </c>
      <c r="E489" s="27">
        <v>156.03</v>
      </c>
      <c r="F489" s="29">
        <v>43547</v>
      </c>
      <c r="G489" s="30">
        <v>20.838888888888899</v>
      </c>
      <c r="H489" s="31" t="s">
        <v>23</v>
      </c>
      <c r="I489" s="27">
        <v>148.6</v>
      </c>
      <c r="J489" s="32">
        <v>4.7619047620000003</v>
      </c>
      <c r="K489" s="33">
        <v>8.3000000000000007</v>
      </c>
      <c r="L489" s="31" t="str">
        <f>VLOOKUP(A489,'Customer-details'!$A$1:$C$1001,2,FALSE)</f>
        <v>Normal</v>
      </c>
      <c r="M489" s="31" t="str">
        <f>VLOOKUP(A489,'Customer-details'!$A$1:$C$1001,3,FALSE)</f>
        <v>Male</v>
      </c>
      <c r="N489" s="31" t="str">
        <f>VLOOKUP(A489,'Product-details'!$A$1:$B$1001,2,FALSE)</f>
        <v>Fashion accessories</v>
      </c>
      <c r="O489" s="31" t="str">
        <f>VLOOKUP(A489,'City-details'!$A$1:$C$1001,3,FALSE)</f>
        <v>Yangon</v>
      </c>
      <c r="P489" s="31" t="str">
        <f>VLOOKUP(A489,'City-details'!$A$1:$C$1001,2,FALSE)</f>
        <v>A</v>
      </c>
      <c r="Q489" s="31" t="str">
        <f t="shared" si="21"/>
        <v>Mar</v>
      </c>
      <c r="R489" s="34" t="str">
        <f t="shared" si="22"/>
        <v>Sat</v>
      </c>
      <c r="S489">
        <f t="shared" si="23"/>
        <v>20</v>
      </c>
      <c r="T489" t="str" cm="1">
        <f t="array" ref="T489">_xlfn.IFS(S489&lt;=12,"Morning",S489&lt;=16,"Afternoon",S489&lt;=21,"Evening",S489&lt;=24,"Night")</f>
        <v>Evening</v>
      </c>
    </row>
    <row r="490" spans="1:20" x14ac:dyDescent="0.25">
      <c r="A490" s="23" t="s">
        <v>524</v>
      </c>
      <c r="B490" s="19">
        <v>22.96</v>
      </c>
      <c r="C490" s="20">
        <v>1</v>
      </c>
      <c r="D490" s="19">
        <v>1.1479999999999999</v>
      </c>
      <c r="E490" s="19">
        <v>24.108000000000001</v>
      </c>
      <c r="F490" s="21">
        <v>43495</v>
      </c>
      <c r="G490" s="22">
        <v>20.880555555555599</v>
      </c>
      <c r="H490" s="23" t="s">
        <v>29</v>
      </c>
      <c r="I490" s="19">
        <v>22.96</v>
      </c>
      <c r="J490" s="24">
        <v>4.7619047620000003</v>
      </c>
      <c r="K490" s="25">
        <v>4.3</v>
      </c>
      <c r="L490" s="23" t="str">
        <f>VLOOKUP(A490,'Customer-details'!$A$1:$C$1001,2,FALSE)</f>
        <v>Normal</v>
      </c>
      <c r="M490" s="23" t="str">
        <f>VLOOKUP(A490,'Customer-details'!$A$1:$C$1001,3,FALSE)</f>
        <v>Male</v>
      </c>
      <c r="N490" s="23" t="str">
        <f>VLOOKUP(A490,'Product-details'!$A$1:$B$1001,2,FALSE)</f>
        <v>Home and lifestyle</v>
      </c>
      <c r="O490" s="23" t="str">
        <f>VLOOKUP(A490,'City-details'!$A$1:$C$1001,3,FALSE)</f>
        <v>Naypyitaw</v>
      </c>
      <c r="P490" s="23" t="str">
        <f>VLOOKUP(A490,'City-details'!$A$1:$C$1001,2,FALSE)</f>
        <v>C</v>
      </c>
      <c r="Q490" s="23" t="str">
        <f t="shared" si="21"/>
        <v>Jan</v>
      </c>
      <c r="R490" s="26" t="str">
        <f t="shared" si="22"/>
        <v>Wed</v>
      </c>
      <c r="S490">
        <f t="shared" si="23"/>
        <v>21</v>
      </c>
      <c r="T490" t="str" cm="1">
        <f t="array" ref="T490">_xlfn.IFS(S490&lt;=12,"Morning",S490&lt;=16,"Afternoon",S490&lt;=21,"Evening",S490&lt;=24,"Night")</f>
        <v>Evening</v>
      </c>
    </row>
    <row r="491" spans="1:20" x14ac:dyDescent="0.25">
      <c r="A491" s="31" t="s">
        <v>525</v>
      </c>
      <c r="B491" s="27">
        <v>77.680000000000007</v>
      </c>
      <c r="C491" s="28">
        <v>9</v>
      </c>
      <c r="D491" s="27">
        <v>34.956000000000003</v>
      </c>
      <c r="E491" s="27">
        <v>734.07600000000002</v>
      </c>
      <c r="F491" s="29">
        <v>43500</v>
      </c>
      <c r="G491" s="30">
        <v>20.922222222222199</v>
      </c>
      <c r="H491" s="31" t="s">
        <v>23</v>
      </c>
      <c r="I491" s="27">
        <v>699.12</v>
      </c>
      <c r="J491" s="32">
        <v>4.7619047620000003</v>
      </c>
      <c r="K491" s="33">
        <v>9.8000000000000007</v>
      </c>
      <c r="L491" s="31" t="str">
        <f>VLOOKUP(A491,'Customer-details'!$A$1:$C$1001,2,FALSE)</f>
        <v>Member</v>
      </c>
      <c r="M491" s="31" t="str">
        <f>VLOOKUP(A491,'Customer-details'!$A$1:$C$1001,3,FALSE)</f>
        <v>Female</v>
      </c>
      <c r="N491" s="31" t="str">
        <f>VLOOKUP(A491,'Product-details'!$A$1:$B$1001,2,FALSE)</f>
        <v>Home and lifestyle</v>
      </c>
      <c r="O491" s="31" t="str">
        <f>VLOOKUP(A491,'City-details'!$A$1:$C$1001,3,FALSE)</f>
        <v>Mandalay</v>
      </c>
      <c r="P491" s="31" t="str">
        <f>VLOOKUP(A491,'City-details'!$A$1:$C$1001,2,FALSE)</f>
        <v>B</v>
      </c>
      <c r="Q491" s="31" t="str">
        <f t="shared" si="21"/>
        <v>Feb</v>
      </c>
      <c r="R491" s="34" t="str">
        <f t="shared" si="22"/>
        <v>Mon</v>
      </c>
      <c r="S491">
        <f t="shared" si="23"/>
        <v>22</v>
      </c>
      <c r="T491" t="str" cm="1">
        <f t="array" ref="T491">_xlfn.IFS(S491&lt;=12,"Morning",S491&lt;=16,"Afternoon",S491&lt;=21,"Evening",S491&lt;=24,"Night")</f>
        <v>Night</v>
      </c>
    </row>
    <row r="492" spans="1:20" x14ac:dyDescent="0.25">
      <c r="A492" s="23" t="s">
        <v>526</v>
      </c>
      <c r="B492" s="19">
        <v>34.700000000000003</v>
      </c>
      <c r="C492" s="20">
        <v>2</v>
      </c>
      <c r="D492" s="19">
        <v>3.47</v>
      </c>
      <c r="E492" s="19">
        <v>72.87</v>
      </c>
      <c r="F492" s="21">
        <v>43537</v>
      </c>
      <c r="G492" s="22">
        <v>20.963888888888899</v>
      </c>
      <c r="H492" s="23" t="s">
        <v>23</v>
      </c>
      <c r="I492" s="19">
        <v>69.400000000000006</v>
      </c>
      <c r="J492" s="24">
        <v>4.7619047620000003</v>
      </c>
      <c r="K492" s="25">
        <v>8.1999999999999993</v>
      </c>
      <c r="L492" s="23" t="str">
        <f>VLOOKUP(A492,'Customer-details'!$A$1:$C$1001,2,FALSE)</f>
        <v>Normal</v>
      </c>
      <c r="M492" s="23" t="str">
        <f>VLOOKUP(A492,'Customer-details'!$A$1:$C$1001,3,FALSE)</f>
        <v>Female</v>
      </c>
      <c r="N492" s="23" t="str">
        <f>VLOOKUP(A492,'Product-details'!$A$1:$B$1001,2,FALSE)</f>
        <v>Fashion accessories</v>
      </c>
      <c r="O492" s="23" t="str">
        <f>VLOOKUP(A492,'City-details'!$A$1:$C$1001,3,FALSE)</f>
        <v>Mandalay</v>
      </c>
      <c r="P492" s="23" t="str">
        <f>VLOOKUP(A492,'City-details'!$A$1:$C$1001,2,FALSE)</f>
        <v>B</v>
      </c>
      <c r="Q492" s="23" t="str">
        <f t="shared" si="21"/>
        <v>Mar</v>
      </c>
      <c r="R492" s="26" t="str">
        <f t="shared" si="22"/>
        <v>Wed</v>
      </c>
      <c r="S492">
        <f t="shared" si="23"/>
        <v>23</v>
      </c>
      <c r="T492" t="str" cm="1">
        <f t="array" ref="T492">_xlfn.IFS(S492&lt;=12,"Morning",S492&lt;=16,"Afternoon",S492&lt;=21,"Evening",S492&lt;=24,"Night")</f>
        <v>Night</v>
      </c>
    </row>
    <row r="493" spans="1:20" x14ac:dyDescent="0.25">
      <c r="A493" s="31" t="s">
        <v>527</v>
      </c>
      <c r="B493" s="27">
        <v>19.66</v>
      </c>
      <c r="C493" s="28">
        <v>10</v>
      </c>
      <c r="D493" s="27">
        <v>9.83</v>
      </c>
      <c r="E493" s="27">
        <v>206.43</v>
      </c>
      <c r="F493" s="29">
        <v>43539</v>
      </c>
      <c r="G493" s="30">
        <v>21.005555555555599</v>
      </c>
      <c r="H493" s="31" t="s">
        <v>33</v>
      </c>
      <c r="I493" s="27">
        <v>196.6</v>
      </c>
      <c r="J493" s="32">
        <v>4.7619047620000003</v>
      </c>
      <c r="K493" s="33">
        <v>7.2</v>
      </c>
      <c r="L493" s="31" t="str">
        <f>VLOOKUP(A493,'Customer-details'!$A$1:$C$1001,2,FALSE)</f>
        <v>Member</v>
      </c>
      <c r="M493" s="31" t="str">
        <f>VLOOKUP(A493,'Customer-details'!$A$1:$C$1001,3,FALSE)</f>
        <v>Female</v>
      </c>
      <c r="N493" s="31" t="str">
        <f>VLOOKUP(A493,'Product-details'!$A$1:$B$1001,2,FALSE)</f>
        <v>Fashion accessories</v>
      </c>
      <c r="O493" s="31" t="str">
        <f>VLOOKUP(A493,'City-details'!$A$1:$C$1001,3,FALSE)</f>
        <v>Yangon</v>
      </c>
      <c r="P493" s="31" t="str">
        <f>VLOOKUP(A493,'City-details'!$A$1:$C$1001,2,FALSE)</f>
        <v>A</v>
      </c>
      <c r="Q493" s="31" t="str">
        <f t="shared" si="21"/>
        <v>Mar</v>
      </c>
      <c r="R493" s="34" t="str">
        <f t="shared" si="22"/>
        <v>Fri</v>
      </c>
      <c r="S493">
        <f t="shared" si="23"/>
        <v>0</v>
      </c>
      <c r="T493" t="str" cm="1">
        <f t="array" ref="T493">_xlfn.IFS(S493&lt;=12,"Morning",S493&lt;=16,"Afternoon",S493&lt;=21,"Evening",S493&lt;=24,"Night")</f>
        <v>Morning</v>
      </c>
    </row>
    <row r="494" spans="1:20" x14ac:dyDescent="0.25">
      <c r="A494" s="23" t="s">
        <v>528</v>
      </c>
      <c r="B494" s="19">
        <v>25.32</v>
      </c>
      <c r="C494" s="20">
        <v>8</v>
      </c>
      <c r="D494" s="19">
        <v>10.128</v>
      </c>
      <c r="E494" s="19">
        <v>212.68799999999999</v>
      </c>
      <c r="F494" s="21">
        <v>43529</v>
      </c>
      <c r="G494" s="22">
        <v>21.047222222222199</v>
      </c>
      <c r="H494" s="23" t="s">
        <v>23</v>
      </c>
      <c r="I494" s="19">
        <v>202.56</v>
      </c>
      <c r="J494" s="24">
        <v>4.7619047620000003</v>
      </c>
      <c r="K494" s="25">
        <v>8.6999999999999993</v>
      </c>
      <c r="L494" s="23" t="str">
        <f>VLOOKUP(A494,'Customer-details'!$A$1:$C$1001,2,FALSE)</f>
        <v>Member</v>
      </c>
      <c r="M494" s="23" t="str">
        <f>VLOOKUP(A494,'Customer-details'!$A$1:$C$1001,3,FALSE)</f>
        <v>Female</v>
      </c>
      <c r="N494" s="23" t="str">
        <f>VLOOKUP(A494,'Product-details'!$A$1:$B$1001,2,FALSE)</f>
        <v>Health and beauty</v>
      </c>
      <c r="O494" s="23" t="str">
        <f>VLOOKUP(A494,'City-details'!$A$1:$C$1001,3,FALSE)</f>
        <v>Mandalay</v>
      </c>
      <c r="P494" s="23" t="str">
        <f>VLOOKUP(A494,'City-details'!$A$1:$C$1001,2,FALSE)</f>
        <v>B</v>
      </c>
      <c r="Q494" s="23" t="str">
        <f t="shared" si="21"/>
        <v>Mar</v>
      </c>
      <c r="R494" s="26" t="str">
        <f t="shared" si="22"/>
        <v>Tue</v>
      </c>
      <c r="S494">
        <f t="shared" si="23"/>
        <v>1</v>
      </c>
      <c r="T494" t="str" cm="1">
        <f t="array" ref="T494">_xlfn.IFS(S494&lt;=12,"Morning",S494&lt;=16,"Afternoon",S494&lt;=21,"Evening",S494&lt;=24,"Night")</f>
        <v>Morning</v>
      </c>
    </row>
    <row r="495" spans="1:20" x14ac:dyDescent="0.25">
      <c r="A495" s="31" t="s">
        <v>529</v>
      </c>
      <c r="B495" s="27">
        <v>12.12</v>
      </c>
      <c r="C495" s="28">
        <v>10</v>
      </c>
      <c r="D495" s="27">
        <v>6.06</v>
      </c>
      <c r="E495" s="27">
        <v>127.26</v>
      </c>
      <c r="F495" s="29">
        <v>43529</v>
      </c>
      <c r="G495" s="30">
        <v>21.088888888888899</v>
      </c>
      <c r="H495" s="31" t="s">
        <v>33</v>
      </c>
      <c r="I495" s="27">
        <v>121.2</v>
      </c>
      <c r="J495" s="32">
        <v>4.7619047620000003</v>
      </c>
      <c r="K495" s="33">
        <v>8.4</v>
      </c>
      <c r="L495" s="31" t="str">
        <f>VLOOKUP(A495,'Customer-details'!$A$1:$C$1001,2,FALSE)</f>
        <v>Member</v>
      </c>
      <c r="M495" s="31" t="str">
        <f>VLOOKUP(A495,'Customer-details'!$A$1:$C$1001,3,FALSE)</f>
        <v>Female</v>
      </c>
      <c r="N495" s="31" t="str">
        <f>VLOOKUP(A495,'Product-details'!$A$1:$B$1001,2,FALSE)</f>
        <v>Home and lifestyle</v>
      </c>
      <c r="O495" s="31" t="str">
        <f>VLOOKUP(A495,'City-details'!$A$1:$C$1001,3,FALSE)</f>
        <v>Naypyitaw</v>
      </c>
      <c r="P495" s="31" t="str">
        <f>VLOOKUP(A495,'City-details'!$A$1:$C$1001,2,FALSE)</f>
        <v>C</v>
      </c>
      <c r="Q495" s="31" t="str">
        <f t="shared" si="21"/>
        <v>Mar</v>
      </c>
      <c r="R495" s="34" t="str">
        <f t="shared" si="22"/>
        <v>Tue</v>
      </c>
      <c r="S495">
        <f t="shared" si="23"/>
        <v>2</v>
      </c>
      <c r="T495" t="str" cm="1">
        <f t="array" ref="T495">_xlfn.IFS(S495&lt;=12,"Morning",S495&lt;=16,"Afternoon",S495&lt;=21,"Evening",S495&lt;=24,"Night")</f>
        <v>Morning</v>
      </c>
    </row>
    <row r="496" spans="1:20" x14ac:dyDescent="0.25">
      <c r="A496" s="23" t="s">
        <v>530</v>
      </c>
      <c r="B496" s="19">
        <v>99.89</v>
      </c>
      <c r="C496" s="20">
        <v>2</v>
      </c>
      <c r="D496" s="19">
        <v>9.9890000000000008</v>
      </c>
      <c r="E496" s="19">
        <v>209.76900000000001</v>
      </c>
      <c r="F496" s="21">
        <v>43522</v>
      </c>
      <c r="G496" s="22">
        <v>21.130555555555599</v>
      </c>
      <c r="H496" s="23" t="s">
        <v>23</v>
      </c>
      <c r="I496" s="19">
        <v>199.78</v>
      </c>
      <c r="J496" s="24">
        <v>4.7619047620000003</v>
      </c>
      <c r="K496" s="25">
        <v>7.1</v>
      </c>
      <c r="L496" s="23" t="str">
        <f>VLOOKUP(A496,'Customer-details'!$A$1:$C$1001,2,FALSE)</f>
        <v>Normal</v>
      </c>
      <c r="M496" s="23" t="str">
        <f>VLOOKUP(A496,'Customer-details'!$A$1:$C$1001,3,FALSE)</f>
        <v>Male</v>
      </c>
      <c r="N496" s="23" t="str">
        <f>VLOOKUP(A496,'Product-details'!$A$1:$B$1001,2,FALSE)</f>
        <v>Fashion accessories</v>
      </c>
      <c r="O496" s="23" t="str">
        <f>VLOOKUP(A496,'City-details'!$A$1:$C$1001,3,FALSE)</f>
        <v>Mandalay</v>
      </c>
      <c r="P496" s="23" t="str">
        <f>VLOOKUP(A496,'City-details'!$A$1:$C$1001,2,FALSE)</f>
        <v>B</v>
      </c>
      <c r="Q496" s="23" t="str">
        <f t="shared" si="21"/>
        <v>Feb</v>
      </c>
      <c r="R496" s="26" t="str">
        <f t="shared" si="22"/>
        <v>Tue</v>
      </c>
      <c r="S496">
        <f t="shared" si="23"/>
        <v>3</v>
      </c>
      <c r="T496" t="str" cm="1">
        <f t="array" ref="T496">_xlfn.IFS(S496&lt;=12,"Morning",S496&lt;=16,"Afternoon",S496&lt;=21,"Evening",S496&lt;=24,"Night")</f>
        <v>Morning</v>
      </c>
    </row>
    <row r="497" spans="1:20" x14ac:dyDescent="0.25">
      <c r="A497" s="31" t="s">
        <v>531</v>
      </c>
      <c r="B497" s="27">
        <v>75.92</v>
      </c>
      <c r="C497" s="28">
        <v>8</v>
      </c>
      <c r="D497" s="27">
        <v>30.367999999999999</v>
      </c>
      <c r="E497" s="27">
        <v>637.72799999999995</v>
      </c>
      <c r="F497" s="29">
        <v>43544</v>
      </c>
      <c r="G497" s="30">
        <v>21.172222222222199</v>
      </c>
      <c r="H497" s="31" t="s">
        <v>29</v>
      </c>
      <c r="I497" s="27">
        <v>607.36</v>
      </c>
      <c r="J497" s="32">
        <v>4.7619047620000003</v>
      </c>
      <c r="K497" s="33">
        <v>5.5</v>
      </c>
      <c r="L497" s="31" t="str">
        <f>VLOOKUP(A497,'Customer-details'!$A$1:$C$1001,2,FALSE)</f>
        <v>Normal</v>
      </c>
      <c r="M497" s="31" t="str">
        <f>VLOOKUP(A497,'Customer-details'!$A$1:$C$1001,3,FALSE)</f>
        <v>Male</v>
      </c>
      <c r="N497" s="31" t="str">
        <f>VLOOKUP(A497,'Product-details'!$A$1:$B$1001,2,FALSE)</f>
        <v>Sports and travel</v>
      </c>
      <c r="O497" s="31" t="str">
        <f>VLOOKUP(A497,'City-details'!$A$1:$C$1001,3,FALSE)</f>
        <v>Mandalay</v>
      </c>
      <c r="P497" s="31" t="str">
        <f>VLOOKUP(A497,'City-details'!$A$1:$C$1001,2,FALSE)</f>
        <v>B</v>
      </c>
      <c r="Q497" s="31" t="str">
        <f t="shared" si="21"/>
        <v>Mar</v>
      </c>
      <c r="R497" s="34" t="str">
        <f t="shared" si="22"/>
        <v>Wed</v>
      </c>
      <c r="S497">
        <f t="shared" si="23"/>
        <v>4</v>
      </c>
      <c r="T497" t="str" cm="1">
        <f t="array" ref="T497">_xlfn.IFS(S497&lt;=12,"Morning",S497&lt;=16,"Afternoon",S497&lt;=21,"Evening",S497&lt;=24,"Night")</f>
        <v>Morning</v>
      </c>
    </row>
    <row r="498" spans="1:20" x14ac:dyDescent="0.25">
      <c r="A498" s="23" t="s">
        <v>532</v>
      </c>
      <c r="B498" s="19">
        <v>63.22</v>
      </c>
      <c r="C498" s="20">
        <v>2</v>
      </c>
      <c r="D498" s="19">
        <v>6.3220000000000001</v>
      </c>
      <c r="E498" s="19">
        <v>132.762</v>
      </c>
      <c r="F498" s="21">
        <v>43466</v>
      </c>
      <c r="G498" s="22">
        <v>21.213888888888899</v>
      </c>
      <c r="H498" s="23" t="s">
        <v>29</v>
      </c>
      <c r="I498" s="19">
        <v>126.44</v>
      </c>
      <c r="J498" s="24">
        <v>4.7619047620000003</v>
      </c>
      <c r="K498" s="25">
        <v>8.5</v>
      </c>
      <c r="L498" s="23" t="str">
        <f>VLOOKUP(A498,'Customer-details'!$A$1:$C$1001,2,FALSE)</f>
        <v>Normal</v>
      </c>
      <c r="M498" s="23" t="str">
        <f>VLOOKUP(A498,'Customer-details'!$A$1:$C$1001,3,FALSE)</f>
        <v>Female</v>
      </c>
      <c r="N498" s="23" t="str">
        <f>VLOOKUP(A498,'Product-details'!$A$1:$B$1001,2,FALSE)</f>
        <v>Electronic accessories</v>
      </c>
      <c r="O498" s="23" t="str">
        <f>VLOOKUP(A498,'City-details'!$A$1:$C$1001,3,FALSE)</f>
        <v>Naypyitaw</v>
      </c>
      <c r="P498" s="23" t="str">
        <f>VLOOKUP(A498,'City-details'!$A$1:$C$1001,2,FALSE)</f>
        <v>C</v>
      </c>
      <c r="Q498" s="23" t="str">
        <f t="shared" si="21"/>
        <v>Jan</v>
      </c>
      <c r="R498" s="26" t="str">
        <f t="shared" si="22"/>
        <v>Tue</v>
      </c>
      <c r="S498">
        <f t="shared" si="23"/>
        <v>5</v>
      </c>
      <c r="T498" t="str" cm="1">
        <f t="array" ref="T498">_xlfn.IFS(S498&lt;=12,"Morning",S498&lt;=16,"Afternoon",S498&lt;=21,"Evening",S498&lt;=24,"Night")</f>
        <v>Morning</v>
      </c>
    </row>
    <row r="499" spans="1:20" x14ac:dyDescent="0.25">
      <c r="A499" s="31" t="s">
        <v>533</v>
      </c>
      <c r="B499" s="27">
        <v>90.24</v>
      </c>
      <c r="C499" s="28">
        <v>6</v>
      </c>
      <c r="D499" s="27">
        <v>27.071999999999999</v>
      </c>
      <c r="E499" s="27">
        <v>568.51199999999994</v>
      </c>
      <c r="F499" s="29">
        <v>43492</v>
      </c>
      <c r="G499" s="30">
        <v>21.255555555555599</v>
      </c>
      <c r="H499" s="31" t="s">
        <v>29</v>
      </c>
      <c r="I499" s="27">
        <v>541.44000000000005</v>
      </c>
      <c r="J499" s="32">
        <v>4.7619047620000003</v>
      </c>
      <c r="K499" s="33">
        <v>6.2</v>
      </c>
      <c r="L499" s="31" t="str">
        <f>VLOOKUP(A499,'Customer-details'!$A$1:$C$1001,2,FALSE)</f>
        <v>Normal</v>
      </c>
      <c r="M499" s="31" t="str">
        <f>VLOOKUP(A499,'Customer-details'!$A$1:$C$1001,3,FALSE)</f>
        <v>Female</v>
      </c>
      <c r="N499" s="31" t="str">
        <f>VLOOKUP(A499,'Product-details'!$A$1:$B$1001,2,FALSE)</f>
        <v>Food and beverages</v>
      </c>
      <c r="O499" s="31" t="str">
        <f>VLOOKUP(A499,'City-details'!$A$1:$C$1001,3,FALSE)</f>
        <v>Naypyitaw</v>
      </c>
      <c r="P499" s="31" t="str">
        <f>VLOOKUP(A499,'City-details'!$A$1:$C$1001,2,FALSE)</f>
        <v>C</v>
      </c>
      <c r="Q499" s="31" t="str">
        <f t="shared" si="21"/>
        <v>Jan</v>
      </c>
      <c r="R499" s="34" t="str">
        <f t="shared" si="22"/>
        <v>Sun</v>
      </c>
      <c r="S499">
        <f t="shared" si="23"/>
        <v>6</v>
      </c>
      <c r="T499" t="str" cm="1">
        <f t="array" ref="T499">_xlfn.IFS(S499&lt;=12,"Morning",S499&lt;=16,"Afternoon",S499&lt;=21,"Evening",S499&lt;=24,"Night")</f>
        <v>Morning</v>
      </c>
    </row>
    <row r="500" spans="1:20" x14ac:dyDescent="0.25">
      <c r="A500" s="23" t="s">
        <v>534</v>
      </c>
      <c r="B500" s="19">
        <v>98.13</v>
      </c>
      <c r="C500" s="20">
        <v>1</v>
      </c>
      <c r="D500" s="19">
        <v>4.9065000000000003</v>
      </c>
      <c r="E500" s="19">
        <v>103.0365</v>
      </c>
      <c r="F500" s="21">
        <v>43486</v>
      </c>
      <c r="G500" s="22">
        <v>21.297222222222199</v>
      </c>
      <c r="H500" s="23" t="s">
        <v>29</v>
      </c>
      <c r="I500" s="19">
        <v>98.13</v>
      </c>
      <c r="J500" s="24">
        <v>4.7619047620000003</v>
      </c>
      <c r="K500" s="25">
        <v>8.9</v>
      </c>
      <c r="L500" s="23" t="str">
        <f>VLOOKUP(A500,'Customer-details'!$A$1:$C$1001,2,FALSE)</f>
        <v>Member</v>
      </c>
      <c r="M500" s="23" t="str">
        <f>VLOOKUP(A500,'Customer-details'!$A$1:$C$1001,3,FALSE)</f>
        <v>Female</v>
      </c>
      <c r="N500" s="23" t="str">
        <f>VLOOKUP(A500,'Product-details'!$A$1:$B$1001,2,FALSE)</f>
        <v>Sports and travel</v>
      </c>
      <c r="O500" s="23" t="str">
        <f>VLOOKUP(A500,'City-details'!$A$1:$C$1001,3,FALSE)</f>
        <v>Mandalay</v>
      </c>
      <c r="P500" s="23" t="str">
        <f>VLOOKUP(A500,'City-details'!$A$1:$C$1001,2,FALSE)</f>
        <v>B</v>
      </c>
      <c r="Q500" s="23" t="str">
        <f t="shared" si="21"/>
        <v>Jan</v>
      </c>
      <c r="R500" s="26" t="str">
        <f t="shared" si="22"/>
        <v>Mon</v>
      </c>
      <c r="S500">
        <f t="shared" si="23"/>
        <v>7</v>
      </c>
      <c r="T500" t="str" cm="1">
        <f t="array" ref="T500">_xlfn.IFS(S500&lt;=12,"Morning",S500&lt;=16,"Afternoon",S500&lt;=21,"Evening",S500&lt;=24,"Night")</f>
        <v>Morning</v>
      </c>
    </row>
    <row r="501" spans="1:20" x14ac:dyDescent="0.25">
      <c r="A501" s="31" t="s">
        <v>535</v>
      </c>
      <c r="B501" s="27">
        <v>51.52</v>
      </c>
      <c r="C501" s="28">
        <v>8</v>
      </c>
      <c r="D501" s="27">
        <v>20.608000000000001</v>
      </c>
      <c r="E501" s="27">
        <v>432.76799999999997</v>
      </c>
      <c r="F501" s="29">
        <v>43498</v>
      </c>
      <c r="G501" s="30">
        <v>21.338888888888899</v>
      </c>
      <c r="H501" s="31" t="s">
        <v>29</v>
      </c>
      <c r="I501" s="27">
        <v>412.16</v>
      </c>
      <c r="J501" s="32">
        <v>4.7619047620000003</v>
      </c>
      <c r="K501" s="33">
        <v>9.6</v>
      </c>
      <c r="L501" s="31" t="str">
        <f>VLOOKUP(A501,'Customer-details'!$A$1:$C$1001,2,FALSE)</f>
        <v>Member</v>
      </c>
      <c r="M501" s="31" t="str">
        <f>VLOOKUP(A501,'Customer-details'!$A$1:$C$1001,3,FALSE)</f>
        <v>Female</v>
      </c>
      <c r="N501" s="31" t="str">
        <f>VLOOKUP(A501,'Product-details'!$A$1:$B$1001,2,FALSE)</f>
        <v>Sports and travel</v>
      </c>
      <c r="O501" s="31" t="str">
        <f>VLOOKUP(A501,'City-details'!$A$1:$C$1001,3,FALSE)</f>
        <v>Yangon</v>
      </c>
      <c r="P501" s="31" t="str">
        <f>VLOOKUP(A501,'City-details'!$A$1:$C$1001,2,FALSE)</f>
        <v>A</v>
      </c>
      <c r="Q501" s="31" t="str">
        <f t="shared" si="21"/>
        <v>Feb</v>
      </c>
      <c r="R501" s="34" t="str">
        <f t="shared" si="22"/>
        <v>Sat</v>
      </c>
      <c r="S501">
        <f t="shared" si="23"/>
        <v>8</v>
      </c>
      <c r="T501" t="str" cm="1">
        <f t="array" ref="T501">_xlfn.IFS(S501&lt;=12,"Morning",S501&lt;=16,"Afternoon",S501&lt;=21,"Evening",S501&lt;=24,"Night")</f>
        <v>Morning</v>
      </c>
    </row>
    <row r="502" spans="1:20" x14ac:dyDescent="0.25">
      <c r="A502" s="23" t="s">
        <v>536</v>
      </c>
      <c r="B502" s="19">
        <v>73.97</v>
      </c>
      <c r="C502" s="20">
        <v>1</v>
      </c>
      <c r="D502" s="19">
        <v>3.6985000000000001</v>
      </c>
      <c r="E502" s="19">
        <v>77.668499999999995</v>
      </c>
      <c r="F502" s="21">
        <v>43499</v>
      </c>
      <c r="G502" s="22">
        <v>21.380555555555599</v>
      </c>
      <c r="H502" s="23" t="s">
        <v>33</v>
      </c>
      <c r="I502" s="19">
        <v>73.97</v>
      </c>
      <c r="J502" s="24">
        <v>4.7619047620000003</v>
      </c>
      <c r="K502" s="25">
        <v>5.4</v>
      </c>
      <c r="L502" s="23" t="str">
        <f>VLOOKUP(A502,'Customer-details'!$A$1:$C$1001,2,FALSE)</f>
        <v>Member</v>
      </c>
      <c r="M502" s="23" t="str">
        <f>VLOOKUP(A502,'Customer-details'!$A$1:$C$1001,3,FALSE)</f>
        <v>Male</v>
      </c>
      <c r="N502" s="23" t="str">
        <f>VLOOKUP(A502,'Product-details'!$A$1:$B$1001,2,FALSE)</f>
        <v>Sports and travel</v>
      </c>
      <c r="O502" s="23" t="str">
        <f>VLOOKUP(A502,'City-details'!$A$1:$C$1001,3,FALSE)</f>
        <v>Mandalay</v>
      </c>
      <c r="P502" s="23" t="str">
        <f>VLOOKUP(A502,'City-details'!$A$1:$C$1001,2,FALSE)</f>
        <v>B</v>
      </c>
      <c r="Q502" s="23" t="str">
        <f t="shared" si="21"/>
        <v>Feb</v>
      </c>
      <c r="R502" s="26" t="str">
        <f t="shared" si="22"/>
        <v>Sun</v>
      </c>
      <c r="S502">
        <f t="shared" si="23"/>
        <v>9</v>
      </c>
      <c r="T502" t="str" cm="1">
        <f t="array" ref="T502">_xlfn.IFS(S502&lt;=12,"Morning",S502&lt;=16,"Afternoon",S502&lt;=21,"Evening",S502&lt;=24,"Night")</f>
        <v>Morning</v>
      </c>
    </row>
    <row r="503" spans="1:20" x14ac:dyDescent="0.25">
      <c r="A503" s="31" t="s">
        <v>537</v>
      </c>
      <c r="B503" s="27">
        <v>31.9</v>
      </c>
      <c r="C503" s="28">
        <v>1</v>
      </c>
      <c r="D503" s="27">
        <v>1.595</v>
      </c>
      <c r="E503" s="27">
        <v>33.494999999999997</v>
      </c>
      <c r="F503" s="29">
        <v>43470</v>
      </c>
      <c r="G503" s="30">
        <v>21.422222222222199</v>
      </c>
      <c r="H503" s="31" t="s">
        <v>23</v>
      </c>
      <c r="I503" s="27">
        <v>31.9</v>
      </c>
      <c r="J503" s="32">
        <v>4.7619047620000003</v>
      </c>
      <c r="K503" s="33">
        <v>9.1</v>
      </c>
      <c r="L503" s="31" t="str">
        <f>VLOOKUP(A503,'Customer-details'!$A$1:$C$1001,2,FALSE)</f>
        <v>Member</v>
      </c>
      <c r="M503" s="31" t="str">
        <f>VLOOKUP(A503,'Customer-details'!$A$1:$C$1001,3,FALSE)</f>
        <v>Female</v>
      </c>
      <c r="N503" s="31" t="str">
        <f>VLOOKUP(A503,'Product-details'!$A$1:$B$1001,2,FALSE)</f>
        <v>Fashion accessories</v>
      </c>
      <c r="O503" s="31" t="str">
        <f>VLOOKUP(A503,'City-details'!$A$1:$C$1001,3,FALSE)</f>
        <v>Naypyitaw</v>
      </c>
      <c r="P503" s="31" t="str">
        <f>VLOOKUP(A503,'City-details'!$A$1:$C$1001,2,FALSE)</f>
        <v>C</v>
      </c>
      <c r="Q503" s="31" t="str">
        <f t="shared" si="21"/>
        <v>Jan</v>
      </c>
      <c r="R503" s="34" t="str">
        <f t="shared" si="22"/>
        <v>Sat</v>
      </c>
      <c r="S503">
        <f t="shared" si="23"/>
        <v>10</v>
      </c>
      <c r="T503" t="str" cm="1">
        <f t="array" ref="T503">_xlfn.IFS(S503&lt;=12,"Morning",S503&lt;=16,"Afternoon",S503&lt;=21,"Evening",S503&lt;=24,"Night")</f>
        <v>Morning</v>
      </c>
    </row>
    <row r="504" spans="1:20" x14ac:dyDescent="0.25">
      <c r="A504" s="23" t="s">
        <v>538</v>
      </c>
      <c r="B504" s="19">
        <v>69.400000000000006</v>
      </c>
      <c r="C504" s="20">
        <v>2</v>
      </c>
      <c r="D504" s="19">
        <v>6.94</v>
      </c>
      <c r="E504" s="19">
        <v>145.74</v>
      </c>
      <c r="F504" s="21">
        <v>43492</v>
      </c>
      <c r="G504" s="22">
        <v>21.463888888888899</v>
      </c>
      <c r="H504" s="23" t="s">
        <v>23</v>
      </c>
      <c r="I504" s="19">
        <v>138.80000000000001</v>
      </c>
      <c r="J504" s="24">
        <v>4.7619047620000003</v>
      </c>
      <c r="K504" s="25">
        <v>9</v>
      </c>
      <c r="L504" s="23" t="str">
        <f>VLOOKUP(A504,'Customer-details'!$A$1:$C$1001,2,FALSE)</f>
        <v>Normal</v>
      </c>
      <c r="M504" s="23" t="str">
        <f>VLOOKUP(A504,'Customer-details'!$A$1:$C$1001,3,FALSE)</f>
        <v>Male</v>
      </c>
      <c r="N504" s="23" t="str">
        <f>VLOOKUP(A504,'Product-details'!$A$1:$B$1001,2,FALSE)</f>
        <v>Home and lifestyle</v>
      </c>
      <c r="O504" s="23" t="str">
        <f>VLOOKUP(A504,'City-details'!$A$1:$C$1001,3,FALSE)</f>
        <v>Naypyitaw</v>
      </c>
      <c r="P504" s="23" t="str">
        <f>VLOOKUP(A504,'City-details'!$A$1:$C$1001,2,FALSE)</f>
        <v>C</v>
      </c>
      <c r="Q504" s="23" t="str">
        <f t="shared" si="21"/>
        <v>Jan</v>
      </c>
      <c r="R504" s="26" t="str">
        <f t="shared" si="22"/>
        <v>Sun</v>
      </c>
      <c r="S504">
        <f t="shared" si="23"/>
        <v>11</v>
      </c>
      <c r="T504" t="str" cm="1">
        <f t="array" ref="T504">_xlfn.IFS(S504&lt;=12,"Morning",S504&lt;=16,"Afternoon",S504&lt;=21,"Evening",S504&lt;=24,"Night")</f>
        <v>Morning</v>
      </c>
    </row>
    <row r="505" spans="1:20" x14ac:dyDescent="0.25">
      <c r="A505" s="31" t="s">
        <v>539</v>
      </c>
      <c r="B505" s="27">
        <v>93.31</v>
      </c>
      <c r="C505" s="28">
        <v>2</v>
      </c>
      <c r="D505" s="27">
        <v>9.3309999999999995</v>
      </c>
      <c r="E505" s="27">
        <v>195.95099999999999</v>
      </c>
      <c r="F505" s="29">
        <v>43549</v>
      </c>
      <c r="G505" s="30">
        <v>21.505555555555599</v>
      </c>
      <c r="H505" s="31" t="s">
        <v>29</v>
      </c>
      <c r="I505" s="27">
        <v>186.62</v>
      </c>
      <c r="J505" s="32">
        <v>4.7619047620000003</v>
      </c>
      <c r="K505" s="33">
        <v>6.3</v>
      </c>
      <c r="L505" s="31" t="str">
        <f>VLOOKUP(A505,'Customer-details'!$A$1:$C$1001,2,FALSE)</f>
        <v>Normal</v>
      </c>
      <c r="M505" s="31" t="str">
        <f>VLOOKUP(A505,'Customer-details'!$A$1:$C$1001,3,FALSE)</f>
        <v>Female</v>
      </c>
      <c r="N505" s="31" t="str">
        <f>VLOOKUP(A505,'Product-details'!$A$1:$B$1001,2,FALSE)</f>
        <v>Sports and travel</v>
      </c>
      <c r="O505" s="31" t="str">
        <f>VLOOKUP(A505,'City-details'!$A$1:$C$1001,3,FALSE)</f>
        <v>Mandalay</v>
      </c>
      <c r="P505" s="31" t="str">
        <f>VLOOKUP(A505,'City-details'!$A$1:$C$1001,2,FALSE)</f>
        <v>B</v>
      </c>
      <c r="Q505" s="31" t="str">
        <f t="shared" si="21"/>
        <v>Mar</v>
      </c>
      <c r="R505" s="34" t="str">
        <f t="shared" si="22"/>
        <v>Mon</v>
      </c>
      <c r="S505">
        <f t="shared" si="23"/>
        <v>12</v>
      </c>
      <c r="T505" t="str" cm="1">
        <f t="array" ref="T505">_xlfn.IFS(S505&lt;=12,"Morning",S505&lt;=16,"Afternoon",S505&lt;=21,"Evening",S505&lt;=24,"Night")</f>
        <v>Morning</v>
      </c>
    </row>
    <row r="506" spans="1:20" x14ac:dyDescent="0.25">
      <c r="A506" s="23" t="s">
        <v>540</v>
      </c>
      <c r="B506" s="19">
        <v>88.45</v>
      </c>
      <c r="C506" s="20">
        <v>1</v>
      </c>
      <c r="D506" s="19">
        <v>4.4225000000000003</v>
      </c>
      <c r="E506" s="19">
        <v>92.872500000000002</v>
      </c>
      <c r="F506" s="21">
        <v>43521</v>
      </c>
      <c r="G506" s="22">
        <v>21.547222222222199</v>
      </c>
      <c r="H506" s="23" t="s">
        <v>33</v>
      </c>
      <c r="I506" s="19">
        <v>88.45</v>
      </c>
      <c r="J506" s="24">
        <v>4.7619047620000003</v>
      </c>
      <c r="K506" s="25">
        <v>9.5</v>
      </c>
      <c r="L506" s="23" t="str">
        <f>VLOOKUP(A506,'Customer-details'!$A$1:$C$1001,2,FALSE)</f>
        <v>Normal</v>
      </c>
      <c r="M506" s="23" t="str">
        <f>VLOOKUP(A506,'Customer-details'!$A$1:$C$1001,3,FALSE)</f>
        <v>Male</v>
      </c>
      <c r="N506" s="23" t="str">
        <f>VLOOKUP(A506,'Product-details'!$A$1:$B$1001,2,FALSE)</f>
        <v>Sports and travel</v>
      </c>
      <c r="O506" s="23" t="str">
        <f>VLOOKUP(A506,'City-details'!$A$1:$C$1001,3,FALSE)</f>
        <v>Mandalay</v>
      </c>
      <c r="P506" s="23" t="str">
        <f>VLOOKUP(A506,'City-details'!$A$1:$C$1001,2,FALSE)</f>
        <v>B</v>
      </c>
      <c r="Q506" s="23" t="str">
        <f t="shared" si="21"/>
        <v>Feb</v>
      </c>
      <c r="R506" s="26" t="str">
        <f t="shared" si="22"/>
        <v>Mon</v>
      </c>
      <c r="S506">
        <f t="shared" si="23"/>
        <v>13</v>
      </c>
      <c r="T506" t="str" cm="1">
        <f t="array" ref="T506">_xlfn.IFS(S506&lt;=12,"Morning",S506&lt;=16,"Afternoon",S506&lt;=21,"Evening",S506&lt;=24,"Night")</f>
        <v>Afternoon</v>
      </c>
    </row>
    <row r="507" spans="1:20" x14ac:dyDescent="0.25">
      <c r="A507" s="31" t="s">
        <v>541</v>
      </c>
      <c r="B507" s="27">
        <v>24.18</v>
      </c>
      <c r="C507" s="28">
        <v>8</v>
      </c>
      <c r="D507" s="27">
        <v>9.6720000000000006</v>
      </c>
      <c r="E507" s="27">
        <v>203.11199999999999</v>
      </c>
      <c r="F507" s="29">
        <v>43493</v>
      </c>
      <c r="G507" s="30">
        <v>21.588888888888899</v>
      </c>
      <c r="H507" s="31" t="s">
        <v>23</v>
      </c>
      <c r="I507" s="27">
        <v>193.44</v>
      </c>
      <c r="J507" s="32">
        <v>4.7619047620000003</v>
      </c>
      <c r="K507" s="33">
        <v>9.8000000000000007</v>
      </c>
      <c r="L507" s="31" t="str">
        <f>VLOOKUP(A507,'Customer-details'!$A$1:$C$1001,2,FALSE)</f>
        <v>Member</v>
      </c>
      <c r="M507" s="31" t="str">
        <f>VLOOKUP(A507,'Customer-details'!$A$1:$C$1001,3,FALSE)</f>
        <v>Male</v>
      </c>
      <c r="N507" s="31" t="str">
        <f>VLOOKUP(A507,'Product-details'!$A$1:$B$1001,2,FALSE)</f>
        <v>Electronic accessories</v>
      </c>
      <c r="O507" s="31" t="str">
        <f>VLOOKUP(A507,'City-details'!$A$1:$C$1001,3,FALSE)</f>
        <v>Yangon</v>
      </c>
      <c r="P507" s="31" t="str">
        <f>VLOOKUP(A507,'City-details'!$A$1:$C$1001,2,FALSE)</f>
        <v>A</v>
      </c>
      <c r="Q507" s="31" t="str">
        <f t="shared" si="21"/>
        <v>Jan</v>
      </c>
      <c r="R507" s="34" t="str">
        <f t="shared" si="22"/>
        <v>Mon</v>
      </c>
      <c r="S507">
        <f t="shared" si="23"/>
        <v>14</v>
      </c>
      <c r="T507" t="str" cm="1">
        <f t="array" ref="T507">_xlfn.IFS(S507&lt;=12,"Morning",S507&lt;=16,"Afternoon",S507&lt;=21,"Evening",S507&lt;=24,"Night")</f>
        <v>Afternoon</v>
      </c>
    </row>
    <row r="508" spans="1:20" x14ac:dyDescent="0.25">
      <c r="A508" s="23" t="s">
        <v>542</v>
      </c>
      <c r="B508" s="19">
        <v>48.5</v>
      </c>
      <c r="C508" s="20">
        <v>3</v>
      </c>
      <c r="D508" s="19">
        <v>7.2750000000000004</v>
      </c>
      <c r="E508" s="19">
        <v>152.77500000000001</v>
      </c>
      <c r="F508" s="21">
        <v>43473</v>
      </c>
      <c r="G508" s="22">
        <v>21.630555555555599</v>
      </c>
      <c r="H508" s="23" t="s">
        <v>29</v>
      </c>
      <c r="I508" s="19">
        <v>145.5</v>
      </c>
      <c r="J508" s="24">
        <v>4.7619047620000003</v>
      </c>
      <c r="K508" s="25">
        <v>6.7</v>
      </c>
      <c r="L508" s="23" t="str">
        <f>VLOOKUP(A508,'Customer-details'!$A$1:$C$1001,2,FALSE)</f>
        <v>Member</v>
      </c>
      <c r="M508" s="23" t="str">
        <f>VLOOKUP(A508,'Customer-details'!$A$1:$C$1001,3,FALSE)</f>
        <v>Female</v>
      </c>
      <c r="N508" s="23" t="str">
        <f>VLOOKUP(A508,'Product-details'!$A$1:$B$1001,2,FALSE)</f>
        <v>Sports and travel</v>
      </c>
      <c r="O508" s="23" t="str">
        <f>VLOOKUP(A508,'City-details'!$A$1:$C$1001,3,FALSE)</f>
        <v>Mandalay</v>
      </c>
      <c r="P508" s="23" t="str">
        <f>VLOOKUP(A508,'City-details'!$A$1:$C$1001,2,FALSE)</f>
        <v>B</v>
      </c>
      <c r="Q508" s="23" t="str">
        <f t="shared" si="21"/>
        <v>Jan</v>
      </c>
      <c r="R508" s="26" t="str">
        <f t="shared" si="22"/>
        <v>Tue</v>
      </c>
      <c r="S508">
        <f t="shared" si="23"/>
        <v>15</v>
      </c>
      <c r="T508" t="str" cm="1">
        <f t="array" ref="T508">_xlfn.IFS(S508&lt;=12,"Morning",S508&lt;=16,"Afternoon",S508&lt;=21,"Evening",S508&lt;=24,"Night")</f>
        <v>Afternoon</v>
      </c>
    </row>
    <row r="509" spans="1:20" x14ac:dyDescent="0.25">
      <c r="A509" s="31" t="s">
        <v>543</v>
      </c>
      <c r="B509" s="27">
        <v>84.05</v>
      </c>
      <c r="C509" s="28">
        <v>6</v>
      </c>
      <c r="D509" s="27">
        <v>25.215</v>
      </c>
      <c r="E509" s="27">
        <v>529.51499999999999</v>
      </c>
      <c r="F509" s="29">
        <v>43494</v>
      </c>
      <c r="G509" s="30">
        <v>21.672222222222199</v>
      </c>
      <c r="H509" s="31" t="s">
        <v>33</v>
      </c>
      <c r="I509" s="27">
        <v>504.3</v>
      </c>
      <c r="J509" s="32">
        <v>4.7619047620000003</v>
      </c>
      <c r="K509" s="33">
        <v>7.7</v>
      </c>
      <c r="L509" s="31" t="str">
        <f>VLOOKUP(A509,'Customer-details'!$A$1:$C$1001,2,FALSE)</f>
        <v>Normal</v>
      </c>
      <c r="M509" s="31" t="str">
        <f>VLOOKUP(A509,'Customer-details'!$A$1:$C$1001,3,FALSE)</f>
        <v>Female</v>
      </c>
      <c r="N509" s="31" t="str">
        <f>VLOOKUP(A509,'Product-details'!$A$1:$B$1001,2,FALSE)</f>
        <v>Food and beverages</v>
      </c>
      <c r="O509" s="31" t="str">
        <f>VLOOKUP(A509,'City-details'!$A$1:$C$1001,3,FALSE)</f>
        <v>Mandalay</v>
      </c>
      <c r="P509" s="31" t="str">
        <f>VLOOKUP(A509,'City-details'!$A$1:$C$1001,2,FALSE)</f>
        <v>B</v>
      </c>
      <c r="Q509" s="31" t="str">
        <f t="shared" si="21"/>
        <v>Jan</v>
      </c>
      <c r="R509" s="34" t="str">
        <f t="shared" si="22"/>
        <v>Tue</v>
      </c>
      <c r="S509">
        <f t="shared" si="23"/>
        <v>16</v>
      </c>
      <c r="T509" t="str" cm="1">
        <f t="array" ref="T509">_xlfn.IFS(S509&lt;=12,"Morning",S509&lt;=16,"Afternoon",S509&lt;=21,"Evening",S509&lt;=24,"Night")</f>
        <v>Afternoon</v>
      </c>
    </row>
    <row r="510" spans="1:20" x14ac:dyDescent="0.25">
      <c r="A510" s="23" t="s">
        <v>544</v>
      </c>
      <c r="B510" s="19">
        <v>61.29</v>
      </c>
      <c r="C510" s="20">
        <v>5</v>
      </c>
      <c r="D510" s="19">
        <v>15.3225</v>
      </c>
      <c r="E510" s="19">
        <v>321.77249999999998</v>
      </c>
      <c r="F510" s="21">
        <v>43553</v>
      </c>
      <c r="G510" s="22">
        <v>21.713888888888899</v>
      </c>
      <c r="H510" s="23" t="s">
        <v>29</v>
      </c>
      <c r="I510" s="19">
        <v>306.45</v>
      </c>
      <c r="J510" s="24">
        <v>4.7619047620000003</v>
      </c>
      <c r="K510" s="25">
        <v>7</v>
      </c>
      <c r="L510" s="23" t="str">
        <f>VLOOKUP(A510,'Customer-details'!$A$1:$C$1001,2,FALSE)</f>
        <v>Member</v>
      </c>
      <c r="M510" s="23" t="str">
        <f>VLOOKUP(A510,'Customer-details'!$A$1:$C$1001,3,FALSE)</f>
        <v>Male</v>
      </c>
      <c r="N510" s="23" t="str">
        <f>VLOOKUP(A510,'Product-details'!$A$1:$B$1001,2,FALSE)</f>
        <v>Health and beauty</v>
      </c>
      <c r="O510" s="23" t="str">
        <f>VLOOKUP(A510,'City-details'!$A$1:$C$1001,3,FALSE)</f>
        <v>Mandalay</v>
      </c>
      <c r="P510" s="23" t="str">
        <f>VLOOKUP(A510,'City-details'!$A$1:$C$1001,2,FALSE)</f>
        <v>B</v>
      </c>
      <c r="Q510" s="23" t="str">
        <f t="shared" si="21"/>
        <v>Mar</v>
      </c>
      <c r="R510" s="26" t="str">
        <f t="shared" si="22"/>
        <v>Fri</v>
      </c>
      <c r="S510">
        <f t="shared" si="23"/>
        <v>17</v>
      </c>
      <c r="T510" t="str" cm="1">
        <f t="array" ref="T510">_xlfn.IFS(S510&lt;=12,"Morning",S510&lt;=16,"Afternoon",S510&lt;=21,"Evening",S510&lt;=24,"Night")</f>
        <v>Evening</v>
      </c>
    </row>
    <row r="511" spans="1:20" x14ac:dyDescent="0.25">
      <c r="A511" s="31" t="s">
        <v>545</v>
      </c>
      <c r="B511" s="27">
        <v>15.95</v>
      </c>
      <c r="C511" s="28">
        <v>6</v>
      </c>
      <c r="D511" s="27">
        <v>4.7850000000000001</v>
      </c>
      <c r="E511" s="27">
        <v>100.485</v>
      </c>
      <c r="F511" s="29">
        <v>43505</v>
      </c>
      <c r="G511" s="30">
        <v>21.755555555555599</v>
      </c>
      <c r="H511" s="31" t="s">
        <v>33</v>
      </c>
      <c r="I511" s="27">
        <v>95.7</v>
      </c>
      <c r="J511" s="32">
        <v>4.7619047620000003</v>
      </c>
      <c r="K511" s="33">
        <v>5.0999999999999996</v>
      </c>
      <c r="L511" s="31" t="str">
        <f>VLOOKUP(A511,'Customer-details'!$A$1:$C$1001,2,FALSE)</f>
        <v>Member</v>
      </c>
      <c r="M511" s="31" t="str">
        <f>VLOOKUP(A511,'Customer-details'!$A$1:$C$1001,3,FALSE)</f>
        <v>Female</v>
      </c>
      <c r="N511" s="31" t="str">
        <f>VLOOKUP(A511,'Product-details'!$A$1:$B$1001,2,FALSE)</f>
        <v>Home and lifestyle</v>
      </c>
      <c r="O511" s="31" t="str">
        <f>VLOOKUP(A511,'City-details'!$A$1:$C$1001,3,FALSE)</f>
        <v>Naypyitaw</v>
      </c>
      <c r="P511" s="31" t="str">
        <f>VLOOKUP(A511,'City-details'!$A$1:$C$1001,2,FALSE)</f>
        <v>C</v>
      </c>
      <c r="Q511" s="31" t="str">
        <f t="shared" si="21"/>
        <v>Feb</v>
      </c>
      <c r="R511" s="34" t="str">
        <f t="shared" si="22"/>
        <v>Sat</v>
      </c>
      <c r="S511">
        <f t="shared" si="23"/>
        <v>18</v>
      </c>
      <c r="T511" t="str" cm="1">
        <f t="array" ref="T511">_xlfn.IFS(S511&lt;=12,"Morning",S511&lt;=16,"Afternoon",S511&lt;=21,"Evening",S511&lt;=24,"Night")</f>
        <v>Evening</v>
      </c>
    </row>
    <row r="512" spans="1:20" x14ac:dyDescent="0.25">
      <c r="A512" s="23" t="s">
        <v>546</v>
      </c>
      <c r="B512" s="19">
        <v>90.74</v>
      </c>
      <c r="C512" s="20">
        <v>7</v>
      </c>
      <c r="D512" s="19">
        <v>31.759</v>
      </c>
      <c r="E512" s="19">
        <v>666.93899999999996</v>
      </c>
      <c r="F512" s="21">
        <v>43481</v>
      </c>
      <c r="G512" s="22">
        <v>21.797222222222199</v>
      </c>
      <c r="H512" s="23" t="s">
        <v>33</v>
      </c>
      <c r="I512" s="19">
        <v>635.17999999999995</v>
      </c>
      <c r="J512" s="24">
        <v>4.7619047620000003</v>
      </c>
      <c r="K512" s="25">
        <v>6.2</v>
      </c>
      <c r="L512" s="23" t="str">
        <f>VLOOKUP(A512,'Customer-details'!$A$1:$C$1001,2,FALSE)</f>
        <v>Member</v>
      </c>
      <c r="M512" s="23" t="str">
        <f>VLOOKUP(A512,'Customer-details'!$A$1:$C$1001,3,FALSE)</f>
        <v>Female</v>
      </c>
      <c r="N512" s="23" t="str">
        <f>VLOOKUP(A512,'Product-details'!$A$1:$B$1001,2,FALSE)</f>
        <v>Sports and travel</v>
      </c>
      <c r="O512" s="23" t="str">
        <f>VLOOKUP(A512,'City-details'!$A$1:$C$1001,3,FALSE)</f>
        <v>Mandalay</v>
      </c>
      <c r="P512" s="23" t="str">
        <f>VLOOKUP(A512,'City-details'!$A$1:$C$1001,2,FALSE)</f>
        <v>B</v>
      </c>
      <c r="Q512" s="23" t="str">
        <f t="shared" si="21"/>
        <v>Jan</v>
      </c>
      <c r="R512" s="26" t="str">
        <f t="shared" si="22"/>
        <v>Wed</v>
      </c>
      <c r="S512">
        <f t="shared" si="23"/>
        <v>19</v>
      </c>
      <c r="T512" t="str" cm="1">
        <f t="array" ref="T512">_xlfn.IFS(S512&lt;=12,"Morning",S512&lt;=16,"Afternoon",S512&lt;=21,"Evening",S512&lt;=24,"Night")</f>
        <v>Evening</v>
      </c>
    </row>
    <row r="513" spans="1:20" x14ac:dyDescent="0.25">
      <c r="A513" s="31" t="s">
        <v>547</v>
      </c>
      <c r="B513" s="27">
        <v>42.91</v>
      </c>
      <c r="C513" s="28">
        <v>5</v>
      </c>
      <c r="D513" s="27">
        <v>10.727499999999999</v>
      </c>
      <c r="E513" s="27">
        <v>225.2775</v>
      </c>
      <c r="F513" s="29">
        <v>43470</v>
      </c>
      <c r="G513" s="30">
        <v>21.838888888888899</v>
      </c>
      <c r="H513" s="31" t="s">
        <v>23</v>
      </c>
      <c r="I513" s="27">
        <v>214.55</v>
      </c>
      <c r="J513" s="32">
        <v>4.7619047620000003</v>
      </c>
      <c r="K513" s="33">
        <v>6.1</v>
      </c>
      <c r="L513" s="31" t="str">
        <f>VLOOKUP(A513,'Customer-details'!$A$1:$C$1001,2,FALSE)</f>
        <v>Normal</v>
      </c>
      <c r="M513" s="31" t="str">
        <f>VLOOKUP(A513,'Customer-details'!$A$1:$C$1001,3,FALSE)</f>
        <v>Female</v>
      </c>
      <c r="N513" s="31" t="str">
        <f>VLOOKUP(A513,'Product-details'!$A$1:$B$1001,2,FALSE)</f>
        <v>Home and lifestyle</v>
      </c>
      <c r="O513" s="31" t="str">
        <f>VLOOKUP(A513,'City-details'!$A$1:$C$1001,3,FALSE)</f>
        <v>Yangon</v>
      </c>
      <c r="P513" s="31" t="str">
        <f>VLOOKUP(A513,'City-details'!$A$1:$C$1001,2,FALSE)</f>
        <v>A</v>
      </c>
      <c r="Q513" s="31" t="str">
        <f t="shared" si="21"/>
        <v>Jan</v>
      </c>
      <c r="R513" s="34" t="str">
        <f t="shared" si="22"/>
        <v>Sat</v>
      </c>
      <c r="S513">
        <f t="shared" si="23"/>
        <v>20</v>
      </c>
      <c r="T513" t="str" cm="1">
        <f t="array" ref="T513">_xlfn.IFS(S513&lt;=12,"Morning",S513&lt;=16,"Afternoon",S513&lt;=21,"Evening",S513&lt;=24,"Night")</f>
        <v>Evening</v>
      </c>
    </row>
    <row r="514" spans="1:20" x14ac:dyDescent="0.25">
      <c r="A514" s="23" t="s">
        <v>548</v>
      </c>
      <c r="B514" s="19">
        <v>54.28</v>
      </c>
      <c r="C514" s="20">
        <v>7</v>
      </c>
      <c r="D514" s="19">
        <v>18.998000000000001</v>
      </c>
      <c r="E514" s="19">
        <v>398.95800000000003</v>
      </c>
      <c r="F514" s="21">
        <v>43492</v>
      </c>
      <c r="G514" s="22">
        <v>21.880555555555599</v>
      </c>
      <c r="H514" s="23" t="s">
        <v>23</v>
      </c>
      <c r="I514" s="19">
        <v>379.96</v>
      </c>
      <c r="J514" s="24">
        <v>4.7619047620000003</v>
      </c>
      <c r="K514" s="25">
        <v>9.3000000000000007</v>
      </c>
      <c r="L514" s="23" t="str">
        <f>VLOOKUP(A514,'Customer-details'!$A$1:$C$1001,2,FALSE)</f>
        <v>Normal</v>
      </c>
      <c r="M514" s="23" t="str">
        <f>VLOOKUP(A514,'Customer-details'!$A$1:$C$1001,3,FALSE)</f>
        <v>Female</v>
      </c>
      <c r="N514" s="23" t="str">
        <f>VLOOKUP(A514,'Product-details'!$A$1:$B$1001,2,FALSE)</f>
        <v>Fashion accessories</v>
      </c>
      <c r="O514" s="23" t="str">
        <f>VLOOKUP(A514,'City-details'!$A$1:$C$1001,3,FALSE)</f>
        <v>Yangon</v>
      </c>
      <c r="P514" s="23" t="str">
        <f>VLOOKUP(A514,'City-details'!$A$1:$C$1001,2,FALSE)</f>
        <v>A</v>
      </c>
      <c r="Q514" s="23" t="str">
        <f t="shared" si="21"/>
        <v>Jan</v>
      </c>
      <c r="R514" s="26" t="str">
        <f t="shared" si="22"/>
        <v>Sun</v>
      </c>
      <c r="S514">
        <f t="shared" si="23"/>
        <v>21</v>
      </c>
      <c r="T514" t="str" cm="1">
        <f t="array" ref="T514">_xlfn.IFS(S514&lt;=12,"Morning",S514&lt;=16,"Afternoon",S514&lt;=21,"Evening",S514&lt;=24,"Night")</f>
        <v>Evening</v>
      </c>
    </row>
    <row r="515" spans="1:20" x14ac:dyDescent="0.25">
      <c r="A515" s="31" t="s">
        <v>549</v>
      </c>
      <c r="B515" s="27">
        <v>99.55</v>
      </c>
      <c r="C515" s="28">
        <v>7</v>
      </c>
      <c r="D515" s="27">
        <v>34.842500000000001</v>
      </c>
      <c r="E515" s="27">
        <v>731.6925</v>
      </c>
      <c r="F515" s="29">
        <v>43538</v>
      </c>
      <c r="G515" s="30">
        <v>21.922222222222199</v>
      </c>
      <c r="H515" s="31" t="s">
        <v>29</v>
      </c>
      <c r="I515" s="27">
        <v>696.85</v>
      </c>
      <c r="J515" s="32">
        <v>4.7619047620000003</v>
      </c>
      <c r="K515" s="33">
        <v>7.6</v>
      </c>
      <c r="L515" s="31" t="str">
        <f>VLOOKUP(A515,'Customer-details'!$A$1:$C$1001,2,FALSE)</f>
        <v>Normal</v>
      </c>
      <c r="M515" s="31" t="str">
        <f>VLOOKUP(A515,'Customer-details'!$A$1:$C$1001,3,FALSE)</f>
        <v>Male</v>
      </c>
      <c r="N515" s="31" t="str">
        <f>VLOOKUP(A515,'Product-details'!$A$1:$B$1001,2,FALSE)</f>
        <v>Electronic accessories</v>
      </c>
      <c r="O515" s="31" t="str">
        <f>VLOOKUP(A515,'City-details'!$A$1:$C$1001,3,FALSE)</f>
        <v>Yangon</v>
      </c>
      <c r="P515" s="31" t="str">
        <f>VLOOKUP(A515,'City-details'!$A$1:$C$1001,2,FALSE)</f>
        <v>A</v>
      </c>
      <c r="Q515" s="31" t="str">
        <f t="shared" ref="Q515:Q578" si="24">TEXT(F515,"mmm")</f>
        <v>Mar</v>
      </c>
      <c r="R515" s="34" t="str">
        <f t="shared" ref="R515:R578" si="25">TEXT(F515,"ddd")</f>
        <v>Thu</v>
      </c>
      <c r="S515">
        <f t="shared" ref="S515:S578" si="26">HOUR(G515)</f>
        <v>22</v>
      </c>
      <c r="T515" t="str" cm="1">
        <f t="array" ref="T515">_xlfn.IFS(S515&lt;=12,"Morning",S515&lt;=16,"Afternoon",S515&lt;=21,"Evening",S515&lt;=24,"Night")</f>
        <v>Night</v>
      </c>
    </row>
    <row r="516" spans="1:20" x14ac:dyDescent="0.25">
      <c r="A516" s="23" t="s">
        <v>550</v>
      </c>
      <c r="B516" s="19">
        <v>58.39</v>
      </c>
      <c r="C516" s="20">
        <v>7</v>
      </c>
      <c r="D516" s="19">
        <v>20.436499999999999</v>
      </c>
      <c r="E516" s="19">
        <v>429.16649999999998</v>
      </c>
      <c r="F516" s="21">
        <v>43519</v>
      </c>
      <c r="G516" s="22">
        <v>21.963888888888899</v>
      </c>
      <c r="H516" s="23" t="s">
        <v>33</v>
      </c>
      <c r="I516" s="19">
        <v>408.73</v>
      </c>
      <c r="J516" s="24">
        <v>4.7619047620000003</v>
      </c>
      <c r="K516" s="25">
        <v>8.1999999999999993</v>
      </c>
      <c r="L516" s="23" t="str">
        <f>VLOOKUP(A516,'Customer-details'!$A$1:$C$1001,2,FALSE)</f>
        <v>Member</v>
      </c>
      <c r="M516" s="23" t="str">
        <f>VLOOKUP(A516,'Customer-details'!$A$1:$C$1001,3,FALSE)</f>
        <v>Male</v>
      </c>
      <c r="N516" s="23" t="str">
        <f>VLOOKUP(A516,'Product-details'!$A$1:$B$1001,2,FALSE)</f>
        <v>Sports and travel</v>
      </c>
      <c r="O516" s="23" t="str">
        <f>VLOOKUP(A516,'City-details'!$A$1:$C$1001,3,FALSE)</f>
        <v>Naypyitaw</v>
      </c>
      <c r="P516" s="23" t="str">
        <f>VLOOKUP(A516,'City-details'!$A$1:$C$1001,2,FALSE)</f>
        <v>C</v>
      </c>
      <c r="Q516" s="23" t="str">
        <f t="shared" si="24"/>
        <v>Feb</v>
      </c>
      <c r="R516" s="26" t="str">
        <f t="shared" si="25"/>
        <v>Sat</v>
      </c>
      <c r="S516">
        <f t="shared" si="26"/>
        <v>23</v>
      </c>
      <c r="T516" t="str" cm="1">
        <f t="array" ref="T516">_xlfn.IFS(S516&lt;=12,"Morning",S516&lt;=16,"Afternoon",S516&lt;=21,"Evening",S516&lt;=24,"Night")</f>
        <v>Night</v>
      </c>
    </row>
    <row r="517" spans="1:20" x14ac:dyDescent="0.25">
      <c r="A517" s="31" t="s">
        <v>551</v>
      </c>
      <c r="B517" s="27">
        <v>51.47</v>
      </c>
      <c r="C517" s="28">
        <v>1</v>
      </c>
      <c r="D517" s="27">
        <v>2.5735000000000001</v>
      </c>
      <c r="E517" s="27">
        <v>54.043500000000002</v>
      </c>
      <c r="F517" s="29">
        <v>43542</v>
      </c>
      <c r="G517" s="30">
        <v>22.005555555555599</v>
      </c>
      <c r="H517" s="31" t="s">
        <v>23</v>
      </c>
      <c r="I517" s="27">
        <v>51.47</v>
      </c>
      <c r="J517" s="32">
        <v>4.7619047620000003</v>
      </c>
      <c r="K517" s="33">
        <v>8.5</v>
      </c>
      <c r="L517" s="31" t="str">
        <f>VLOOKUP(A517,'Customer-details'!$A$1:$C$1001,2,FALSE)</f>
        <v>Member</v>
      </c>
      <c r="M517" s="31" t="str">
        <f>VLOOKUP(A517,'Customer-details'!$A$1:$C$1001,3,FALSE)</f>
        <v>Female</v>
      </c>
      <c r="N517" s="31" t="str">
        <f>VLOOKUP(A517,'Product-details'!$A$1:$B$1001,2,FALSE)</f>
        <v>Fashion accessories</v>
      </c>
      <c r="O517" s="31" t="str">
        <f>VLOOKUP(A517,'City-details'!$A$1:$C$1001,3,FALSE)</f>
        <v>Naypyitaw</v>
      </c>
      <c r="P517" s="31" t="str">
        <f>VLOOKUP(A517,'City-details'!$A$1:$C$1001,2,FALSE)</f>
        <v>C</v>
      </c>
      <c r="Q517" s="31" t="str">
        <f t="shared" si="24"/>
        <v>Mar</v>
      </c>
      <c r="R517" s="34" t="str">
        <f t="shared" si="25"/>
        <v>Mon</v>
      </c>
      <c r="S517">
        <f t="shared" si="26"/>
        <v>0</v>
      </c>
      <c r="T517" t="str" cm="1">
        <f t="array" ref="T517">_xlfn.IFS(S517&lt;=12,"Morning",S517&lt;=16,"Afternoon",S517&lt;=21,"Evening",S517&lt;=24,"Night")</f>
        <v>Morning</v>
      </c>
    </row>
    <row r="518" spans="1:20" x14ac:dyDescent="0.25">
      <c r="A518" s="23" t="s">
        <v>552</v>
      </c>
      <c r="B518" s="19">
        <v>54.86</v>
      </c>
      <c r="C518" s="20">
        <v>5</v>
      </c>
      <c r="D518" s="19">
        <v>13.715</v>
      </c>
      <c r="E518" s="19">
        <v>288.01499999999999</v>
      </c>
      <c r="F518" s="21">
        <v>43553</v>
      </c>
      <c r="G518" s="22">
        <v>22.047222222222199</v>
      </c>
      <c r="H518" s="23" t="s">
        <v>23</v>
      </c>
      <c r="I518" s="19">
        <v>274.3</v>
      </c>
      <c r="J518" s="24">
        <v>4.7619047620000003</v>
      </c>
      <c r="K518" s="25">
        <v>9.8000000000000007</v>
      </c>
      <c r="L518" s="23" t="str">
        <f>VLOOKUP(A518,'Customer-details'!$A$1:$C$1001,2,FALSE)</f>
        <v>Member</v>
      </c>
      <c r="M518" s="23" t="str">
        <f>VLOOKUP(A518,'Customer-details'!$A$1:$C$1001,3,FALSE)</f>
        <v>Male</v>
      </c>
      <c r="N518" s="23" t="str">
        <f>VLOOKUP(A518,'Product-details'!$A$1:$B$1001,2,FALSE)</f>
        <v>Health and beauty</v>
      </c>
      <c r="O518" s="23" t="str">
        <f>VLOOKUP(A518,'City-details'!$A$1:$C$1001,3,FALSE)</f>
        <v>Mandalay</v>
      </c>
      <c r="P518" s="23" t="str">
        <f>VLOOKUP(A518,'City-details'!$A$1:$C$1001,2,FALSE)</f>
        <v>B</v>
      </c>
      <c r="Q518" s="23" t="str">
        <f t="shared" si="24"/>
        <v>Mar</v>
      </c>
      <c r="R518" s="26" t="str">
        <f t="shared" si="25"/>
        <v>Fri</v>
      </c>
      <c r="S518">
        <f t="shared" si="26"/>
        <v>1</v>
      </c>
      <c r="T518" t="str" cm="1">
        <f t="array" ref="T518">_xlfn.IFS(S518&lt;=12,"Morning",S518&lt;=16,"Afternoon",S518&lt;=21,"Evening",S518&lt;=24,"Night")</f>
        <v>Morning</v>
      </c>
    </row>
    <row r="519" spans="1:20" x14ac:dyDescent="0.25">
      <c r="A519" s="31" t="s">
        <v>553</v>
      </c>
      <c r="B519" s="27">
        <v>39.39</v>
      </c>
      <c r="C519" s="28">
        <v>5</v>
      </c>
      <c r="D519" s="27">
        <v>9.8475000000000001</v>
      </c>
      <c r="E519" s="27">
        <v>206.79750000000001</v>
      </c>
      <c r="F519" s="29">
        <v>43487</v>
      </c>
      <c r="G519" s="30">
        <v>22.088888888888899</v>
      </c>
      <c r="H519" s="31" t="s">
        <v>33</v>
      </c>
      <c r="I519" s="27">
        <v>196.95</v>
      </c>
      <c r="J519" s="32">
        <v>4.7619047620000003</v>
      </c>
      <c r="K519" s="33">
        <v>8.6999999999999993</v>
      </c>
      <c r="L519" s="31" t="str">
        <f>VLOOKUP(A519,'Customer-details'!$A$1:$C$1001,2,FALSE)</f>
        <v>Member</v>
      </c>
      <c r="M519" s="31" t="str">
        <f>VLOOKUP(A519,'Customer-details'!$A$1:$C$1001,3,FALSE)</f>
        <v>Male</v>
      </c>
      <c r="N519" s="31" t="str">
        <f>VLOOKUP(A519,'Product-details'!$A$1:$B$1001,2,FALSE)</f>
        <v>Home and lifestyle</v>
      </c>
      <c r="O519" s="31" t="str">
        <f>VLOOKUP(A519,'City-details'!$A$1:$C$1001,3,FALSE)</f>
        <v>Naypyitaw</v>
      </c>
      <c r="P519" s="31" t="str">
        <f>VLOOKUP(A519,'City-details'!$A$1:$C$1001,2,FALSE)</f>
        <v>C</v>
      </c>
      <c r="Q519" s="31" t="str">
        <f t="shared" si="24"/>
        <v>Jan</v>
      </c>
      <c r="R519" s="34" t="str">
        <f t="shared" si="25"/>
        <v>Tue</v>
      </c>
      <c r="S519">
        <f t="shared" si="26"/>
        <v>2</v>
      </c>
      <c r="T519" t="str" cm="1">
        <f t="array" ref="T519">_xlfn.IFS(S519&lt;=12,"Morning",S519&lt;=16,"Afternoon",S519&lt;=21,"Evening",S519&lt;=24,"Night")</f>
        <v>Morning</v>
      </c>
    </row>
    <row r="520" spans="1:20" x14ac:dyDescent="0.25">
      <c r="A520" s="23" t="s">
        <v>554</v>
      </c>
      <c r="B520" s="19">
        <v>34.729999999999997</v>
      </c>
      <c r="C520" s="20">
        <v>2</v>
      </c>
      <c r="D520" s="19">
        <v>3.4729999999999999</v>
      </c>
      <c r="E520" s="19">
        <v>72.933000000000007</v>
      </c>
      <c r="F520" s="21">
        <v>43525</v>
      </c>
      <c r="G520" s="22">
        <v>22.130555555555599</v>
      </c>
      <c r="H520" s="23" t="s">
        <v>23</v>
      </c>
      <c r="I520" s="19">
        <v>69.459999999999994</v>
      </c>
      <c r="J520" s="24">
        <v>4.7619047620000003</v>
      </c>
      <c r="K520" s="25">
        <v>9.6999999999999993</v>
      </c>
      <c r="L520" s="23" t="str">
        <f>VLOOKUP(A520,'Customer-details'!$A$1:$C$1001,2,FALSE)</f>
        <v>Normal</v>
      </c>
      <c r="M520" s="23" t="str">
        <f>VLOOKUP(A520,'Customer-details'!$A$1:$C$1001,3,FALSE)</f>
        <v>Male</v>
      </c>
      <c r="N520" s="23" t="str">
        <f>VLOOKUP(A520,'Product-details'!$A$1:$B$1001,2,FALSE)</f>
        <v>Home and lifestyle</v>
      </c>
      <c r="O520" s="23" t="str">
        <f>VLOOKUP(A520,'City-details'!$A$1:$C$1001,3,FALSE)</f>
        <v>Yangon</v>
      </c>
      <c r="P520" s="23" t="str">
        <f>VLOOKUP(A520,'City-details'!$A$1:$C$1001,2,FALSE)</f>
        <v>A</v>
      </c>
      <c r="Q520" s="23" t="str">
        <f t="shared" si="24"/>
        <v>Mar</v>
      </c>
      <c r="R520" s="26" t="str">
        <f t="shared" si="25"/>
        <v>Fri</v>
      </c>
      <c r="S520">
        <f t="shared" si="26"/>
        <v>3</v>
      </c>
      <c r="T520" t="str" cm="1">
        <f t="array" ref="T520">_xlfn.IFS(S520&lt;=12,"Morning",S520&lt;=16,"Afternoon",S520&lt;=21,"Evening",S520&lt;=24,"Night")</f>
        <v>Morning</v>
      </c>
    </row>
    <row r="521" spans="1:20" x14ac:dyDescent="0.25">
      <c r="A521" s="31" t="s">
        <v>555</v>
      </c>
      <c r="B521" s="27">
        <v>71.92</v>
      </c>
      <c r="C521" s="28">
        <v>5</v>
      </c>
      <c r="D521" s="27">
        <v>17.98</v>
      </c>
      <c r="E521" s="27">
        <v>377.58</v>
      </c>
      <c r="F521" s="29">
        <v>43482</v>
      </c>
      <c r="G521" s="30">
        <v>22.172222222222199</v>
      </c>
      <c r="H521" s="31" t="s">
        <v>33</v>
      </c>
      <c r="I521" s="27">
        <v>359.6</v>
      </c>
      <c r="J521" s="32">
        <v>4.7619047620000003</v>
      </c>
      <c r="K521" s="33">
        <v>4.3</v>
      </c>
      <c r="L521" s="31" t="str">
        <f>VLOOKUP(A521,'Customer-details'!$A$1:$C$1001,2,FALSE)</f>
        <v>Member</v>
      </c>
      <c r="M521" s="31" t="str">
        <f>VLOOKUP(A521,'Customer-details'!$A$1:$C$1001,3,FALSE)</f>
        <v>Male</v>
      </c>
      <c r="N521" s="31" t="str">
        <f>VLOOKUP(A521,'Product-details'!$A$1:$B$1001,2,FALSE)</f>
        <v>Sports and travel</v>
      </c>
      <c r="O521" s="31" t="str">
        <f>VLOOKUP(A521,'City-details'!$A$1:$C$1001,3,FALSE)</f>
        <v>Naypyitaw</v>
      </c>
      <c r="P521" s="31" t="str">
        <f>VLOOKUP(A521,'City-details'!$A$1:$C$1001,2,FALSE)</f>
        <v>C</v>
      </c>
      <c r="Q521" s="31" t="str">
        <f t="shared" si="24"/>
        <v>Jan</v>
      </c>
      <c r="R521" s="34" t="str">
        <f t="shared" si="25"/>
        <v>Thu</v>
      </c>
      <c r="S521">
        <f t="shared" si="26"/>
        <v>4</v>
      </c>
      <c r="T521" t="str" cm="1">
        <f t="array" ref="T521">_xlfn.IFS(S521&lt;=12,"Morning",S521&lt;=16,"Afternoon",S521&lt;=21,"Evening",S521&lt;=24,"Night")</f>
        <v>Morning</v>
      </c>
    </row>
    <row r="522" spans="1:20" x14ac:dyDescent="0.25">
      <c r="A522" s="23" t="s">
        <v>556</v>
      </c>
      <c r="B522" s="19">
        <v>45.71</v>
      </c>
      <c r="C522" s="20">
        <v>3</v>
      </c>
      <c r="D522" s="19">
        <v>6.8564999999999996</v>
      </c>
      <c r="E522" s="19">
        <v>143.98650000000001</v>
      </c>
      <c r="F522" s="21">
        <v>43550</v>
      </c>
      <c r="G522" s="22">
        <v>22.213888888888899</v>
      </c>
      <c r="H522" s="23" t="s">
        <v>33</v>
      </c>
      <c r="I522" s="19">
        <v>137.13</v>
      </c>
      <c r="J522" s="24">
        <v>4.7619047620000003</v>
      </c>
      <c r="K522" s="25">
        <v>7.7</v>
      </c>
      <c r="L522" s="23" t="str">
        <f>VLOOKUP(A522,'Customer-details'!$A$1:$C$1001,2,FALSE)</f>
        <v>Normal</v>
      </c>
      <c r="M522" s="23" t="str">
        <f>VLOOKUP(A522,'Customer-details'!$A$1:$C$1001,3,FALSE)</f>
        <v>Female</v>
      </c>
      <c r="N522" s="23" t="str">
        <f>VLOOKUP(A522,'Product-details'!$A$1:$B$1001,2,FALSE)</f>
        <v>Electronic accessories</v>
      </c>
      <c r="O522" s="23" t="str">
        <f>VLOOKUP(A522,'City-details'!$A$1:$C$1001,3,FALSE)</f>
        <v>Mandalay</v>
      </c>
      <c r="P522" s="23" t="str">
        <f>VLOOKUP(A522,'City-details'!$A$1:$C$1001,2,FALSE)</f>
        <v>B</v>
      </c>
      <c r="Q522" s="23" t="str">
        <f t="shared" si="24"/>
        <v>Mar</v>
      </c>
      <c r="R522" s="26" t="str">
        <f t="shared" si="25"/>
        <v>Tue</v>
      </c>
      <c r="S522">
        <f t="shared" si="26"/>
        <v>5</v>
      </c>
      <c r="T522" t="str" cm="1">
        <f t="array" ref="T522">_xlfn.IFS(S522&lt;=12,"Morning",S522&lt;=16,"Afternoon",S522&lt;=21,"Evening",S522&lt;=24,"Night")</f>
        <v>Morning</v>
      </c>
    </row>
    <row r="523" spans="1:20" x14ac:dyDescent="0.25">
      <c r="A523" s="31" t="s">
        <v>557</v>
      </c>
      <c r="B523" s="27">
        <v>83.17</v>
      </c>
      <c r="C523" s="28">
        <v>6</v>
      </c>
      <c r="D523" s="27">
        <v>24.951000000000001</v>
      </c>
      <c r="E523" s="27">
        <v>523.971</v>
      </c>
      <c r="F523" s="29">
        <v>43544</v>
      </c>
      <c r="G523" s="30">
        <v>22.255555555555599</v>
      </c>
      <c r="H523" s="31" t="s">
        <v>29</v>
      </c>
      <c r="I523" s="27">
        <v>499.02</v>
      </c>
      <c r="J523" s="32">
        <v>4.7619047620000003</v>
      </c>
      <c r="K523" s="33">
        <v>7.3</v>
      </c>
      <c r="L523" s="31" t="str">
        <f>VLOOKUP(A523,'Customer-details'!$A$1:$C$1001,2,FALSE)</f>
        <v>Member</v>
      </c>
      <c r="M523" s="31" t="str">
        <f>VLOOKUP(A523,'Customer-details'!$A$1:$C$1001,3,FALSE)</f>
        <v>Female</v>
      </c>
      <c r="N523" s="31" t="str">
        <f>VLOOKUP(A523,'Product-details'!$A$1:$B$1001,2,FALSE)</f>
        <v>Home and lifestyle</v>
      </c>
      <c r="O523" s="31" t="str">
        <f>VLOOKUP(A523,'City-details'!$A$1:$C$1001,3,FALSE)</f>
        <v>Naypyitaw</v>
      </c>
      <c r="P523" s="31" t="str">
        <f>VLOOKUP(A523,'City-details'!$A$1:$C$1001,2,FALSE)</f>
        <v>C</v>
      </c>
      <c r="Q523" s="31" t="str">
        <f t="shared" si="24"/>
        <v>Mar</v>
      </c>
      <c r="R523" s="34" t="str">
        <f t="shared" si="25"/>
        <v>Wed</v>
      </c>
      <c r="S523">
        <f t="shared" si="26"/>
        <v>6</v>
      </c>
      <c r="T523" t="str" cm="1">
        <f t="array" ref="T523">_xlfn.IFS(S523&lt;=12,"Morning",S523&lt;=16,"Afternoon",S523&lt;=21,"Evening",S523&lt;=24,"Night")</f>
        <v>Morning</v>
      </c>
    </row>
    <row r="524" spans="1:20" x14ac:dyDescent="0.25">
      <c r="A524" s="23" t="s">
        <v>558</v>
      </c>
      <c r="B524" s="19">
        <v>37.44</v>
      </c>
      <c r="C524" s="20">
        <v>6</v>
      </c>
      <c r="D524" s="19">
        <v>11.231999999999999</v>
      </c>
      <c r="E524" s="19">
        <v>235.87200000000001</v>
      </c>
      <c r="F524" s="21">
        <v>43502</v>
      </c>
      <c r="G524" s="22">
        <v>22.297222222222199</v>
      </c>
      <c r="H524" s="23" t="s">
        <v>33</v>
      </c>
      <c r="I524" s="19">
        <v>224.64</v>
      </c>
      <c r="J524" s="24">
        <v>4.7619047620000003</v>
      </c>
      <c r="K524" s="25">
        <v>5.9</v>
      </c>
      <c r="L524" s="23" t="str">
        <f>VLOOKUP(A524,'Customer-details'!$A$1:$C$1001,2,FALSE)</f>
        <v>Member</v>
      </c>
      <c r="M524" s="23" t="str">
        <f>VLOOKUP(A524,'Customer-details'!$A$1:$C$1001,3,FALSE)</f>
        <v>Female</v>
      </c>
      <c r="N524" s="23" t="str">
        <f>VLOOKUP(A524,'Product-details'!$A$1:$B$1001,2,FALSE)</f>
        <v>Home and lifestyle</v>
      </c>
      <c r="O524" s="23" t="str">
        <f>VLOOKUP(A524,'City-details'!$A$1:$C$1001,3,FALSE)</f>
        <v>Yangon</v>
      </c>
      <c r="P524" s="23" t="str">
        <f>VLOOKUP(A524,'City-details'!$A$1:$C$1001,2,FALSE)</f>
        <v>A</v>
      </c>
      <c r="Q524" s="23" t="str">
        <f t="shared" si="24"/>
        <v>Feb</v>
      </c>
      <c r="R524" s="26" t="str">
        <f t="shared" si="25"/>
        <v>Wed</v>
      </c>
      <c r="S524">
        <f t="shared" si="26"/>
        <v>7</v>
      </c>
      <c r="T524" t="str" cm="1">
        <f t="array" ref="T524">_xlfn.IFS(S524&lt;=12,"Morning",S524&lt;=16,"Afternoon",S524&lt;=21,"Evening",S524&lt;=24,"Night")</f>
        <v>Morning</v>
      </c>
    </row>
    <row r="525" spans="1:20" x14ac:dyDescent="0.25">
      <c r="A525" s="31" t="s">
        <v>559</v>
      </c>
      <c r="B525" s="27">
        <v>62.87</v>
      </c>
      <c r="C525" s="28">
        <v>2</v>
      </c>
      <c r="D525" s="27">
        <v>6.2869999999999999</v>
      </c>
      <c r="E525" s="27">
        <v>132.02699999999999</v>
      </c>
      <c r="F525" s="29">
        <v>43466</v>
      </c>
      <c r="G525" s="30">
        <v>22.338888888888899</v>
      </c>
      <c r="H525" s="31" t="s">
        <v>29</v>
      </c>
      <c r="I525" s="27">
        <v>125.74</v>
      </c>
      <c r="J525" s="32">
        <v>4.7619047620000003</v>
      </c>
      <c r="K525" s="33">
        <v>5</v>
      </c>
      <c r="L525" s="31" t="str">
        <f>VLOOKUP(A525,'Customer-details'!$A$1:$C$1001,2,FALSE)</f>
        <v>Normal</v>
      </c>
      <c r="M525" s="31" t="str">
        <f>VLOOKUP(A525,'Customer-details'!$A$1:$C$1001,3,FALSE)</f>
        <v>Male</v>
      </c>
      <c r="N525" s="31" t="str">
        <f>VLOOKUP(A525,'Product-details'!$A$1:$B$1001,2,FALSE)</f>
        <v>Health and beauty</v>
      </c>
      <c r="O525" s="31" t="str">
        <f>VLOOKUP(A525,'City-details'!$A$1:$C$1001,3,FALSE)</f>
        <v>Naypyitaw</v>
      </c>
      <c r="P525" s="31" t="str">
        <f>VLOOKUP(A525,'City-details'!$A$1:$C$1001,2,FALSE)</f>
        <v>C</v>
      </c>
      <c r="Q525" s="31" t="str">
        <f t="shared" si="24"/>
        <v>Jan</v>
      </c>
      <c r="R525" s="34" t="str">
        <f t="shared" si="25"/>
        <v>Tue</v>
      </c>
      <c r="S525">
        <f t="shared" si="26"/>
        <v>8</v>
      </c>
      <c r="T525" t="str" cm="1">
        <f t="array" ref="T525">_xlfn.IFS(S525&lt;=12,"Morning",S525&lt;=16,"Afternoon",S525&lt;=21,"Evening",S525&lt;=24,"Night")</f>
        <v>Morning</v>
      </c>
    </row>
    <row r="526" spans="1:20" x14ac:dyDescent="0.25">
      <c r="A526" s="23" t="s">
        <v>560</v>
      </c>
      <c r="B526" s="19">
        <v>81.709999999999994</v>
      </c>
      <c r="C526" s="20">
        <v>6</v>
      </c>
      <c r="D526" s="19">
        <v>24.513000000000002</v>
      </c>
      <c r="E526" s="19">
        <v>514.77300000000002</v>
      </c>
      <c r="F526" s="21">
        <v>43492</v>
      </c>
      <c r="G526" s="22">
        <v>22.380555555555599</v>
      </c>
      <c r="H526" s="23" t="s">
        <v>33</v>
      </c>
      <c r="I526" s="19">
        <v>490.26</v>
      </c>
      <c r="J526" s="24">
        <v>4.7619047620000003</v>
      </c>
      <c r="K526" s="25">
        <v>8</v>
      </c>
      <c r="L526" s="23" t="str">
        <f>VLOOKUP(A526,'Customer-details'!$A$1:$C$1001,2,FALSE)</f>
        <v>Normal</v>
      </c>
      <c r="M526" s="23" t="str">
        <f>VLOOKUP(A526,'Customer-details'!$A$1:$C$1001,3,FALSE)</f>
        <v>Male</v>
      </c>
      <c r="N526" s="23" t="str">
        <f>VLOOKUP(A526,'Product-details'!$A$1:$B$1001,2,FALSE)</f>
        <v>Food and beverages</v>
      </c>
      <c r="O526" s="23" t="str">
        <f>VLOOKUP(A526,'City-details'!$A$1:$C$1001,3,FALSE)</f>
        <v>Yangon</v>
      </c>
      <c r="P526" s="23" t="str">
        <f>VLOOKUP(A526,'City-details'!$A$1:$C$1001,2,FALSE)</f>
        <v>A</v>
      </c>
      <c r="Q526" s="23" t="str">
        <f t="shared" si="24"/>
        <v>Jan</v>
      </c>
      <c r="R526" s="26" t="str">
        <f t="shared" si="25"/>
        <v>Sun</v>
      </c>
      <c r="S526">
        <f t="shared" si="26"/>
        <v>9</v>
      </c>
      <c r="T526" t="str" cm="1">
        <f t="array" ref="T526">_xlfn.IFS(S526&lt;=12,"Morning",S526&lt;=16,"Afternoon",S526&lt;=21,"Evening",S526&lt;=24,"Night")</f>
        <v>Morning</v>
      </c>
    </row>
    <row r="527" spans="1:20" x14ac:dyDescent="0.25">
      <c r="A527" s="31" t="s">
        <v>561</v>
      </c>
      <c r="B527" s="27">
        <v>91.41</v>
      </c>
      <c r="C527" s="28">
        <v>5</v>
      </c>
      <c r="D527" s="27">
        <v>22.852499999999999</v>
      </c>
      <c r="E527" s="27">
        <v>479.90249999999997</v>
      </c>
      <c r="F527" s="29">
        <v>43521</v>
      </c>
      <c r="G527" s="30">
        <v>22.422222222222199</v>
      </c>
      <c r="H527" s="31" t="s">
        <v>23</v>
      </c>
      <c r="I527" s="27">
        <v>457.05</v>
      </c>
      <c r="J527" s="32">
        <v>4.7619047620000003</v>
      </c>
      <c r="K527" s="33">
        <v>7.1</v>
      </c>
      <c r="L527" s="31" t="str">
        <f>VLOOKUP(A527,'Customer-details'!$A$1:$C$1001,2,FALSE)</f>
        <v>Member</v>
      </c>
      <c r="M527" s="31" t="str">
        <f>VLOOKUP(A527,'Customer-details'!$A$1:$C$1001,3,FALSE)</f>
        <v>Female</v>
      </c>
      <c r="N527" s="31" t="str">
        <f>VLOOKUP(A527,'Product-details'!$A$1:$B$1001,2,FALSE)</f>
        <v>Sports and travel</v>
      </c>
      <c r="O527" s="31" t="str">
        <f>VLOOKUP(A527,'City-details'!$A$1:$C$1001,3,FALSE)</f>
        <v>Yangon</v>
      </c>
      <c r="P527" s="31" t="str">
        <f>VLOOKUP(A527,'City-details'!$A$1:$C$1001,2,FALSE)</f>
        <v>A</v>
      </c>
      <c r="Q527" s="31" t="str">
        <f t="shared" si="24"/>
        <v>Feb</v>
      </c>
      <c r="R527" s="34" t="str">
        <f t="shared" si="25"/>
        <v>Mon</v>
      </c>
      <c r="S527">
        <f t="shared" si="26"/>
        <v>10</v>
      </c>
      <c r="T527" t="str" cm="1">
        <f t="array" ref="T527">_xlfn.IFS(S527&lt;=12,"Morning",S527&lt;=16,"Afternoon",S527&lt;=21,"Evening",S527&lt;=24,"Night")</f>
        <v>Morning</v>
      </c>
    </row>
    <row r="528" spans="1:20" x14ac:dyDescent="0.25">
      <c r="A528" s="23" t="s">
        <v>562</v>
      </c>
      <c r="B528" s="19">
        <v>39.21</v>
      </c>
      <c r="C528" s="20">
        <v>4</v>
      </c>
      <c r="D528" s="19">
        <v>7.8419999999999996</v>
      </c>
      <c r="E528" s="19">
        <v>164.68199999999999</v>
      </c>
      <c r="F528" s="21">
        <v>43481</v>
      </c>
      <c r="G528" s="22">
        <v>22.463888888888899</v>
      </c>
      <c r="H528" s="23" t="s">
        <v>33</v>
      </c>
      <c r="I528" s="19">
        <v>156.84</v>
      </c>
      <c r="J528" s="24">
        <v>4.7619047620000003</v>
      </c>
      <c r="K528" s="25">
        <v>9</v>
      </c>
      <c r="L528" s="23" t="str">
        <f>VLOOKUP(A528,'Customer-details'!$A$1:$C$1001,2,FALSE)</f>
        <v>Normal</v>
      </c>
      <c r="M528" s="23" t="str">
        <f>VLOOKUP(A528,'Customer-details'!$A$1:$C$1001,3,FALSE)</f>
        <v>Male</v>
      </c>
      <c r="N528" s="23" t="str">
        <f>VLOOKUP(A528,'Product-details'!$A$1:$B$1001,2,FALSE)</f>
        <v>Fashion accessories</v>
      </c>
      <c r="O528" s="23" t="str">
        <f>VLOOKUP(A528,'City-details'!$A$1:$C$1001,3,FALSE)</f>
        <v>Mandalay</v>
      </c>
      <c r="P528" s="23" t="str">
        <f>VLOOKUP(A528,'City-details'!$A$1:$C$1001,2,FALSE)</f>
        <v>B</v>
      </c>
      <c r="Q528" s="23" t="str">
        <f t="shared" si="24"/>
        <v>Jan</v>
      </c>
      <c r="R528" s="26" t="str">
        <f t="shared" si="25"/>
        <v>Wed</v>
      </c>
      <c r="S528">
        <f t="shared" si="26"/>
        <v>11</v>
      </c>
      <c r="T528" t="str" cm="1">
        <f t="array" ref="T528">_xlfn.IFS(S528&lt;=12,"Morning",S528&lt;=16,"Afternoon",S528&lt;=21,"Evening",S528&lt;=24,"Night")</f>
        <v>Morning</v>
      </c>
    </row>
    <row r="529" spans="1:20" x14ac:dyDescent="0.25">
      <c r="A529" s="31" t="s">
        <v>563</v>
      </c>
      <c r="B529" s="27">
        <v>59.86</v>
      </c>
      <c r="C529" s="28">
        <v>2</v>
      </c>
      <c r="D529" s="27">
        <v>5.9859999999999998</v>
      </c>
      <c r="E529" s="27">
        <v>125.706</v>
      </c>
      <c r="F529" s="29">
        <v>43478</v>
      </c>
      <c r="G529" s="30">
        <v>22.505555555555599</v>
      </c>
      <c r="H529" s="31" t="s">
        <v>23</v>
      </c>
      <c r="I529" s="27">
        <v>119.72</v>
      </c>
      <c r="J529" s="32">
        <v>4.7619047620000003</v>
      </c>
      <c r="K529" s="33">
        <v>6.7</v>
      </c>
      <c r="L529" s="31" t="str">
        <f>VLOOKUP(A529,'Customer-details'!$A$1:$C$1001,2,FALSE)</f>
        <v>Member</v>
      </c>
      <c r="M529" s="31" t="str">
        <f>VLOOKUP(A529,'Customer-details'!$A$1:$C$1001,3,FALSE)</f>
        <v>Male</v>
      </c>
      <c r="N529" s="31" t="str">
        <f>VLOOKUP(A529,'Product-details'!$A$1:$B$1001,2,FALSE)</f>
        <v>Fashion accessories</v>
      </c>
      <c r="O529" s="31" t="str">
        <f>VLOOKUP(A529,'City-details'!$A$1:$C$1001,3,FALSE)</f>
        <v>Mandalay</v>
      </c>
      <c r="P529" s="31" t="str">
        <f>VLOOKUP(A529,'City-details'!$A$1:$C$1001,2,FALSE)</f>
        <v>B</v>
      </c>
      <c r="Q529" s="31" t="str">
        <f t="shared" si="24"/>
        <v>Jan</v>
      </c>
      <c r="R529" s="34" t="str">
        <f t="shared" si="25"/>
        <v>Sun</v>
      </c>
      <c r="S529">
        <f t="shared" si="26"/>
        <v>12</v>
      </c>
      <c r="T529" t="str" cm="1">
        <f t="array" ref="T529">_xlfn.IFS(S529&lt;=12,"Morning",S529&lt;=16,"Afternoon",S529&lt;=21,"Evening",S529&lt;=24,"Night")</f>
        <v>Morning</v>
      </c>
    </row>
    <row r="530" spans="1:20" x14ac:dyDescent="0.25">
      <c r="A530" s="23" t="s">
        <v>564</v>
      </c>
      <c r="B530" s="19">
        <v>54.36</v>
      </c>
      <c r="C530" s="20">
        <v>10</v>
      </c>
      <c r="D530" s="19">
        <v>27.18</v>
      </c>
      <c r="E530" s="19">
        <v>570.78</v>
      </c>
      <c r="F530" s="21">
        <v>43503</v>
      </c>
      <c r="G530" s="22">
        <v>22.547222222222199</v>
      </c>
      <c r="H530" s="23" t="s">
        <v>33</v>
      </c>
      <c r="I530" s="19">
        <v>543.6</v>
      </c>
      <c r="J530" s="24">
        <v>4.7619047620000003</v>
      </c>
      <c r="K530" s="25">
        <v>6.1</v>
      </c>
      <c r="L530" s="23" t="str">
        <f>VLOOKUP(A530,'Customer-details'!$A$1:$C$1001,2,FALSE)</f>
        <v>Member</v>
      </c>
      <c r="M530" s="23" t="str">
        <f>VLOOKUP(A530,'Customer-details'!$A$1:$C$1001,3,FALSE)</f>
        <v>Female</v>
      </c>
      <c r="N530" s="23" t="str">
        <f>VLOOKUP(A530,'Product-details'!$A$1:$B$1001,2,FALSE)</f>
        <v>Food and beverages</v>
      </c>
      <c r="O530" s="23" t="str">
        <f>VLOOKUP(A530,'City-details'!$A$1:$C$1001,3,FALSE)</f>
        <v>Mandalay</v>
      </c>
      <c r="P530" s="23" t="str">
        <f>VLOOKUP(A530,'City-details'!$A$1:$C$1001,2,FALSE)</f>
        <v>B</v>
      </c>
      <c r="Q530" s="23" t="str">
        <f t="shared" si="24"/>
        <v>Feb</v>
      </c>
      <c r="R530" s="26" t="str">
        <f t="shared" si="25"/>
        <v>Thu</v>
      </c>
      <c r="S530">
        <f t="shared" si="26"/>
        <v>13</v>
      </c>
      <c r="T530" t="str" cm="1">
        <f t="array" ref="T530">_xlfn.IFS(S530&lt;=12,"Morning",S530&lt;=16,"Afternoon",S530&lt;=21,"Evening",S530&lt;=24,"Night")</f>
        <v>Afternoon</v>
      </c>
    </row>
    <row r="531" spans="1:20" x14ac:dyDescent="0.25">
      <c r="A531" s="31" t="s">
        <v>565</v>
      </c>
      <c r="B531" s="27">
        <v>98.09</v>
      </c>
      <c r="C531" s="28">
        <v>9</v>
      </c>
      <c r="D531" s="27">
        <v>44.140500000000003</v>
      </c>
      <c r="E531" s="27">
        <v>926.95050000000003</v>
      </c>
      <c r="F531" s="29">
        <v>43513</v>
      </c>
      <c r="G531" s="30">
        <v>22.588888888888899</v>
      </c>
      <c r="H531" s="31" t="s">
        <v>29</v>
      </c>
      <c r="I531" s="27">
        <v>882.81</v>
      </c>
      <c r="J531" s="32">
        <v>4.7619047620000003</v>
      </c>
      <c r="K531" s="33">
        <v>9.3000000000000007</v>
      </c>
      <c r="L531" s="31" t="str">
        <f>VLOOKUP(A531,'Customer-details'!$A$1:$C$1001,2,FALSE)</f>
        <v>Normal</v>
      </c>
      <c r="M531" s="31" t="str">
        <f>VLOOKUP(A531,'Customer-details'!$A$1:$C$1001,3,FALSE)</f>
        <v>Male</v>
      </c>
      <c r="N531" s="31" t="str">
        <f>VLOOKUP(A531,'Product-details'!$A$1:$B$1001,2,FALSE)</f>
        <v>Sports and travel</v>
      </c>
      <c r="O531" s="31" t="str">
        <f>VLOOKUP(A531,'City-details'!$A$1:$C$1001,3,FALSE)</f>
        <v>Yangon</v>
      </c>
      <c r="P531" s="31" t="str">
        <f>VLOOKUP(A531,'City-details'!$A$1:$C$1001,2,FALSE)</f>
        <v>A</v>
      </c>
      <c r="Q531" s="31" t="str">
        <f t="shared" si="24"/>
        <v>Feb</v>
      </c>
      <c r="R531" s="34" t="str">
        <f t="shared" si="25"/>
        <v>Sun</v>
      </c>
      <c r="S531">
        <f t="shared" si="26"/>
        <v>14</v>
      </c>
      <c r="T531" t="str" cm="1">
        <f t="array" ref="T531">_xlfn.IFS(S531&lt;=12,"Morning",S531&lt;=16,"Afternoon",S531&lt;=21,"Evening",S531&lt;=24,"Night")</f>
        <v>Afternoon</v>
      </c>
    </row>
    <row r="532" spans="1:20" x14ac:dyDescent="0.25">
      <c r="A532" s="23" t="s">
        <v>566</v>
      </c>
      <c r="B532" s="19">
        <v>25.43</v>
      </c>
      <c r="C532" s="20">
        <v>6</v>
      </c>
      <c r="D532" s="19">
        <v>7.6289999999999996</v>
      </c>
      <c r="E532" s="19">
        <v>160.209</v>
      </c>
      <c r="F532" s="21">
        <v>43508</v>
      </c>
      <c r="G532" s="22">
        <v>22.630555555555599</v>
      </c>
      <c r="H532" s="23" t="s">
        <v>23</v>
      </c>
      <c r="I532" s="19">
        <v>152.58000000000001</v>
      </c>
      <c r="J532" s="24">
        <v>4.7619047620000003</v>
      </c>
      <c r="K532" s="25">
        <v>7</v>
      </c>
      <c r="L532" s="23" t="str">
        <f>VLOOKUP(A532,'Customer-details'!$A$1:$C$1001,2,FALSE)</f>
        <v>Normal</v>
      </c>
      <c r="M532" s="23" t="str">
        <f>VLOOKUP(A532,'Customer-details'!$A$1:$C$1001,3,FALSE)</f>
        <v>Male</v>
      </c>
      <c r="N532" s="23" t="str">
        <f>VLOOKUP(A532,'Product-details'!$A$1:$B$1001,2,FALSE)</f>
        <v>Health and beauty</v>
      </c>
      <c r="O532" s="23" t="str">
        <f>VLOOKUP(A532,'City-details'!$A$1:$C$1001,3,FALSE)</f>
        <v>Yangon</v>
      </c>
      <c r="P532" s="23" t="str">
        <f>VLOOKUP(A532,'City-details'!$A$1:$C$1001,2,FALSE)</f>
        <v>A</v>
      </c>
      <c r="Q532" s="23" t="str">
        <f t="shared" si="24"/>
        <v>Feb</v>
      </c>
      <c r="R532" s="26" t="str">
        <f t="shared" si="25"/>
        <v>Tue</v>
      </c>
      <c r="S532">
        <f t="shared" si="26"/>
        <v>15</v>
      </c>
      <c r="T532" t="str" cm="1">
        <f t="array" ref="T532">_xlfn.IFS(S532&lt;=12,"Morning",S532&lt;=16,"Afternoon",S532&lt;=21,"Evening",S532&lt;=24,"Night")</f>
        <v>Afternoon</v>
      </c>
    </row>
    <row r="533" spans="1:20" x14ac:dyDescent="0.25">
      <c r="A533" s="31" t="s">
        <v>567</v>
      </c>
      <c r="B533" s="27">
        <v>86.68</v>
      </c>
      <c r="C533" s="28">
        <v>8</v>
      </c>
      <c r="D533" s="27">
        <v>34.671999999999997</v>
      </c>
      <c r="E533" s="27">
        <v>728.11199999999997</v>
      </c>
      <c r="F533" s="29">
        <v>43489</v>
      </c>
      <c r="G533" s="30">
        <v>22.672222222222199</v>
      </c>
      <c r="H533" s="31" t="s">
        <v>33</v>
      </c>
      <c r="I533" s="27">
        <v>693.44</v>
      </c>
      <c r="J533" s="32">
        <v>4.7619047620000003</v>
      </c>
      <c r="K533" s="33">
        <v>7.2</v>
      </c>
      <c r="L533" s="31" t="str">
        <f>VLOOKUP(A533,'Customer-details'!$A$1:$C$1001,2,FALSE)</f>
        <v>Member</v>
      </c>
      <c r="M533" s="31" t="str">
        <f>VLOOKUP(A533,'Customer-details'!$A$1:$C$1001,3,FALSE)</f>
        <v>Male</v>
      </c>
      <c r="N533" s="31" t="str">
        <f>VLOOKUP(A533,'Product-details'!$A$1:$B$1001,2,FALSE)</f>
        <v>Fashion accessories</v>
      </c>
      <c r="O533" s="31" t="str">
        <f>VLOOKUP(A533,'City-details'!$A$1:$C$1001,3,FALSE)</f>
        <v>Yangon</v>
      </c>
      <c r="P533" s="31" t="str">
        <f>VLOOKUP(A533,'City-details'!$A$1:$C$1001,2,FALSE)</f>
        <v>A</v>
      </c>
      <c r="Q533" s="31" t="str">
        <f t="shared" si="24"/>
        <v>Jan</v>
      </c>
      <c r="R533" s="34" t="str">
        <f t="shared" si="25"/>
        <v>Thu</v>
      </c>
      <c r="S533">
        <f t="shared" si="26"/>
        <v>16</v>
      </c>
      <c r="T533" t="str" cm="1">
        <f t="array" ref="T533">_xlfn.IFS(S533&lt;=12,"Morning",S533&lt;=16,"Afternoon",S533&lt;=21,"Evening",S533&lt;=24,"Night")</f>
        <v>Afternoon</v>
      </c>
    </row>
    <row r="534" spans="1:20" x14ac:dyDescent="0.25">
      <c r="A534" s="23" t="s">
        <v>568</v>
      </c>
      <c r="B534" s="19">
        <v>22.95</v>
      </c>
      <c r="C534" s="20">
        <v>10</v>
      </c>
      <c r="D534" s="19">
        <v>11.475</v>
      </c>
      <c r="E534" s="19">
        <v>240.97499999999999</v>
      </c>
      <c r="F534" s="21">
        <v>43502</v>
      </c>
      <c r="G534" s="22">
        <v>22.713888888888899</v>
      </c>
      <c r="H534" s="23" t="s">
        <v>23</v>
      </c>
      <c r="I534" s="19">
        <v>229.5</v>
      </c>
      <c r="J534" s="24">
        <v>4.7619047620000003</v>
      </c>
      <c r="K534" s="25">
        <v>8.1999999999999993</v>
      </c>
      <c r="L534" s="23" t="str">
        <f>VLOOKUP(A534,'Customer-details'!$A$1:$C$1001,2,FALSE)</f>
        <v>Normal</v>
      </c>
      <c r="M534" s="23" t="str">
        <f>VLOOKUP(A534,'Customer-details'!$A$1:$C$1001,3,FALSE)</f>
        <v>Male</v>
      </c>
      <c r="N534" s="23" t="str">
        <f>VLOOKUP(A534,'Product-details'!$A$1:$B$1001,2,FALSE)</f>
        <v>Electronic accessories</v>
      </c>
      <c r="O534" s="23" t="str">
        <f>VLOOKUP(A534,'City-details'!$A$1:$C$1001,3,FALSE)</f>
        <v>Mandalay</v>
      </c>
      <c r="P534" s="23" t="str">
        <f>VLOOKUP(A534,'City-details'!$A$1:$C$1001,2,FALSE)</f>
        <v>B</v>
      </c>
      <c r="Q534" s="23" t="str">
        <f t="shared" si="24"/>
        <v>Feb</v>
      </c>
      <c r="R534" s="26" t="str">
        <f t="shared" si="25"/>
        <v>Wed</v>
      </c>
      <c r="S534">
        <f t="shared" si="26"/>
        <v>17</v>
      </c>
      <c r="T534" t="str" cm="1">
        <f t="array" ref="T534">_xlfn.IFS(S534&lt;=12,"Morning",S534&lt;=16,"Afternoon",S534&lt;=21,"Evening",S534&lt;=24,"Night")</f>
        <v>Evening</v>
      </c>
    </row>
    <row r="535" spans="1:20" x14ac:dyDescent="0.25">
      <c r="A535" s="31" t="s">
        <v>569</v>
      </c>
      <c r="B535" s="27">
        <v>16.309999999999999</v>
      </c>
      <c r="C535" s="28">
        <v>9</v>
      </c>
      <c r="D535" s="27">
        <v>7.3395000000000001</v>
      </c>
      <c r="E535" s="27">
        <v>154.12950000000001</v>
      </c>
      <c r="F535" s="29">
        <v>43550</v>
      </c>
      <c r="G535" s="30">
        <v>22.755555555555599</v>
      </c>
      <c r="H535" s="31" t="s">
        <v>23</v>
      </c>
      <c r="I535" s="27">
        <v>146.79</v>
      </c>
      <c r="J535" s="32">
        <v>4.7619047620000003</v>
      </c>
      <c r="K535" s="33">
        <v>8.4</v>
      </c>
      <c r="L535" s="31" t="str">
        <f>VLOOKUP(A535,'Customer-details'!$A$1:$C$1001,2,FALSE)</f>
        <v>Normal</v>
      </c>
      <c r="M535" s="31" t="str">
        <f>VLOOKUP(A535,'Customer-details'!$A$1:$C$1001,3,FALSE)</f>
        <v>Female</v>
      </c>
      <c r="N535" s="31" t="str">
        <f>VLOOKUP(A535,'Product-details'!$A$1:$B$1001,2,FALSE)</f>
        <v>Food and beverages</v>
      </c>
      <c r="O535" s="31" t="str">
        <f>VLOOKUP(A535,'City-details'!$A$1:$C$1001,3,FALSE)</f>
        <v>Naypyitaw</v>
      </c>
      <c r="P535" s="31" t="str">
        <f>VLOOKUP(A535,'City-details'!$A$1:$C$1001,2,FALSE)</f>
        <v>C</v>
      </c>
      <c r="Q535" s="31" t="str">
        <f t="shared" si="24"/>
        <v>Mar</v>
      </c>
      <c r="R535" s="34" t="str">
        <f t="shared" si="25"/>
        <v>Tue</v>
      </c>
      <c r="S535">
        <f t="shared" si="26"/>
        <v>18</v>
      </c>
      <c r="T535" t="str" cm="1">
        <f t="array" ref="T535">_xlfn.IFS(S535&lt;=12,"Morning",S535&lt;=16,"Afternoon",S535&lt;=21,"Evening",S535&lt;=24,"Night")</f>
        <v>Evening</v>
      </c>
    </row>
    <row r="536" spans="1:20" x14ac:dyDescent="0.25">
      <c r="A536" s="23" t="s">
        <v>570</v>
      </c>
      <c r="B536" s="19">
        <v>28.32</v>
      </c>
      <c r="C536" s="20">
        <v>5</v>
      </c>
      <c r="D536" s="19">
        <v>7.08</v>
      </c>
      <c r="E536" s="19">
        <v>148.68</v>
      </c>
      <c r="F536" s="21">
        <v>43535</v>
      </c>
      <c r="G536" s="22">
        <v>22.797222222222199</v>
      </c>
      <c r="H536" s="23" t="s">
        <v>23</v>
      </c>
      <c r="I536" s="19">
        <v>141.6</v>
      </c>
      <c r="J536" s="24">
        <v>4.7619047620000003</v>
      </c>
      <c r="K536" s="25">
        <v>6.2</v>
      </c>
      <c r="L536" s="23" t="str">
        <f>VLOOKUP(A536,'Customer-details'!$A$1:$C$1001,2,FALSE)</f>
        <v>Normal</v>
      </c>
      <c r="M536" s="23" t="str">
        <f>VLOOKUP(A536,'Customer-details'!$A$1:$C$1001,3,FALSE)</f>
        <v>Female</v>
      </c>
      <c r="N536" s="23" t="str">
        <f>VLOOKUP(A536,'Product-details'!$A$1:$B$1001,2,FALSE)</f>
        <v>Home and lifestyle</v>
      </c>
      <c r="O536" s="23" t="str">
        <f>VLOOKUP(A536,'City-details'!$A$1:$C$1001,3,FALSE)</f>
        <v>Yangon</v>
      </c>
      <c r="P536" s="23" t="str">
        <f>VLOOKUP(A536,'City-details'!$A$1:$C$1001,2,FALSE)</f>
        <v>A</v>
      </c>
      <c r="Q536" s="23" t="str">
        <f t="shared" si="24"/>
        <v>Mar</v>
      </c>
      <c r="R536" s="26" t="str">
        <f t="shared" si="25"/>
        <v>Mon</v>
      </c>
      <c r="S536">
        <f t="shared" si="26"/>
        <v>19</v>
      </c>
      <c r="T536" t="str" cm="1">
        <f t="array" ref="T536">_xlfn.IFS(S536&lt;=12,"Morning",S536&lt;=16,"Afternoon",S536&lt;=21,"Evening",S536&lt;=24,"Night")</f>
        <v>Evening</v>
      </c>
    </row>
    <row r="537" spans="1:20" x14ac:dyDescent="0.25">
      <c r="A537" s="31" t="s">
        <v>571</v>
      </c>
      <c r="B537" s="27">
        <v>16.670000000000002</v>
      </c>
      <c r="C537" s="28">
        <v>7</v>
      </c>
      <c r="D537" s="27">
        <v>5.8345000000000002</v>
      </c>
      <c r="E537" s="27">
        <v>122.5245</v>
      </c>
      <c r="F537" s="29">
        <v>43503</v>
      </c>
      <c r="G537" s="30">
        <v>22.838888888888899</v>
      </c>
      <c r="H537" s="31" t="s">
        <v>23</v>
      </c>
      <c r="I537" s="27">
        <v>116.69</v>
      </c>
      <c r="J537" s="32">
        <v>4.7619047620000003</v>
      </c>
      <c r="K537" s="33">
        <v>7.4</v>
      </c>
      <c r="L537" s="31" t="str">
        <f>VLOOKUP(A537,'Customer-details'!$A$1:$C$1001,2,FALSE)</f>
        <v>Normal</v>
      </c>
      <c r="M537" s="31" t="str">
        <f>VLOOKUP(A537,'Customer-details'!$A$1:$C$1001,3,FALSE)</f>
        <v>Male</v>
      </c>
      <c r="N537" s="31" t="str">
        <f>VLOOKUP(A537,'Product-details'!$A$1:$B$1001,2,FALSE)</f>
        <v>Home and lifestyle</v>
      </c>
      <c r="O537" s="31" t="str">
        <f>VLOOKUP(A537,'City-details'!$A$1:$C$1001,3,FALSE)</f>
        <v>Naypyitaw</v>
      </c>
      <c r="P537" s="31" t="str">
        <f>VLOOKUP(A537,'City-details'!$A$1:$C$1001,2,FALSE)</f>
        <v>C</v>
      </c>
      <c r="Q537" s="31" t="str">
        <f t="shared" si="24"/>
        <v>Feb</v>
      </c>
      <c r="R537" s="34" t="str">
        <f t="shared" si="25"/>
        <v>Thu</v>
      </c>
      <c r="S537">
        <f t="shared" si="26"/>
        <v>20</v>
      </c>
      <c r="T537" t="str" cm="1">
        <f t="array" ref="T537">_xlfn.IFS(S537&lt;=12,"Morning",S537&lt;=16,"Afternoon",S537&lt;=21,"Evening",S537&lt;=24,"Night")</f>
        <v>Evening</v>
      </c>
    </row>
    <row r="538" spans="1:20" x14ac:dyDescent="0.25">
      <c r="A538" s="23" t="s">
        <v>572</v>
      </c>
      <c r="B538" s="19">
        <v>73.959999999999994</v>
      </c>
      <c r="C538" s="20">
        <v>1</v>
      </c>
      <c r="D538" s="19">
        <v>3.698</v>
      </c>
      <c r="E538" s="19">
        <v>77.658000000000001</v>
      </c>
      <c r="F538" s="21">
        <v>43470</v>
      </c>
      <c r="G538" s="22">
        <v>22.880555555555599</v>
      </c>
      <c r="H538" s="23" t="s">
        <v>33</v>
      </c>
      <c r="I538" s="19">
        <v>73.959999999999994</v>
      </c>
      <c r="J538" s="24">
        <v>4.7619047620000003</v>
      </c>
      <c r="K538" s="25">
        <v>5</v>
      </c>
      <c r="L538" s="23" t="str">
        <f>VLOOKUP(A538,'Customer-details'!$A$1:$C$1001,2,FALSE)</f>
        <v>Member</v>
      </c>
      <c r="M538" s="23" t="str">
        <f>VLOOKUP(A538,'Customer-details'!$A$1:$C$1001,3,FALSE)</f>
        <v>Female</v>
      </c>
      <c r="N538" s="23" t="str">
        <f>VLOOKUP(A538,'Product-details'!$A$1:$B$1001,2,FALSE)</f>
        <v>Fashion accessories</v>
      </c>
      <c r="O538" s="23" t="str">
        <f>VLOOKUP(A538,'City-details'!$A$1:$C$1001,3,FALSE)</f>
        <v>Mandalay</v>
      </c>
      <c r="P538" s="23" t="str">
        <f>VLOOKUP(A538,'City-details'!$A$1:$C$1001,2,FALSE)</f>
        <v>B</v>
      </c>
      <c r="Q538" s="23" t="str">
        <f t="shared" si="24"/>
        <v>Jan</v>
      </c>
      <c r="R538" s="26" t="str">
        <f t="shared" si="25"/>
        <v>Sat</v>
      </c>
      <c r="S538">
        <f t="shared" si="26"/>
        <v>21</v>
      </c>
      <c r="T538" t="str" cm="1">
        <f t="array" ref="T538">_xlfn.IFS(S538&lt;=12,"Morning",S538&lt;=16,"Afternoon",S538&lt;=21,"Evening",S538&lt;=24,"Night")</f>
        <v>Evening</v>
      </c>
    </row>
    <row r="539" spans="1:20" x14ac:dyDescent="0.25">
      <c r="A539" s="31" t="s">
        <v>573</v>
      </c>
      <c r="B539" s="27">
        <v>97.94</v>
      </c>
      <c r="C539" s="28">
        <v>1</v>
      </c>
      <c r="D539" s="27">
        <v>4.8970000000000002</v>
      </c>
      <c r="E539" s="27">
        <v>102.837</v>
      </c>
      <c r="F539" s="29">
        <v>43531</v>
      </c>
      <c r="G539" s="30">
        <v>22.922222222222199</v>
      </c>
      <c r="H539" s="31" t="s">
        <v>23</v>
      </c>
      <c r="I539" s="27">
        <v>97.94</v>
      </c>
      <c r="J539" s="32">
        <v>4.7619047620000003</v>
      </c>
      <c r="K539" s="33">
        <v>6.9</v>
      </c>
      <c r="L539" s="31" t="str">
        <f>VLOOKUP(A539,'Customer-details'!$A$1:$C$1001,2,FALSE)</f>
        <v>Normal</v>
      </c>
      <c r="M539" s="31" t="str">
        <f>VLOOKUP(A539,'Customer-details'!$A$1:$C$1001,3,FALSE)</f>
        <v>Male</v>
      </c>
      <c r="N539" s="31" t="str">
        <f>VLOOKUP(A539,'Product-details'!$A$1:$B$1001,2,FALSE)</f>
        <v>Home and lifestyle</v>
      </c>
      <c r="O539" s="31" t="str">
        <f>VLOOKUP(A539,'City-details'!$A$1:$C$1001,3,FALSE)</f>
        <v>Yangon</v>
      </c>
      <c r="P539" s="31" t="str">
        <f>VLOOKUP(A539,'City-details'!$A$1:$C$1001,2,FALSE)</f>
        <v>A</v>
      </c>
      <c r="Q539" s="31" t="str">
        <f t="shared" si="24"/>
        <v>Mar</v>
      </c>
      <c r="R539" s="34" t="str">
        <f t="shared" si="25"/>
        <v>Thu</v>
      </c>
      <c r="S539">
        <f t="shared" si="26"/>
        <v>22</v>
      </c>
      <c r="T539" t="str" cm="1">
        <f t="array" ref="T539">_xlfn.IFS(S539&lt;=12,"Morning",S539&lt;=16,"Afternoon",S539&lt;=21,"Evening",S539&lt;=24,"Night")</f>
        <v>Night</v>
      </c>
    </row>
    <row r="540" spans="1:20" x14ac:dyDescent="0.25">
      <c r="A540" s="23" t="s">
        <v>574</v>
      </c>
      <c r="B540" s="19">
        <v>73.05</v>
      </c>
      <c r="C540" s="20">
        <v>4</v>
      </c>
      <c r="D540" s="19">
        <v>14.61</v>
      </c>
      <c r="E540" s="19">
        <v>306.81</v>
      </c>
      <c r="F540" s="21">
        <v>43521</v>
      </c>
      <c r="G540" s="22">
        <v>22.963888888888899</v>
      </c>
      <c r="H540" s="23" t="s">
        <v>33</v>
      </c>
      <c r="I540" s="19">
        <v>292.2</v>
      </c>
      <c r="J540" s="24">
        <v>4.7619047620000003</v>
      </c>
      <c r="K540" s="25">
        <v>4.9000000000000004</v>
      </c>
      <c r="L540" s="23" t="str">
        <f>VLOOKUP(A540,'Customer-details'!$A$1:$C$1001,2,FALSE)</f>
        <v>Normal</v>
      </c>
      <c r="M540" s="23" t="str">
        <f>VLOOKUP(A540,'Customer-details'!$A$1:$C$1001,3,FALSE)</f>
        <v>Female</v>
      </c>
      <c r="N540" s="23" t="str">
        <f>VLOOKUP(A540,'Product-details'!$A$1:$B$1001,2,FALSE)</f>
        <v>Fashion accessories</v>
      </c>
      <c r="O540" s="23" t="str">
        <f>VLOOKUP(A540,'City-details'!$A$1:$C$1001,3,FALSE)</f>
        <v>Yangon</v>
      </c>
      <c r="P540" s="23" t="str">
        <f>VLOOKUP(A540,'City-details'!$A$1:$C$1001,2,FALSE)</f>
        <v>A</v>
      </c>
      <c r="Q540" s="23" t="str">
        <f t="shared" si="24"/>
        <v>Feb</v>
      </c>
      <c r="R540" s="26" t="str">
        <f t="shared" si="25"/>
        <v>Mon</v>
      </c>
      <c r="S540">
        <f t="shared" si="26"/>
        <v>23</v>
      </c>
      <c r="T540" t="str" cm="1">
        <f t="array" ref="T540">_xlfn.IFS(S540&lt;=12,"Morning",S540&lt;=16,"Afternoon",S540&lt;=21,"Evening",S540&lt;=24,"Night")</f>
        <v>Night</v>
      </c>
    </row>
    <row r="541" spans="1:20" x14ac:dyDescent="0.25">
      <c r="A541" s="31" t="s">
        <v>575</v>
      </c>
      <c r="B541" s="27">
        <v>87.48</v>
      </c>
      <c r="C541" s="28">
        <v>6</v>
      </c>
      <c r="D541" s="27">
        <v>26.244</v>
      </c>
      <c r="E541" s="27">
        <v>551.12400000000002</v>
      </c>
      <c r="F541" s="29">
        <v>43497</v>
      </c>
      <c r="G541" s="30">
        <v>23.005555555555599</v>
      </c>
      <c r="H541" s="31" t="s">
        <v>23</v>
      </c>
      <c r="I541" s="27">
        <v>524.88</v>
      </c>
      <c r="J541" s="32">
        <v>4.7619047620000003</v>
      </c>
      <c r="K541" s="33">
        <v>5.0999999999999996</v>
      </c>
      <c r="L541" s="31" t="str">
        <f>VLOOKUP(A541,'Customer-details'!$A$1:$C$1001,2,FALSE)</f>
        <v>Member</v>
      </c>
      <c r="M541" s="31" t="str">
        <f>VLOOKUP(A541,'Customer-details'!$A$1:$C$1001,3,FALSE)</f>
        <v>Female</v>
      </c>
      <c r="N541" s="31" t="str">
        <f>VLOOKUP(A541,'Product-details'!$A$1:$B$1001,2,FALSE)</f>
        <v>Food and beverages</v>
      </c>
      <c r="O541" s="31" t="str">
        <f>VLOOKUP(A541,'City-details'!$A$1:$C$1001,3,FALSE)</f>
        <v>Naypyitaw</v>
      </c>
      <c r="P541" s="31" t="str">
        <f>VLOOKUP(A541,'City-details'!$A$1:$C$1001,2,FALSE)</f>
        <v>C</v>
      </c>
      <c r="Q541" s="31" t="str">
        <f t="shared" si="24"/>
        <v>Feb</v>
      </c>
      <c r="R541" s="34" t="str">
        <f t="shared" si="25"/>
        <v>Fri</v>
      </c>
      <c r="S541">
        <f t="shared" si="26"/>
        <v>0</v>
      </c>
      <c r="T541" t="str" cm="1">
        <f t="array" ref="T541">_xlfn.IFS(S541&lt;=12,"Morning",S541&lt;=16,"Afternoon",S541&lt;=21,"Evening",S541&lt;=24,"Night")</f>
        <v>Morning</v>
      </c>
    </row>
    <row r="542" spans="1:20" x14ac:dyDescent="0.25">
      <c r="A542" s="23" t="s">
        <v>576</v>
      </c>
      <c r="B542" s="19">
        <v>30.68</v>
      </c>
      <c r="C542" s="20">
        <v>3</v>
      </c>
      <c r="D542" s="19">
        <v>4.6020000000000003</v>
      </c>
      <c r="E542" s="19">
        <v>96.641999999999996</v>
      </c>
      <c r="F542" s="21">
        <v>43487</v>
      </c>
      <c r="G542" s="22">
        <v>23.047222222222199</v>
      </c>
      <c r="H542" s="23" t="s">
        <v>23</v>
      </c>
      <c r="I542" s="19">
        <v>92.04</v>
      </c>
      <c r="J542" s="24">
        <v>4.7619047620000003</v>
      </c>
      <c r="K542" s="25">
        <v>9.1</v>
      </c>
      <c r="L542" s="23" t="str">
        <f>VLOOKUP(A542,'Customer-details'!$A$1:$C$1001,2,FALSE)</f>
        <v>Normal</v>
      </c>
      <c r="M542" s="23" t="str">
        <f>VLOOKUP(A542,'Customer-details'!$A$1:$C$1001,3,FALSE)</f>
        <v>Male</v>
      </c>
      <c r="N542" s="23" t="str">
        <f>VLOOKUP(A542,'Product-details'!$A$1:$B$1001,2,FALSE)</f>
        <v>Home and lifestyle</v>
      </c>
      <c r="O542" s="23" t="str">
        <f>VLOOKUP(A542,'City-details'!$A$1:$C$1001,3,FALSE)</f>
        <v>Yangon</v>
      </c>
      <c r="P542" s="23" t="str">
        <f>VLOOKUP(A542,'City-details'!$A$1:$C$1001,2,FALSE)</f>
        <v>A</v>
      </c>
      <c r="Q542" s="23" t="str">
        <f t="shared" si="24"/>
        <v>Jan</v>
      </c>
      <c r="R542" s="26" t="str">
        <f t="shared" si="25"/>
        <v>Tue</v>
      </c>
      <c r="S542">
        <f t="shared" si="26"/>
        <v>1</v>
      </c>
      <c r="T542" t="str" cm="1">
        <f t="array" ref="T542">_xlfn.IFS(S542&lt;=12,"Morning",S542&lt;=16,"Afternoon",S542&lt;=21,"Evening",S542&lt;=24,"Night")</f>
        <v>Morning</v>
      </c>
    </row>
    <row r="543" spans="1:20" x14ac:dyDescent="0.25">
      <c r="A543" s="31" t="s">
        <v>577</v>
      </c>
      <c r="B543" s="27">
        <v>75.88</v>
      </c>
      <c r="C543" s="28">
        <v>1</v>
      </c>
      <c r="D543" s="27">
        <v>3.794</v>
      </c>
      <c r="E543" s="27">
        <v>79.674000000000007</v>
      </c>
      <c r="F543" s="29">
        <v>43468</v>
      </c>
      <c r="G543" s="30">
        <v>23.088888888888899</v>
      </c>
      <c r="H543" s="31" t="s">
        <v>33</v>
      </c>
      <c r="I543" s="27">
        <v>75.88</v>
      </c>
      <c r="J543" s="32">
        <v>4.7619047620000003</v>
      </c>
      <c r="K543" s="33">
        <v>7.1</v>
      </c>
      <c r="L543" s="31" t="str">
        <f>VLOOKUP(A543,'Customer-details'!$A$1:$C$1001,2,FALSE)</f>
        <v>Member</v>
      </c>
      <c r="M543" s="31" t="str">
        <f>VLOOKUP(A543,'Customer-details'!$A$1:$C$1001,3,FALSE)</f>
        <v>Male</v>
      </c>
      <c r="N543" s="31" t="str">
        <f>VLOOKUP(A543,'Product-details'!$A$1:$B$1001,2,FALSE)</f>
        <v>Health and beauty</v>
      </c>
      <c r="O543" s="31" t="str">
        <f>VLOOKUP(A543,'City-details'!$A$1:$C$1001,3,FALSE)</f>
        <v>Naypyitaw</v>
      </c>
      <c r="P543" s="31" t="str">
        <f>VLOOKUP(A543,'City-details'!$A$1:$C$1001,2,FALSE)</f>
        <v>C</v>
      </c>
      <c r="Q543" s="31" t="str">
        <f t="shared" si="24"/>
        <v>Jan</v>
      </c>
      <c r="R543" s="34" t="str">
        <f t="shared" si="25"/>
        <v>Thu</v>
      </c>
      <c r="S543">
        <f t="shared" si="26"/>
        <v>2</v>
      </c>
      <c r="T543" t="str" cm="1">
        <f t="array" ref="T543">_xlfn.IFS(S543&lt;=12,"Morning",S543&lt;=16,"Afternoon",S543&lt;=21,"Evening",S543&lt;=24,"Night")</f>
        <v>Morning</v>
      </c>
    </row>
    <row r="544" spans="1:20" x14ac:dyDescent="0.25">
      <c r="A544" s="23" t="s">
        <v>578</v>
      </c>
      <c r="B544" s="19">
        <v>20.18</v>
      </c>
      <c r="C544" s="20">
        <v>4</v>
      </c>
      <c r="D544" s="19">
        <v>4.0359999999999996</v>
      </c>
      <c r="E544" s="19">
        <v>84.756</v>
      </c>
      <c r="F544" s="21">
        <v>43509</v>
      </c>
      <c r="G544" s="22">
        <v>23.130555555555599</v>
      </c>
      <c r="H544" s="23" t="s">
        <v>33</v>
      </c>
      <c r="I544" s="19">
        <v>80.72</v>
      </c>
      <c r="J544" s="24">
        <v>4.7619047620000003</v>
      </c>
      <c r="K544" s="25">
        <v>5</v>
      </c>
      <c r="L544" s="23" t="str">
        <f>VLOOKUP(A544,'Customer-details'!$A$1:$C$1001,2,FALSE)</f>
        <v>Member</v>
      </c>
      <c r="M544" s="23" t="str">
        <f>VLOOKUP(A544,'Customer-details'!$A$1:$C$1001,3,FALSE)</f>
        <v>Female</v>
      </c>
      <c r="N544" s="23" t="str">
        <f>VLOOKUP(A544,'Product-details'!$A$1:$B$1001,2,FALSE)</f>
        <v>Sports and travel</v>
      </c>
      <c r="O544" s="23" t="str">
        <f>VLOOKUP(A544,'City-details'!$A$1:$C$1001,3,FALSE)</f>
        <v>Mandalay</v>
      </c>
      <c r="P544" s="23" t="str">
        <f>VLOOKUP(A544,'City-details'!$A$1:$C$1001,2,FALSE)</f>
        <v>B</v>
      </c>
      <c r="Q544" s="23" t="str">
        <f t="shared" si="24"/>
        <v>Feb</v>
      </c>
      <c r="R544" s="26" t="str">
        <f t="shared" si="25"/>
        <v>Wed</v>
      </c>
      <c r="S544">
        <f t="shared" si="26"/>
        <v>3</v>
      </c>
      <c r="T544" t="str" cm="1">
        <f t="array" ref="T544">_xlfn.IFS(S544&lt;=12,"Morning",S544&lt;=16,"Afternoon",S544&lt;=21,"Evening",S544&lt;=24,"Night")</f>
        <v>Morning</v>
      </c>
    </row>
    <row r="545" spans="1:20" x14ac:dyDescent="0.25">
      <c r="A545" s="31" t="s">
        <v>579</v>
      </c>
      <c r="B545" s="27">
        <v>18.77</v>
      </c>
      <c r="C545" s="28">
        <v>6</v>
      </c>
      <c r="D545" s="27">
        <v>5.6310000000000002</v>
      </c>
      <c r="E545" s="27">
        <v>118.251</v>
      </c>
      <c r="F545" s="29">
        <v>43493</v>
      </c>
      <c r="G545" s="30">
        <v>23.172222222222199</v>
      </c>
      <c r="H545" s="31" t="s">
        <v>33</v>
      </c>
      <c r="I545" s="27">
        <v>112.62</v>
      </c>
      <c r="J545" s="32">
        <v>4.7619047620000003</v>
      </c>
      <c r="K545" s="33">
        <v>5.5</v>
      </c>
      <c r="L545" s="31" t="str">
        <f>VLOOKUP(A545,'Customer-details'!$A$1:$C$1001,2,FALSE)</f>
        <v>Member</v>
      </c>
      <c r="M545" s="31" t="str">
        <f>VLOOKUP(A545,'Customer-details'!$A$1:$C$1001,3,FALSE)</f>
        <v>Male</v>
      </c>
      <c r="N545" s="31" t="str">
        <f>VLOOKUP(A545,'Product-details'!$A$1:$B$1001,2,FALSE)</f>
        <v>Electronic accessories</v>
      </c>
      <c r="O545" s="31" t="str">
        <f>VLOOKUP(A545,'City-details'!$A$1:$C$1001,3,FALSE)</f>
        <v>Naypyitaw</v>
      </c>
      <c r="P545" s="31" t="str">
        <f>VLOOKUP(A545,'City-details'!$A$1:$C$1001,2,FALSE)</f>
        <v>C</v>
      </c>
      <c r="Q545" s="31" t="str">
        <f t="shared" si="24"/>
        <v>Jan</v>
      </c>
      <c r="R545" s="34" t="str">
        <f t="shared" si="25"/>
        <v>Mon</v>
      </c>
      <c r="S545">
        <f t="shared" si="26"/>
        <v>4</v>
      </c>
      <c r="T545" t="str" cm="1">
        <f t="array" ref="T545">_xlfn.IFS(S545&lt;=12,"Morning",S545&lt;=16,"Afternoon",S545&lt;=21,"Evening",S545&lt;=24,"Night")</f>
        <v>Morning</v>
      </c>
    </row>
    <row r="546" spans="1:20" x14ac:dyDescent="0.25">
      <c r="A546" s="23" t="s">
        <v>580</v>
      </c>
      <c r="B546" s="19">
        <v>71.2</v>
      </c>
      <c r="C546" s="20">
        <v>1</v>
      </c>
      <c r="D546" s="19">
        <v>3.56</v>
      </c>
      <c r="E546" s="19">
        <v>74.760000000000005</v>
      </c>
      <c r="F546" s="21">
        <v>43470</v>
      </c>
      <c r="G546" s="22">
        <v>23.213888888888899</v>
      </c>
      <c r="H546" s="23" t="s">
        <v>33</v>
      </c>
      <c r="I546" s="19">
        <v>71.2</v>
      </c>
      <c r="J546" s="24">
        <v>4.7619047620000003</v>
      </c>
      <c r="K546" s="25">
        <v>9.1999999999999993</v>
      </c>
      <c r="L546" s="23" t="str">
        <f>VLOOKUP(A546,'Customer-details'!$A$1:$C$1001,2,FALSE)</f>
        <v>Normal</v>
      </c>
      <c r="M546" s="23" t="str">
        <f>VLOOKUP(A546,'Customer-details'!$A$1:$C$1001,3,FALSE)</f>
        <v>Female</v>
      </c>
      <c r="N546" s="23" t="str">
        <f>VLOOKUP(A546,'Product-details'!$A$1:$B$1001,2,FALSE)</f>
        <v>Food and beverages</v>
      </c>
      <c r="O546" s="23" t="str">
        <f>VLOOKUP(A546,'City-details'!$A$1:$C$1001,3,FALSE)</f>
        <v>Mandalay</v>
      </c>
      <c r="P546" s="23" t="str">
        <f>VLOOKUP(A546,'City-details'!$A$1:$C$1001,2,FALSE)</f>
        <v>B</v>
      </c>
      <c r="Q546" s="23" t="str">
        <f t="shared" si="24"/>
        <v>Jan</v>
      </c>
      <c r="R546" s="26" t="str">
        <f t="shared" si="25"/>
        <v>Sat</v>
      </c>
      <c r="S546">
        <f t="shared" si="26"/>
        <v>5</v>
      </c>
      <c r="T546" t="str" cm="1">
        <f t="array" ref="T546">_xlfn.IFS(S546&lt;=12,"Morning",S546&lt;=16,"Afternoon",S546&lt;=21,"Evening",S546&lt;=24,"Night")</f>
        <v>Morning</v>
      </c>
    </row>
    <row r="547" spans="1:20" x14ac:dyDescent="0.25">
      <c r="A547" s="31" t="s">
        <v>581</v>
      </c>
      <c r="B547" s="27">
        <v>38.81</v>
      </c>
      <c r="C547" s="28">
        <v>4</v>
      </c>
      <c r="D547" s="27">
        <v>7.7619999999999996</v>
      </c>
      <c r="E547" s="27">
        <v>163.00200000000001</v>
      </c>
      <c r="F547" s="29">
        <v>43543</v>
      </c>
      <c r="G547" s="30">
        <v>23.255555555555599</v>
      </c>
      <c r="H547" s="31" t="s">
        <v>23</v>
      </c>
      <c r="I547" s="27">
        <v>155.24</v>
      </c>
      <c r="J547" s="32">
        <v>4.7619047620000003</v>
      </c>
      <c r="K547" s="33">
        <v>4.9000000000000004</v>
      </c>
      <c r="L547" s="31" t="str">
        <f>VLOOKUP(A547,'Customer-details'!$A$1:$C$1001,2,FALSE)</f>
        <v>Member</v>
      </c>
      <c r="M547" s="31" t="str">
        <f>VLOOKUP(A547,'Customer-details'!$A$1:$C$1001,3,FALSE)</f>
        <v>Male</v>
      </c>
      <c r="N547" s="31" t="str">
        <f>VLOOKUP(A547,'Product-details'!$A$1:$B$1001,2,FALSE)</f>
        <v>Home and lifestyle</v>
      </c>
      <c r="O547" s="31" t="str">
        <f>VLOOKUP(A547,'City-details'!$A$1:$C$1001,3,FALSE)</f>
        <v>Mandalay</v>
      </c>
      <c r="P547" s="31" t="str">
        <f>VLOOKUP(A547,'City-details'!$A$1:$C$1001,2,FALSE)</f>
        <v>B</v>
      </c>
      <c r="Q547" s="31" t="str">
        <f t="shared" si="24"/>
        <v>Mar</v>
      </c>
      <c r="R547" s="34" t="str">
        <f t="shared" si="25"/>
        <v>Tue</v>
      </c>
      <c r="S547">
        <f t="shared" si="26"/>
        <v>6</v>
      </c>
      <c r="T547" t="str" cm="1">
        <f t="array" ref="T547">_xlfn.IFS(S547&lt;=12,"Morning",S547&lt;=16,"Afternoon",S547&lt;=21,"Evening",S547&lt;=24,"Night")</f>
        <v>Morning</v>
      </c>
    </row>
    <row r="548" spans="1:20" x14ac:dyDescent="0.25">
      <c r="A548" s="23" t="s">
        <v>582</v>
      </c>
      <c r="B548" s="19">
        <v>29.42</v>
      </c>
      <c r="C548" s="20">
        <v>10</v>
      </c>
      <c r="D548" s="19">
        <v>14.71</v>
      </c>
      <c r="E548" s="19">
        <v>308.91000000000003</v>
      </c>
      <c r="F548" s="21">
        <v>43477</v>
      </c>
      <c r="G548" s="22">
        <v>23.297222222222199</v>
      </c>
      <c r="H548" s="23" t="s">
        <v>23</v>
      </c>
      <c r="I548" s="19">
        <v>294.2</v>
      </c>
      <c r="J548" s="24">
        <v>4.7619047620000003</v>
      </c>
      <c r="K548" s="25">
        <v>8.9</v>
      </c>
      <c r="L548" s="23" t="str">
        <f>VLOOKUP(A548,'Customer-details'!$A$1:$C$1001,2,FALSE)</f>
        <v>Normal</v>
      </c>
      <c r="M548" s="23" t="str">
        <f>VLOOKUP(A548,'Customer-details'!$A$1:$C$1001,3,FALSE)</f>
        <v>Female</v>
      </c>
      <c r="N548" s="23" t="str">
        <f>VLOOKUP(A548,'Product-details'!$A$1:$B$1001,2,FALSE)</f>
        <v>Fashion accessories</v>
      </c>
      <c r="O548" s="23" t="str">
        <f>VLOOKUP(A548,'City-details'!$A$1:$C$1001,3,FALSE)</f>
        <v>Yangon</v>
      </c>
      <c r="P548" s="23" t="str">
        <f>VLOOKUP(A548,'City-details'!$A$1:$C$1001,2,FALSE)</f>
        <v>A</v>
      </c>
      <c r="Q548" s="23" t="str">
        <f t="shared" si="24"/>
        <v>Jan</v>
      </c>
      <c r="R548" s="26" t="str">
        <f t="shared" si="25"/>
        <v>Sat</v>
      </c>
      <c r="S548">
        <f t="shared" si="26"/>
        <v>7</v>
      </c>
      <c r="T548" t="str" cm="1">
        <f t="array" ref="T548">_xlfn.IFS(S548&lt;=12,"Morning",S548&lt;=16,"Afternoon",S548&lt;=21,"Evening",S548&lt;=24,"Night")</f>
        <v>Morning</v>
      </c>
    </row>
    <row r="549" spans="1:20" x14ac:dyDescent="0.25">
      <c r="A549" s="31" t="s">
        <v>583</v>
      </c>
      <c r="B549" s="27">
        <v>60.95</v>
      </c>
      <c r="C549" s="28">
        <v>9</v>
      </c>
      <c r="D549" s="27">
        <v>27.427499999999998</v>
      </c>
      <c r="E549" s="27">
        <v>575.97749999999996</v>
      </c>
      <c r="F549" s="29">
        <v>43472</v>
      </c>
      <c r="G549" s="30">
        <v>23.338888888888899</v>
      </c>
      <c r="H549" s="31" t="s">
        <v>33</v>
      </c>
      <c r="I549" s="27">
        <v>548.54999999999995</v>
      </c>
      <c r="J549" s="32">
        <v>4.7619047620000003</v>
      </c>
      <c r="K549" s="33">
        <v>6</v>
      </c>
      <c r="L549" s="31" t="str">
        <f>VLOOKUP(A549,'Customer-details'!$A$1:$C$1001,2,FALSE)</f>
        <v>Normal</v>
      </c>
      <c r="M549" s="31" t="str">
        <f>VLOOKUP(A549,'Customer-details'!$A$1:$C$1001,3,FALSE)</f>
        <v>Male</v>
      </c>
      <c r="N549" s="31" t="str">
        <f>VLOOKUP(A549,'Product-details'!$A$1:$B$1001,2,FALSE)</f>
        <v>Sports and travel</v>
      </c>
      <c r="O549" s="31" t="str">
        <f>VLOOKUP(A549,'City-details'!$A$1:$C$1001,3,FALSE)</f>
        <v>Yangon</v>
      </c>
      <c r="P549" s="31" t="str">
        <f>VLOOKUP(A549,'City-details'!$A$1:$C$1001,2,FALSE)</f>
        <v>A</v>
      </c>
      <c r="Q549" s="31" t="str">
        <f t="shared" si="24"/>
        <v>Jan</v>
      </c>
      <c r="R549" s="34" t="str">
        <f t="shared" si="25"/>
        <v>Mon</v>
      </c>
      <c r="S549">
        <f t="shared" si="26"/>
        <v>8</v>
      </c>
      <c r="T549" t="str" cm="1">
        <f t="array" ref="T549">_xlfn.IFS(S549&lt;=12,"Morning",S549&lt;=16,"Afternoon",S549&lt;=21,"Evening",S549&lt;=24,"Night")</f>
        <v>Morning</v>
      </c>
    </row>
    <row r="550" spans="1:20" x14ac:dyDescent="0.25">
      <c r="A550" s="23" t="s">
        <v>584</v>
      </c>
      <c r="B550" s="19">
        <v>51.54</v>
      </c>
      <c r="C550" s="20">
        <v>5</v>
      </c>
      <c r="D550" s="19">
        <v>12.885</v>
      </c>
      <c r="E550" s="19">
        <v>270.58499999999998</v>
      </c>
      <c r="F550" s="21">
        <v>43491</v>
      </c>
      <c r="G550" s="22">
        <v>23.380555555555599</v>
      </c>
      <c r="H550" s="23" t="s">
        <v>29</v>
      </c>
      <c r="I550" s="19">
        <v>257.7</v>
      </c>
      <c r="J550" s="24">
        <v>4.7619047620000003</v>
      </c>
      <c r="K550" s="25">
        <v>4.2</v>
      </c>
      <c r="L550" s="23" t="str">
        <f>VLOOKUP(A550,'Customer-details'!$A$1:$C$1001,2,FALSE)</f>
        <v>Normal</v>
      </c>
      <c r="M550" s="23" t="str">
        <f>VLOOKUP(A550,'Customer-details'!$A$1:$C$1001,3,FALSE)</f>
        <v>Female</v>
      </c>
      <c r="N550" s="23" t="str">
        <f>VLOOKUP(A550,'Product-details'!$A$1:$B$1001,2,FALSE)</f>
        <v>Sports and travel</v>
      </c>
      <c r="O550" s="23" t="str">
        <f>VLOOKUP(A550,'City-details'!$A$1:$C$1001,3,FALSE)</f>
        <v>Mandalay</v>
      </c>
      <c r="P550" s="23" t="str">
        <f>VLOOKUP(A550,'City-details'!$A$1:$C$1001,2,FALSE)</f>
        <v>B</v>
      </c>
      <c r="Q550" s="23" t="str">
        <f t="shared" si="24"/>
        <v>Jan</v>
      </c>
      <c r="R550" s="26" t="str">
        <f t="shared" si="25"/>
        <v>Sat</v>
      </c>
      <c r="S550">
        <f t="shared" si="26"/>
        <v>9</v>
      </c>
      <c r="T550" t="str" cm="1">
        <f t="array" ref="T550">_xlfn.IFS(S550&lt;=12,"Morning",S550&lt;=16,"Afternoon",S550&lt;=21,"Evening",S550&lt;=24,"Night")</f>
        <v>Morning</v>
      </c>
    </row>
    <row r="551" spans="1:20" x14ac:dyDescent="0.25">
      <c r="A551" s="31" t="s">
        <v>585</v>
      </c>
      <c r="B551" s="27">
        <v>66.06</v>
      </c>
      <c r="C551" s="28">
        <v>6</v>
      </c>
      <c r="D551" s="27">
        <v>19.818000000000001</v>
      </c>
      <c r="E551" s="27">
        <v>416.178</v>
      </c>
      <c r="F551" s="29">
        <v>43488</v>
      </c>
      <c r="G551" s="30">
        <v>23.422222222222199</v>
      </c>
      <c r="H551" s="31" t="s">
        <v>29</v>
      </c>
      <c r="I551" s="27">
        <v>396.36</v>
      </c>
      <c r="J551" s="32">
        <v>4.7619047620000003</v>
      </c>
      <c r="K551" s="33">
        <v>7.3</v>
      </c>
      <c r="L551" s="31" t="str">
        <f>VLOOKUP(A551,'Customer-details'!$A$1:$C$1001,2,FALSE)</f>
        <v>Normal</v>
      </c>
      <c r="M551" s="31" t="str">
        <f>VLOOKUP(A551,'Customer-details'!$A$1:$C$1001,3,FALSE)</f>
        <v>Female</v>
      </c>
      <c r="N551" s="31" t="str">
        <f>VLOOKUP(A551,'Product-details'!$A$1:$B$1001,2,FALSE)</f>
        <v>Electronic accessories</v>
      </c>
      <c r="O551" s="31" t="str">
        <f>VLOOKUP(A551,'City-details'!$A$1:$C$1001,3,FALSE)</f>
        <v>Yangon</v>
      </c>
      <c r="P551" s="31" t="str">
        <f>VLOOKUP(A551,'City-details'!$A$1:$C$1001,2,FALSE)</f>
        <v>A</v>
      </c>
      <c r="Q551" s="31" t="str">
        <f t="shared" si="24"/>
        <v>Jan</v>
      </c>
      <c r="R551" s="34" t="str">
        <f t="shared" si="25"/>
        <v>Wed</v>
      </c>
      <c r="S551">
        <f t="shared" si="26"/>
        <v>10</v>
      </c>
      <c r="T551" t="str" cm="1">
        <f t="array" ref="T551">_xlfn.IFS(S551&lt;=12,"Morning",S551&lt;=16,"Afternoon",S551&lt;=21,"Evening",S551&lt;=24,"Night")</f>
        <v>Morning</v>
      </c>
    </row>
    <row r="552" spans="1:20" x14ac:dyDescent="0.25">
      <c r="A552" s="23" t="s">
        <v>586</v>
      </c>
      <c r="B552" s="19">
        <v>57.27</v>
      </c>
      <c r="C552" s="20">
        <v>3</v>
      </c>
      <c r="D552" s="19">
        <v>8.5905000000000005</v>
      </c>
      <c r="E552" s="19">
        <v>180.40049999999999</v>
      </c>
      <c r="F552" s="21">
        <v>43505</v>
      </c>
      <c r="G552" s="22">
        <v>23.463888888888899</v>
      </c>
      <c r="H552" s="23" t="s">
        <v>23</v>
      </c>
      <c r="I552" s="19">
        <v>171.81</v>
      </c>
      <c r="J552" s="24">
        <v>4.7619047620000003</v>
      </c>
      <c r="K552" s="25">
        <v>6.5</v>
      </c>
      <c r="L552" s="23" t="str">
        <f>VLOOKUP(A552,'Customer-details'!$A$1:$C$1001,2,FALSE)</f>
        <v>Normal</v>
      </c>
      <c r="M552" s="23" t="str">
        <f>VLOOKUP(A552,'Customer-details'!$A$1:$C$1001,3,FALSE)</f>
        <v>Male</v>
      </c>
      <c r="N552" s="23" t="str">
        <f>VLOOKUP(A552,'Product-details'!$A$1:$B$1001,2,FALSE)</f>
        <v>Fashion accessories</v>
      </c>
      <c r="O552" s="23" t="str">
        <f>VLOOKUP(A552,'City-details'!$A$1:$C$1001,3,FALSE)</f>
        <v>Mandalay</v>
      </c>
      <c r="P552" s="23" t="str">
        <f>VLOOKUP(A552,'City-details'!$A$1:$C$1001,2,FALSE)</f>
        <v>B</v>
      </c>
      <c r="Q552" s="23" t="str">
        <f t="shared" si="24"/>
        <v>Feb</v>
      </c>
      <c r="R552" s="26" t="str">
        <f t="shared" si="25"/>
        <v>Sat</v>
      </c>
      <c r="S552">
        <f t="shared" si="26"/>
        <v>11</v>
      </c>
      <c r="T552" t="str" cm="1">
        <f t="array" ref="T552">_xlfn.IFS(S552&lt;=12,"Morning",S552&lt;=16,"Afternoon",S552&lt;=21,"Evening",S552&lt;=24,"Night")</f>
        <v>Morning</v>
      </c>
    </row>
    <row r="553" spans="1:20" x14ac:dyDescent="0.25">
      <c r="A553" s="31" t="s">
        <v>587</v>
      </c>
      <c r="B553" s="27">
        <v>54.31</v>
      </c>
      <c r="C553" s="28">
        <v>9</v>
      </c>
      <c r="D553" s="27">
        <v>24.439499999999999</v>
      </c>
      <c r="E553" s="27">
        <v>513.22950000000003</v>
      </c>
      <c r="F553" s="29">
        <v>43518</v>
      </c>
      <c r="G553" s="30">
        <v>23.505555555555599</v>
      </c>
      <c r="H553" s="31" t="s">
        <v>29</v>
      </c>
      <c r="I553" s="27">
        <v>488.79</v>
      </c>
      <c r="J553" s="32">
        <v>4.7619047620000003</v>
      </c>
      <c r="K553" s="33">
        <v>8.9</v>
      </c>
      <c r="L553" s="31" t="str">
        <f>VLOOKUP(A553,'Customer-details'!$A$1:$C$1001,2,FALSE)</f>
        <v>Normal</v>
      </c>
      <c r="M553" s="31" t="str">
        <f>VLOOKUP(A553,'Customer-details'!$A$1:$C$1001,3,FALSE)</f>
        <v>Female</v>
      </c>
      <c r="N553" s="31" t="str">
        <f>VLOOKUP(A553,'Product-details'!$A$1:$B$1001,2,FALSE)</f>
        <v>Fashion accessories</v>
      </c>
      <c r="O553" s="31" t="str">
        <f>VLOOKUP(A553,'City-details'!$A$1:$C$1001,3,FALSE)</f>
        <v>Mandalay</v>
      </c>
      <c r="P553" s="31" t="str">
        <f>VLOOKUP(A553,'City-details'!$A$1:$C$1001,2,FALSE)</f>
        <v>B</v>
      </c>
      <c r="Q553" s="31" t="str">
        <f t="shared" si="24"/>
        <v>Feb</v>
      </c>
      <c r="R553" s="34" t="str">
        <f t="shared" si="25"/>
        <v>Fri</v>
      </c>
      <c r="S553">
        <f t="shared" si="26"/>
        <v>12</v>
      </c>
      <c r="T553" t="str" cm="1">
        <f t="array" ref="T553">_xlfn.IFS(S553&lt;=12,"Morning",S553&lt;=16,"Afternoon",S553&lt;=21,"Evening",S553&lt;=24,"Night")</f>
        <v>Morning</v>
      </c>
    </row>
    <row r="554" spans="1:20" x14ac:dyDescent="0.25">
      <c r="A554" s="23" t="s">
        <v>588</v>
      </c>
      <c r="B554" s="19">
        <v>58.24</v>
      </c>
      <c r="C554" s="20">
        <v>9</v>
      </c>
      <c r="D554" s="19">
        <v>26.207999999999998</v>
      </c>
      <c r="E554" s="19">
        <v>550.36800000000005</v>
      </c>
      <c r="F554" s="21">
        <v>43501</v>
      </c>
      <c r="G554" s="22">
        <v>23.547222222222199</v>
      </c>
      <c r="H554" s="23" t="s">
        <v>29</v>
      </c>
      <c r="I554" s="19">
        <v>524.16</v>
      </c>
      <c r="J554" s="24">
        <v>4.7619047620000003</v>
      </c>
      <c r="K554" s="25">
        <v>9.6999999999999993</v>
      </c>
      <c r="L554" s="23" t="str">
        <f>VLOOKUP(A554,'Customer-details'!$A$1:$C$1001,2,FALSE)</f>
        <v>Normal</v>
      </c>
      <c r="M554" s="23" t="str">
        <f>VLOOKUP(A554,'Customer-details'!$A$1:$C$1001,3,FALSE)</f>
        <v>Female</v>
      </c>
      <c r="N554" s="23" t="str">
        <f>VLOOKUP(A554,'Product-details'!$A$1:$B$1001,2,FALSE)</f>
        <v>Health and beauty</v>
      </c>
      <c r="O554" s="23" t="str">
        <f>VLOOKUP(A554,'City-details'!$A$1:$C$1001,3,FALSE)</f>
        <v>Mandalay</v>
      </c>
      <c r="P554" s="23" t="str">
        <f>VLOOKUP(A554,'City-details'!$A$1:$C$1001,2,FALSE)</f>
        <v>B</v>
      </c>
      <c r="Q554" s="23" t="str">
        <f t="shared" si="24"/>
        <v>Feb</v>
      </c>
      <c r="R554" s="26" t="str">
        <f t="shared" si="25"/>
        <v>Tue</v>
      </c>
      <c r="S554">
        <f t="shared" si="26"/>
        <v>13</v>
      </c>
      <c r="T554" t="str" cm="1">
        <f t="array" ref="T554">_xlfn.IFS(S554&lt;=12,"Morning",S554&lt;=16,"Afternoon",S554&lt;=21,"Evening",S554&lt;=24,"Night")</f>
        <v>Afternoon</v>
      </c>
    </row>
    <row r="555" spans="1:20" x14ac:dyDescent="0.25">
      <c r="A555" s="31" t="s">
        <v>589</v>
      </c>
      <c r="B555" s="27">
        <v>22.21</v>
      </c>
      <c r="C555" s="28">
        <v>6</v>
      </c>
      <c r="D555" s="27">
        <v>6.6630000000000003</v>
      </c>
      <c r="E555" s="27">
        <v>139.923</v>
      </c>
      <c r="F555" s="29">
        <v>43531</v>
      </c>
      <c r="G555" s="30">
        <v>23.588888888888899</v>
      </c>
      <c r="H555" s="31" t="s">
        <v>33</v>
      </c>
      <c r="I555" s="27">
        <v>133.26</v>
      </c>
      <c r="J555" s="32">
        <v>4.7619047620000003</v>
      </c>
      <c r="K555" s="33">
        <v>8.6</v>
      </c>
      <c r="L555" s="31" t="str">
        <f>VLOOKUP(A555,'Customer-details'!$A$1:$C$1001,2,FALSE)</f>
        <v>Normal</v>
      </c>
      <c r="M555" s="31" t="str">
        <f>VLOOKUP(A555,'Customer-details'!$A$1:$C$1001,3,FALSE)</f>
        <v>Male</v>
      </c>
      <c r="N555" s="31" t="str">
        <f>VLOOKUP(A555,'Product-details'!$A$1:$B$1001,2,FALSE)</f>
        <v>Electronic accessories</v>
      </c>
      <c r="O555" s="31" t="str">
        <f>VLOOKUP(A555,'City-details'!$A$1:$C$1001,3,FALSE)</f>
        <v>Naypyitaw</v>
      </c>
      <c r="P555" s="31" t="str">
        <f>VLOOKUP(A555,'City-details'!$A$1:$C$1001,2,FALSE)</f>
        <v>C</v>
      </c>
      <c r="Q555" s="31" t="str">
        <f t="shared" si="24"/>
        <v>Mar</v>
      </c>
      <c r="R555" s="34" t="str">
        <f t="shared" si="25"/>
        <v>Thu</v>
      </c>
      <c r="S555">
        <f t="shared" si="26"/>
        <v>14</v>
      </c>
      <c r="T555" t="str" cm="1">
        <f t="array" ref="T555">_xlfn.IFS(S555&lt;=12,"Morning",S555&lt;=16,"Afternoon",S555&lt;=21,"Evening",S555&lt;=24,"Night")</f>
        <v>Afternoon</v>
      </c>
    </row>
    <row r="556" spans="1:20" x14ac:dyDescent="0.25">
      <c r="A556" s="23" t="s">
        <v>590</v>
      </c>
      <c r="B556" s="19">
        <v>19.32</v>
      </c>
      <c r="C556" s="20">
        <v>7</v>
      </c>
      <c r="D556" s="19">
        <v>6.7619999999999996</v>
      </c>
      <c r="E556" s="19">
        <v>142.00200000000001</v>
      </c>
      <c r="F556" s="21">
        <v>43549</v>
      </c>
      <c r="G556" s="22">
        <v>23.630555555555599</v>
      </c>
      <c r="H556" s="23" t="s">
        <v>29</v>
      </c>
      <c r="I556" s="19">
        <v>135.24</v>
      </c>
      <c r="J556" s="24">
        <v>4.7619047620000003</v>
      </c>
      <c r="K556" s="25">
        <v>6.9</v>
      </c>
      <c r="L556" s="23" t="str">
        <f>VLOOKUP(A556,'Customer-details'!$A$1:$C$1001,2,FALSE)</f>
        <v>Member</v>
      </c>
      <c r="M556" s="23" t="str">
        <f>VLOOKUP(A556,'Customer-details'!$A$1:$C$1001,3,FALSE)</f>
        <v>Male</v>
      </c>
      <c r="N556" s="23" t="str">
        <f>VLOOKUP(A556,'Product-details'!$A$1:$B$1001,2,FALSE)</f>
        <v>Electronic accessories</v>
      </c>
      <c r="O556" s="23" t="str">
        <f>VLOOKUP(A556,'City-details'!$A$1:$C$1001,3,FALSE)</f>
        <v>Yangon</v>
      </c>
      <c r="P556" s="23" t="str">
        <f>VLOOKUP(A556,'City-details'!$A$1:$C$1001,2,FALSE)</f>
        <v>A</v>
      </c>
      <c r="Q556" s="23" t="str">
        <f t="shared" si="24"/>
        <v>Mar</v>
      </c>
      <c r="R556" s="26" t="str">
        <f t="shared" si="25"/>
        <v>Mon</v>
      </c>
      <c r="S556">
        <f t="shared" si="26"/>
        <v>15</v>
      </c>
      <c r="T556" t="str" cm="1">
        <f t="array" ref="T556">_xlfn.IFS(S556&lt;=12,"Morning",S556&lt;=16,"Afternoon",S556&lt;=21,"Evening",S556&lt;=24,"Night")</f>
        <v>Afternoon</v>
      </c>
    </row>
    <row r="557" spans="1:20" x14ac:dyDescent="0.25">
      <c r="A557" s="31" t="s">
        <v>591</v>
      </c>
      <c r="B557" s="27">
        <v>37.479999999999997</v>
      </c>
      <c r="C557" s="28">
        <v>3</v>
      </c>
      <c r="D557" s="27">
        <v>5.6219999999999999</v>
      </c>
      <c r="E557" s="27">
        <v>118.062</v>
      </c>
      <c r="F557" s="29">
        <v>43485</v>
      </c>
      <c r="G557" s="30">
        <v>23.672222222222199</v>
      </c>
      <c r="H557" s="31" t="s">
        <v>33</v>
      </c>
      <c r="I557" s="27">
        <v>112.44</v>
      </c>
      <c r="J557" s="32">
        <v>4.7619047620000003</v>
      </c>
      <c r="K557" s="33">
        <v>7.7</v>
      </c>
      <c r="L557" s="31" t="str">
        <f>VLOOKUP(A557,'Customer-details'!$A$1:$C$1001,2,FALSE)</f>
        <v>Normal</v>
      </c>
      <c r="M557" s="31" t="str">
        <f>VLOOKUP(A557,'Customer-details'!$A$1:$C$1001,3,FALSE)</f>
        <v>Male</v>
      </c>
      <c r="N557" s="31" t="str">
        <f>VLOOKUP(A557,'Product-details'!$A$1:$B$1001,2,FALSE)</f>
        <v>Home and lifestyle</v>
      </c>
      <c r="O557" s="31" t="str">
        <f>VLOOKUP(A557,'City-details'!$A$1:$C$1001,3,FALSE)</f>
        <v>Mandalay</v>
      </c>
      <c r="P557" s="31" t="str">
        <f>VLOOKUP(A557,'City-details'!$A$1:$C$1001,2,FALSE)</f>
        <v>B</v>
      </c>
      <c r="Q557" s="31" t="str">
        <f t="shared" si="24"/>
        <v>Jan</v>
      </c>
      <c r="R557" s="34" t="str">
        <f t="shared" si="25"/>
        <v>Sun</v>
      </c>
      <c r="S557">
        <f t="shared" si="26"/>
        <v>16</v>
      </c>
      <c r="T557" t="str" cm="1">
        <f t="array" ref="T557">_xlfn.IFS(S557&lt;=12,"Morning",S557&lt;=16,"Afternoon",S557&lt;=21,"Evening",S557&lt;=24,"Night")</f>
        <v>Afternoon</v>
      </c>
    </row>
    <row r="558" spans="1:20" x14ac:dyDescent="0.25">
      <c r="A558" s="23" t="s">
        <v>592</v>
      </c>
      <c r="B558" s="19">
        <v>72.040000000000006</v>
      </c>
      <c r="C558" s="20">
        <v>2</v>
      </c>
      <c r="D558" s="19">
        <v>7.2039999999999997</v>
      </c>
      <c r="E558" s="19">
        <v>151.28399999999999</v>
      </c>
      <c r="F558" s="21">
        <v>43500</v>
      </c>
      <c r="G558" s="22">
        <v>23.713888888888899</v>
      </c>
      <c r="H558" s="23" t="s">
        <v>29</v>
      </c>
      <c r="I558" s="19">
        <v>144.08000000000001</v>
      </c>
      <c r="J558" s="24">
        <v>4.7619047620000003</v>
      </c>
      <c r="K558" s="25">
        <v>9.5</v>
      </c>
      <c r="L558" s="23" t="str">
        <f>VLOOKUP(A558,'Customer-details'!$A$1:$C$1001,2,FALSE)</f>
        <v>Member</v>
      </c>
      <c r="M558" s="23" t="str">
        <f>VLOOKUP(A558,'Customer-details'!$A$1:$C$1001,3,FALSE)</f>
        <v>Female</v>
      </c>
      <c r="N558" s="23" t="str">
        <f>VLOOKUP(A558,'Product-details'!$A$1:$B$1001,2,FALSE)</f>
        <v>Fashion accessories</v>
      </c>
      <c r="O558" s="23" t="str">
        <f>VLOOKUP(A558,'City-details'!$A$1:$C$1001,3,FALSE)</f>
        <v>Mandalay</v>
      </c>
      <c r="P558" s="23" t="str">
        <f>VLOOKUP(A558,'City-details'!$A$1:$C$1001,2,FALSE)</f>
        <v>B</v>
      </c>
      <c r="Q558" s="23" t="str">
        <f t="shared" si="24"/>
        <v>Feb</v>
      </c>
      <c r="R558" s="26" t="str">
        <f t="shared" si="25"/>
        <v>Mon</v>
      </c>
      <c r="S558">
        <f t="shared" si="26"/>
        <v>17</v>
      </c>
      <c r="T558" t="str" cm="1">
        <f t="array" ref="T558">_xlfn.IFS(S558&lt;=12,"Morning",S558&lt;=16,"Afternoon",S558&lt;=21,"Evening",S558&lt;=24,"Night")</f>
        <v>Evening</v>
      </c>
    </row>
    <row r="559" spans="1:20" x14ac:dyDescent="0.25">
      <c r="A559" s="31" t="s">
        <v>593</v>
      </c>
      <c r="B559" s="27">
        <v>98.52</v>
      </c>
      <c r="C559" s="28">
        <v>10</v>
      </c>
      <c r="D559" s="27">
        <v>49.26</v>
      </c>
      <c r="E559" s="27">
        <v>1034.46</v>
      </c>
      <c r="F559" s="29">
        <v>43495</v>
      </c>
      <c r="G559" s="30">
        <v>23.755555555555599</v>
      </c>
      <c r="H559" s="31" t="s">
        <v>23</v>
      </c>
      <c r="I559" s="27">
        <v>985.2</v>
      </c>
      <c r="J559" s="32">
        <v>4.7619047620000003</v>
      </c>
      <c r="K559" s="33">
        <v>4.5</v>
      </c>
      <c r="L559" s="31" t="str">
        <f>VLOOKUP(A559,'Customer-details'!$A$1:$C$1001,2,FALSE)</f>
        <v>Member</v>
      </c>
      <c r="M559" s="31" t="str">
        <f>VLOOKUP(A559,'Customer-details'!$A$1:$C$1001,3,FALSE)</f>
        <v>Female</v>
      </c>
      <c r="N559" s="31" t="str">
        <f>VLOOKUP(A559,'Product-details'!$A$1:$B$1001,2,FALSE)</f>
        <v>Food and beverages</v>
      </c>
      <c r="O559" s="31" t="str">
        <f>VLOOKUP(A559,'City-details'!$A$1:$C$1001,3,FALSE)</f>
        <v>Naypyitaw</v>
      </c>
      <c r="P559" s="31" t="str">
        <f>VLOOKUP(A559,'City-details'!$A$1:$C$1001,2,FALSE)</f>
        <v>C</v>
      </c>
      <c r="Q559" s="31" t="str">
        <f t="shared" si="24"/>
        <v>Jan</v>
      </c>
      <c r="R559" s="34" t="str">
        <f t="shared" si="25"/>
        <v>Wed</v>
      </c>
      <c r="S559">
        <f t="shared" si="26"/>
        <v>18</v>
      </c>
      <c r="T559" t="str" cm="1">
        <f t="array" ref="T559">_xlfn.IFS(S559&lt;=12,"Morning",S559&lt;=16,"Afternoon",S559&lt;=21,"Evening",S559&lt;=24,"Night")</f>
        <v>Evening</v>
      </c>
    </row>
    <row r="560" spans="1:20" x14ac:dyDescent="0.25">
      <c r="A560" s="23" t="s">
        <v>594</v>
      </c>
      <c r="B560" s="19">
        <v>41.66</v>
      </c>
      <c r="C560" s="20">
        <v>6</v>
      </c>
      <c r="D560" s="19">
        <v>12.497999999999999</v>
      </c>
      <c r="E560" s="19">
        <v>262.45800000000003</v>
      </c>
      <c r="F560" s="21">
        <v>43467</v>
      </c>
      <c r="G560" s="22">
        <v>23.797222222222199</v>
      </c>
      <c r="H560" s="23" t="s">
        <v>23</v>
      </c>
      <c r="I560" s="19">
        <v>249.96</v>
      </c>
      <c r="J560" s="24">
        <v>4.7619047620000003</v>
      </c>
      <c r="K560" s="25">
        <v>5.6</v>
      </c>
      <c r="L560" s="23" t="str">
        <f>VLOOKUP(A560,'Customer-details'!$A$1:$C$1001,2,FALSE)</f>
        <v>Member</v>
      </c>
      <c r="M560" s="23" t="str">
        <f>VLOOKUP(A560,'Customer-details'!$A$1:$C$1001,3,FALSE)</f>
        <v>Male</v>
      </c>
      <c r="N560" s="23" t="str">
        <f>VLOOKUP(A560,'Product-details'!$A$1:$B$1001,2,FALSE)</f>
        <v>Food and beverages</v>
      </c>
      <c r="O560" s="23" t="str">
        <f>VLOOKUP(A560,'City-details'!$A$1:$C$1001,3,FALSE)</f>
        <v>Yangon</v>
      </c>
      <c r="P560" s="23" t="str">
        <f>VLOOKUP(A560,'City-details'!$A$1:$C$1001,2,FALSE)</f>
        <v>A</v>
      </c>
      <c r="Q560" s="23" t="str">
        <f t="shared" si="24"/>
        <v>Jan</v>
      </c>
      <c r="R560" s="26" t="str">
        <f t="shared" si="25"/>
        <v>Wed</v>
      </c>
      <c r="S560">
        <f t="shared" si="26"/>
        <v>19</v>
      </c>
      <c r="T560" t="str" cm="1">
        <f t="array" ref="T560">_xlfn.IFS(S560&lt;=12,"Morning",S560&lt;=16,"Afternoon",S560&lt;=21,"Evening",S560&lt;=24,"Night")</f>
        <v>Evening</v>
      </c>
    </row>
    <row r="561" spans="1:20" x14ac:dyDescent="0.25">
      <c r="A561" s="31" t="s">
        <v>595</v>
      </c>
      <c r="B561" s="27">
        <v>72.42</v>
      </c>
      <c r="C561" s="28">
        <v>3</v>
      </c>
      <c r="D561" s="27">
        <v>10.863</v>
      </c>
      <c r="E561" s="27">
        <v>228.12299999999999</v>
      </c>
      <c r="F561" s="29">
        <v>43553</v>
      </c>
      <c r="G561" s="30">
        <v>23.838888888888899</v>
      </c>
      <c r="H561" s="31" t="s">
        <v>23</v>
      </c>
      <c r="I561" s="27">
        <v>217.26</v>
      </c>
      <c r="J561" s="32">
        <v>4.7619047620000003</v>
      </c>
      <c r="K561" s="33">
        <v>8.1999999999999993</v>
      </c>
      <c r="L561" s="31" t="str">
        <f>VLOOKUP(A561,'Customer-details'!$A$1:$C$1001,2,FALSE)</f>
        <v>Member</v>
      </c>
      <c r="M561" s="31" t="str">
        <f>VLOOKUP(A561,'Customer-details'!$A$1:$C$1001,3,FALSE)</f>
        <v>Female</v>
      </c>
      <c r="N561" s="31" t="str">
        <f>VLOOKUP(A561,'Product-details'!$A$1:$B$1001,2,FALSE)</f>
        <v>Home and lifestyle</v>
      </c>
      <c r="O561" s="31" t="str">
        <f>VLOOKUP(A561,'City-details'!$A$1:$C$1001,3,FALSE)</f>
        <v>Yangon</v>
      </c>
      <c r="P561" s="31" t="str">
        <f>VLOOKUP(A561,'City-details'!$A$1:$C$1001,2,FALSE)</f>
        <v>A</v>
      </c>
      <c r="Q561" s="31" t="str">
        <f t="shared" si="24"/>
        <v>Mar</v>
      </c>
      <c r="R561" s="34" t="str">
        <f t="shared" si="25"/>
        <v>Fri</v>
      </c>
      <c r="S561">
        <f t="shared" si="26"/>
        <v>20</v>
      </c>
      <c r="T561" t="str" cm="1">
        <f t="array" ref="T561">_xlfn.IFS(S561&lt;=12,"Morning",S561&lt;=16,"Afternoon",S561&lt;=21,"Evening",S561&lt;=24,"Night")</f>
        <v>Evening</v>
      </c>
    </row>
    <row r="562" spans="1:20" x14ac:dyDescent="0.25">
      <c r="A562" s="23" t="s">
        <v>596</v>
      </c>
      <c r="B562" s="19">
        <v>21.58</v>
      </c>
      <c r="C562" s="20">
        <v>9</v>
      </c>
      <c r="D562" s="19">
        <v>9.7110000000000003</v>
      </c>
      <c r="E562" s="19">
        <v>203.93100000000001</v>
      </c>
      <c r="F562" s="21">
        <v>43538</v>
      </c>
      <c r="G562" s="22">
        <v>23.880555555555599</v>
      </c>
      <c r="H562" s="23" t="s">
        <v>29</v>
      </c>
      <c r="I562" s="19">
        <v>194.22</v>
      </c>
      <c r="J562" s="24">
        <v>4.7619047620000003</v>
      </c>
      <c r="K562" s="25">
        <v>7.3</v>
      </c>
      <c r="L562" s="23" t="str">
        <f>VLOOKUP(A562,'Customer-details'!$A$1:$C$1001,2,FALSE)</f>
        <v>Normal</v>
      </c>
      <c r="M562" s="23" t="str">
        <f>VLOOKUP(A562,'Customer-details'!$A$1:$C$1001,3,FALSE)</f>
        <v>Male</v>
      </c>
      <c r="N562" s="23" t="str">
        <f>VLOOKUP(A562,'Product-details'!$A$1:$B$1001,2,FALSE)</f>
        <v>Electronic accessories</v>
      </c>
      <c r="O562" s="23" t="str">
        <f>VLOOKUP(A562,'City-details'!$A$1:$C$1001,3,FALSE)</f>
        <v>Mandalay</v>
      </c>
      <c r="P562" s="23" t="str">
        <f>VLOOKUP(A562,'City-details'!$A$1:$C$1001,2,FALSE)</f>
        <v>B</v>
      </c>
      <c r="Q562" s="23" t="str">
        <f t="shared" si="24"/>
        <v>Mar</v>
      </c>
      <c r="R562" s="26" t="str">
        <f t="shared" si="25"/>
        <v>Thu</v>
      </c>
      <c r="S562">
        <f t="shared" si="26"/>
        <v>21</v>
      </c>
      <c r="T562" t="str" cm="1">
        <f t="array" ref="T562">_xlfn.IFS(S562&lt;=12,"Morning",S562&lt;=16,"Afternoon",S562&lt;=21,"Evening",S562&lt;=24,"Night")</f>
        <v>Evening</v>
      </c>
    </row>
    <row r="563" spans="1:20" x14ac:dyDescent="0.25">
      <c r="A563" s="31" t="s">
        <v>597</v>
      </c>
      <c r="B563" s="27">
        <v>89.2</v>
      </c>
      <c r="C563" s="28">
        <v>10</v>
      </c>
      <c r="D563" s="27">
        <v>44.6</v>
      </c>
      <c r="E563" s="27">
        <v>936.6</v>
      </c>
      <c r="F563" s="29">
        <v>43507</v>
      </c>
      <c r="G563" s="30">
        <v>23.922222222222199</v>
      </c>
      <c r="H563" s="31" t="s">
        <v>33</v>
      </c>
      <c r="I563" s="27">
        <v>892</v>
      </c>
      <c r="J563" s="32">
        <v>4.7619047620000003</v>
      </c>
      <c r="K563" s="33">
        <v>4.4000000000000004</v>
      </c>
      <c r="L563" s="31" t="str">
        <f>VLOOKUP(A563,'Customer-details'!$A$1:$C$1001,2,FALSE)</f>
        <v>Normal</v>
      </c>
      <c r="M563" s="31" t="str">
        <f>VLOOKUP(A563,'Customer-details'!$A$1:$C$1001,3,FALSE)</f>
        <v>Male</v>
      </c>
      <c r="N563" s="31" t="str">
        <f>VLOOKUP(A563,'Product-details'!$A$1:$B$1001,2,FALSE)</f>
        <v>Food and beverages</v>
      </c>
      <c r="O563" s="31" t="str">
        <f>VLOOKUP(A563,'City-details'!$A$1:$C$1001,3,FALSE)</f>
        <v>Naypyitaw</v>
      </c>
      <c r="P563" s="31" t="str">
        <f>VLOOKUP(A563,'City-details'!$A$1:$C$1001,2,FALSE)</f>
        <v>C</v>
      </c>
      <c r="Q563" s="31" t="str">
        <f t="shared" si="24"/>
        <v>Feb</v>
      </c>
      <c r="R563" s="34" t="str">
        <f t="shared" si="25"/>
        <v>Mon</v>
      </c>
      <c r="S563">
        <f t="shared" si="26"/>
        <v>22</v>
      </c>
      <c r="T563" t="str" cm="1">
        <f t="array" ref="T563">_xlfn.IFS(S563&lt;=12,"Morning",S563&lt;=16,"Afternoon",S563&lt;=21,"Evening",S563&lt;=24,"Night")</f>
        <v>Night</v>
      </c>
    </row>
    <row r="564" spans="1:20" x14ac:dyDescent="0.25">
      <c r="A564" s="23" t="s">
        <v>598</v>
      </c>
      <c r="B564" s="19">
        <v>42.42</v>
      </c>
      <c r="C564" s="20">
        <v>8</v>
      </c>
      <c r="D564" s="19">
        <v>16.968</v>
      </c>
      <c r="E564" s="19">
        <v>356.32799999999997</v>
      </c>
      <c r="F564" s="21">
        <v>43495</v>
      </c>
      <c r="G564" s="22">
        <v>23.963888888888899</v>
      </c>
      <c r="H564" s="23" t="s">
        <v>23</v>
      </c>
      <c r="I564" s="19">
        <v>339.36</v>
      </c>
      <c r="J564" s="24">
        <v>4.7619047620000003</v>
      </c>
      <c r="K564" s="25">
        <v>5.7</v>
      </c>
      <c r="L564" s="23" t="str">
        <f>VLOOKUP(A564,'Customer-details'!$A$1:$C$1001,2,FALSE)</f>
        <v>Normal</v>
      </c>
      <c r="M564" s="23" t="str">
        <f>VLOOKUP(A564,'Customer-details'!$A$1:$C$1001,3,FALSE)</f>
        <v>Female</v>
      </c>
      <c r="N564" s="23" t="str">
        <f>VLOOKUP(A564,'Product-details'!$A$1:$B$1001,2,FALSE)</f>
        <v>Electronic accessories</v>
      </c>
      <c r="O564" s="23" t="str">
        <f>VLOOKUP(A564,'City-details'!$A$1:$C$1001,3,FALSE)</f>
        <v>Mandalay</v>
      </c>
      <c r="P564" s="23" t="str">
        <f>VLOOKUP(A564,'City-details'!$A$1:$C$1001,2,FALSE)</f>
        <v>B</v>
      </c>
      <c r="Q564" s="23" t="str">
        <f t="shared" si="24"/>
        <v>Jan</v>
      </c>
      <c r="R564" s="26" t="str">
        <f t="shared" si="25"/>
        <v>Wed</v>
      </c>
      <c r="S564">
        <f t="shared" si="26"/>
        <v>23</v>
      </c>
      <c r="T564" t="str" cm="1">
        <f t="array" ref="T564">_xlfn.IFS(S564&lt;=12,"Morning",S564&lt;=16,"Afternoon",S564&lt;=21,"Evening",S564&lt;=24,"Night")</f>
        <v>Night</v>
      </c>
    </row>
    <row r="565" spans="1:20" x14ac:dyDescent="0.25">
      <c r="A565" s="31" t="s">
        <v>599</v>
      </c>
      <c r="B565" s="27">
        <v>74.510000000000005</v>
      </c>
      <c r="C565" s="28">
        <v>6</v>
      </c>
      <c r="D565" s="27">
        <v>22.353000000000002</v>
      </c>
      <c r="E565" s="27">
        <v>469.41300000000001</v>
      </c>
      <c r="F565" s="29">
        <v>43544</v>
      </c>
      <c r="G565" s="30">
        <v>24.005555555555599</v>
      </c>
      <c r="H565" s="31" t="s">
        <v>23</v>
      </c>
      <c r="I565" s="27">
        <v>447.06</v>
      </c>
      <c r="J565" s="32">
        <v>4.7619047620000003</v>
      </c>
      <c r="K565" s="33">
        <v>5</v>
      </c>
      <c r="L565" s="31" t="str">
        <f>VLOOKUP(A565,'Customer-details'!$A$1:$C$1001,2,FALSE)</f>
        <v>Member</v>
      </c>
      <c r="M565" s="31" t="str">
        <f>VLOOKUP(A565,'Customer-details'!$A$1:$C$1001,3,FALSE)</f>
        <v>Male</v>
      </c>
      <c r="N565" s="31" t="str">
        <f>VLOOKUP(A565,'Product-details'!$A$1:$B$1001,2,FALSE)</f>
        <v>Electronic accessories</v>
      </c>
      <c r="O565" s="31" t="str">
        <f>VLOOKUP(A565,'City-details'!$A$1:$C$1001,3,FALSE)</f>
        <v>Yangon</v>
      </c>
      <c r="P565" s="31" t="str">
        <f>VLOOKUP(A565,'City-details'!$A$1:$C$1001,2,FALSE)</f>
        <v>A</v>
      </c>
      <c r="Q565" s="31" t="str">
        <f t="shared" si="24"/>
        <v>Mar</v>
      </c>
      <c r="R565" s="34" t="str">
        <f t="shared" si="25"/>
        <v>Wed</v>
      </c>
      <c r="S565">
        <f t="shared" si="26"/>
        <v>0</v>
      </c>
      <c r="T565" t="str" cm="1">
        <f t="array" ref="T565">_xlfn.IFS(S565&lt;=12,"Morning",S565&lt;=16,"Afternoon",S565&lt;=21,"Evening",S565&lt;=24,"Night")</f>
        <v>Morning</v>
      </c>
    </row>
    <row r="566" spans="1:20" x14ac:dyDescent="0.25">
      <c r="A566" s="23" t="s">
        <v>600</v>
      </c>
      <c r="B566" s="19">
        <v>99.25</v>
      </c>
      <c r="C566" s="20">
        <v>2</v>
      </c>
      <c r="D566" s="19">
        <v>9.9250000000000007</v>
      </c>
      <c r="E566" s="19">
        <v>208.42500000000001</v>
      </c>
      <c r="F566" s="21">
        <v>43544</v>
      </c>
      <c r="G566" s="22">
        <v>24.047222222222199</v>
      </c>
      <c r="H566" s="23" t="s">
        <v>29</v>
      </c>
      <c r="I566" s="19">
        <v>198.5</v>
      </c>
      <c r="J566" s="24">
        <v>4.7619047620000003</v>
      </c>
      <c r="K566" s="25">
        <v>9</v>
      </c>
      <c r="L566" s="23" t="str">
        <f>VLOOKUP(A566,'Customer-details'!$A$1:$C$1001,2,FALSE)</f>
        <v>Normal</v>
      </c>
      <c r="M566" s="23" t="str">
        <f>VLOOKUP(A566,'Customer-details'!$A$1:$C$1001,3,FALSE)</f>
        <v>Male</v>
      </c>
      <c r="N566" s="23" t="str">
        <f>VLOOKUP(A566,'Product-details'!$A$1:$B$1001,2,FALSE)</f>
        <v>Fashion accessories</v>
      </c>
      <c r="O566" s="23" t="str">
        <f>VLOOKUP(A566,'City-details'!$A$1:$C$1001,3,FALSE)</f>
        <v>Mandalay</v>
      </c>
      <c r="P566" s="23" t="str">
        <f>VLOOKUP(A566,'City-details'!$A$1:$C$1001,2,FALSE)</f>
        <v>B</v>
      </c>
      <c r="Q566" s="23" t="str">
        <f t="shared" si="24"/>
        <v>Mar</v>
      </c>
      <c r="R566" s="26" t="str">
        <f t="shared" si="25"/>
        <v>Wed</v>
      </c>
      <c r="S566">
        <f t="shared" si="26"/>
        <v>1</v>
      </c>
      <c r="T566" t="str" cm="1">
        <f t="array" ref="T566">_xlfn.IFS(S566&lt;=12,"Morning",S566&lt;=16,"Afternoon",S566&lt;=21,"Evening",S566&lt;=24,"Night")</f>
        <v>Morning</v>
      </c>
    </row>
    <row r="567" spans="1:20" x14ac:dyDescent="0.25">
      <c r="A567" s="31" t="s">
        <v>601</v>
      </c>
      <c r="B567" s="27">
        <v>81.209999999999994</v>
      </c>
      <c r="C567" s="28">
        <v>10</v>
      </c>
      <c r="D567" s="27">
        <v>40.604999999999997</v>
      </c>
      <c r="E567" s="27">
        <v>852.70500000000004</v>
      </c>
      <c r="F567" s="29">
        <v>43482</v>
      </c>
      <c r="G567" s="30">
        <v>24.088888888888899</v>
      </c>
      <c r="H567" s="31" t="s">
        <v>33</v>
      </c>
      <c r="I567" s="27">
        <v>812.1</v>
      </c>
      <c r="J567" s="32">
        <v>4.7619047620000003</v>
      </c>
      <c r="K567" s="33">
        <v>6.3</v>
      </c>
      <c r="L567" s="31" t="str">
        <f>VLOOKUP(A567,'Customer-details'!$A$1:$C$1001,2,FALSE)</f>
        <v>Normal</v>
      </c>
      <c r="M567" s="31" t="str">
        <f>VLOOKUP(A567,'Customer-details'!$A$1:$C$1001,3,FALSE)</f>
        <v>Female</v>
      </c>
      <c r="N567" s="31" t="str">
        <f>VLOOKUP(A567,'Product-details'!$A$1:$B$1001,2,FALSE)</f>
        <v>Food and beverages</v>
      </c>
      <c r="O567" s="31" t="str">
        <f>VLOOKUP(A567,'City-details'!$A$1:$C$1001,3,FALSE)</f>
        <v>Yangon</v>
      </c>
      <c r="P567" s="31" t="str">
        <f>VLOOKUP(A567,'City-details'!$A$1:$C$1001,2,FALSE)</f>
        <v>A</v>
      </c>
      <c r="Q567" s="31" t="str">
        <f t="shared" si="24"/>
        <v>Jan</v>
      </c>
      <c r="R567" s="34" t="str">
        <f t="shared" si="25"/>
        <v>Thu</v>
      </c>
      <c r="S567">
        <f t="shared" si="26"/>
        <v>2</v>
      </c>
      <c r="T567" t="str" cm="1">
        <f t="array" ref="T567">_xlfn.IFS(S567&lt;=12,"Morning",S567&lt;=16,"Afternoon",S567&lt;=21,"Evening",S567&lt;=24,"Night")</f>
        <v>Morning</v>
      </c>
    </row>
    <row r="568" spans="1:20" x14ac:dyDescent="0.25">
      <c r="A568" s="23" t="s">
        <v>602</v>
      </c>
      <c r="B568" s="19">
        <v>49.33</v>
      </c>
      <c r="C568" s="20">
        <v>10</v>
      </c>
      <c r="D568" s="19">
        <v>24.664999999999999</v>
      </c>
      <c r="E568" s="19">
        <v>517.96500000000003</v>
      </c>
      <c r="F568" s="21">
        <v>43499</v>
      </c>
      <c r="G568" s="22">
        <v>24.130555555555599</v>
      </c>
      <c r="H568" s="23" t="s">
        <v>33</v>
      </c>
      <c r="I568" s="19">
        <v>493.3</v>
      </c>
      <c r="J568" s="24">
        <v>4.7619047620000003</v>
      </c>
      <c r="K568" s="25">
        <v>9.4</v>
      </c>
      <c r="L568" s="23" t="str">
        <f>VLOOKUP(A568,'Customer-details'!$A$1:$C$1001,2,FALSE)</f>
        <v>Normal</v>
      </c>
      <c r="M568" s="23" t="str">
        <f>VLOOKUP(A568,'Customer-details'!$A$1:$C$1001,3,FALSE)</f>
        <v>Female</v>
      </c>
      <c r="N568" s="23" t="str">
        <f>VLOOKUP(A568,'Product-details'!$A$1:$B$1001,2,FALSE)</f>
        <v>Sports and travel</v>
      </c>
      <c r="O568" s="23" t="str">
        <f>VLOOKUP(A568,'City-details'!$A$1:$C$1001,3,FALSE)</f>
        <v>Naypyitaw</v>
      </c>
      <c r="P568" s="23" t="str">
        <f>VLOOKUP(A568,'City-details'!$A$1:$C$1001,2,FALSE)</f>
        <v>C</v>
      </c>
      <c r="Q568" s="23" t="str">
        <f t="shared" si="24"/>
        <v>Feb</v>
      </c>
      <c r="R568" s="26" t="str">
        <f t="shared" si="25"/>
        <v>Sun</v>
      </c>
      <c r="S568">
        <f t="shared" si="26"/>
        <v>3</v>
      </c>
      <c r="T568" t="str" cm="1">
        <f t="array" ref="T568">_xlfn.IFS(S568&lt;=12,"Morning",S568&lt;=16,"Afternoon",S568&lt;=21,"Evening",S568&lt;=24,"Night")</f>
        <v>Morning</v>
      </c>
    </row>
    <row r="569" spans="1:20" x14ac:dyDescent="0.25">
      <c r="A569" s="31" t="s">
        <v>603</v>
      </c>
      <c r="B569" s="27">
        <v>65.739999999999995</v>
      </c>
      <c r="C569" s="28">
        <v>9</v>
      </c>
      <c r="D569" s="27">
        <v>29.582999999999998</v>
      </c>
      <c r="E569" s="27">
        <v>621.24300000000005</v>
      </c>
      <c r="F569" s="29">
        <v>43466</v>
      </c>
      <c r="G569" s="30">
        <v>24.172222222222199</v>
      </c>
      <c r="H569" s="31" t="s">
        <v>29</v>
      </c>
      <c r="I569" s="27">
        <v>591.66</v>
      </c>
      <c r="J569" s="32">
        <v>4.7619047620000003</v>
      </c>
      <c r="K569" s="33">
        <v>7.7</v>
      </c>
      <c r="L569" s="31" t="str">
        <f>VLOOKUP(A569,'Customer-details'!$A$1:$C$1001,2,FALSE)</f>
        <v>Normal</v>
      </c>
      <c r="M569" s="31" t="str">
        <f>VLOOKUP(A569,'Customer-details'!$A$1:$C$1001,3,FALSE)</f>
        <v>Female</v>
      </c>
      <c r="N569" s="31" t="str">
        <f>VLOOKUP(A569,'Product-details'!$A$1:$B$1001,2,FALSE)</f>
        <v>Fashion accessories</v>
      </c>
      <c r="O569" s="31" t="str">
        <f>VLOOKUP(A569,'City-details'!$A$1:$C$1001,3,FALSE)</f>
        <v>Yangon</v>
      </c>
      <c r="P569" s="31" t="str">
        <f>VLOOKUP(A569,'City-details'!$A$1:$C$1001,2,FALSE)</f>
        <v>A</v>
      </c>
      <c r="Q569" s="31" t="str">
        <f t="shared" si="24"/>
        <v>Jan</v>
      </c>
      <c r="R569" s="34" t="str">
        <f t="shared" si="25"/>
        <v>Tue</v>
      </c>
      <c r="S569">
        <f t="shared" si="26"/>
        <v>4</v>
      </c>
      <c r="T569" t="str" cm="1">
        <f t="array" ref="T569">_xlfn.IFS(S569&lt;=12,"Morning",S569&lt;=16,"Afternoon",S569&lt;=21,"Evening",S569&lt;=24,"Night")</f>
        <v>Morning</v>
      </c>
    </row>
    <row r="570" spans="1:20" x14ac:dyDescent="0.25">
      <c r="A570" s="23" t="s">
        <v>604</v>
      </c>
      <c r="B570" s="19">
        <v>79.86</v>
      </c>
      <c r="C570" s="20">
        <v>7</v>
      </c>
      <c r="D570" s="19">
        <v>27.951000000000001</v>
      </c>
      <c r="E570" s="19">
        <v>586.971</v>
      </c>
      <c r="F570" s="21">
        <v>43475</v>
      </c>
      <c r="G570" s="22">
        <v>24.213888888888899</v>
      </c>
      <c r="H570" s="23" t="s">
        <v>33</v>
      </c>
      <c r="I570" s="19">
        <v>559.02</v>
      </c>
      <c r="J570" s="24">
        <v>4.7619047620000003</v>
      </c>
      <c r="K570" s="25">
        <v>5.5</v>
      </c>
      <c r="L570" s="23" t="str">
        <f>VLOOKUP(A570,'Customer-details'!$A$1:$C$1001,2,FALSE)</f>
        <v>Normal</v>
      </c>
      <c r="M570" s="23" t="str">
        <f>VLOOKUP(A570,'Customer-details'!$A$1:$C$1001,3,FALSE)</f>
        <v>Female</v>
      </c>
      <c r="N570" s="23" t="str">
        <f>VLOOKUP(A570,'Product-details'!$A$1:$B$1001,2,FALSE)</f>
        <v>Fashion accessories</v>
      </c>
      <c r="O570" s="23" t="str">
        <f>VLOOKUP(A570,'City-details'!$A$1:$C$1001,3,FALSE)</f>
        <v>Mandalay</v>
      </c>
      <c r="P570" s="23" t="str">
        <f>VLOOKUP(A570,'City-details'!$A$1:$C$1001,2,FALSE)</f>
        <v>B</v>
      </c>
      <c r="Q570" s="23" t="str">
        <f t="shared" si="24"/>
        <v>Jan</v>
      </c>
      <c r="R570" s="26" t="str">
        <f t="shared" si="25"/>
        <v>Thu</v>
      </c>
      <c r="S570">
        <f t="shared" si="26"/>
        <v>5</v>
      </c>
      <c r="T570" t="str" cm="1">
        <f t="array" ref="T570">_xlfn.IFS(S570&lt;=12,"Morning",S570&lt;=16,"Afternoon",S570&lt;=21,"Evening",S570&lt;=24,"Night")</f>
        <v>Morning</v>
      </c>
    </row>
    <row r="571" spans="1:20" x14ac:dyDescent="0.25">
      <c r="A571" s="31" t="s">
        <v>605</v>
      </c>
      <c r="B571" s="27">
        <v>73.98</v>
      </c>
      <c r="C571" s="28">
        <v>7</v>
      </c>
      <c r="D571" s="27">
        <v>25.893000000000001</v>
      </c>
      <c r="E571" s="27">
        <v>543.75300000000004</v>
      </c>
      <c r="F571" s="29">
        <v>43526</v>
      </c>
      <c r="G571" s="30">
        <v>24.255555555555599</v>
      </c>
      <c r="H571" s="31" t="s">
        <v>23</v>
      </c>
      <c r="I571" s="27">
        <v>517.86</v>
      </c>
      <c r="J571" s="32">
        <v>4.7619047620000003</v>
      </c>
      <c r="K571" s="33">
        <v>4.0999999999999996</v>
      </c>
      <c r="L571" s="31" t="str">
        <f>VLOOKUP(A571,'Customer-details'!$A$1:$C$1001,2,FALSE)</f>
        <v>Normal</v>
      </c>
      <c r="M571" s="31" t="str">
        <f>VLOOKUP(A571,'Customer-details'!$A$1:$C$1001,3,FALSE)</f>
        <v>Female</v>
      </c>
      <c r="N571" s="31" t="str">
        <f>VLOOKUP(A571,'Product-details'!$A$1:$B$1001,2,FALSE)</f>
        <v>Sports and travel</v>
      </c>
      <c r="O571" s="31" t="str">
        <f>VLOOKUP(A571,'City-details'!$A$1:$C$1001,3,FALSE)</f>
        <v>Naypyitaw</v>
      </c>
      <c r="P571" s="31" t="str">
        <f>VLOOKUP(A571,'City-details'!$A$1:$C$1001,2,FALSE)</f>
        <v>C</v>
      </c>
      <c r="Q571" s="31" t="str">
        <f t="shared" si="24"/>
        <v>Mar</v>
      </c>
      <c r="R571" s="34" t="str">
        <f t="shared" si="25"/>
        <v>Sat</v>
      </c>
      <c r="S571">
        <f t="shared" si="26"/>
        <v>6</v>
      </c>
      <c r="T571" t="str" cm="1">
        <f t="array" ref="T571">_xlfn.IFS(S571&lt;=12,"Morning",S571&lt;=16,"Afternoon",S571&lt;=21,"Evening",S571&lt;=24,"Night")</f>
        <v>Morning</v>
      </c>
    </row>
    <row r="572" spans="1:20" x14ac:dyDescent="0.25">
      <c r="A572" s="23" t="s">
        <v>606</v>
      </c>
      <c r="B572" s="19">
        <v>82.04</v>
      </c>
      <c r="C572" s="20">
        <v>5</v>
      </c>
      <c r="D572" s="19">
        <v>20.51</v>
      </c>
      <c r="E572" s="19">
        <v>430.71</v>
      </c>
      <c r="F572" s="21">
        <v>43521</v>
      </c>
      <c r="G572" s="22">
        <v>24.297222222222199</v>
      </c>
      <c r="H572" s="23" t="s">
        <v>33</v>
      </c>
      <c r="I572" s="19">
        <v>410.2</v>
      </c>
      <c r="J572" s="24">
        <v>4.7619047620000003</v>
      </c>
      <c r="K572" s="25">
        <v>7.6</v>
      </c>
      <c r="L572" s="23" t="str">
        <f>VLOOKUP(A572,'Customer-details'!$A$1:$C$1001,2,FALSE)</f>
        <v>Member</v>
      </c>
      <c r="M572" s="23" t="str">
        <f>VLOOKUP(A572,'Customer-details'!$A$1:$C$1001,3,FALSE)</f>
        <v>Female</v>
      </c>
      <c r="N572" s="23" t="str">
        <f>VLOOKUP(A572,'Product-details'!$A$1:$B$1001,2,FALSE)</f>
        <v>Home and lifestyle</v>
      </c>
      <c r="O572" s="23" t="str">
        <f>VLOOKUP(A572,'City-details'!$A$1:$C$1001,3,FALSE)</f>
        <v>Mandalay</v>
      </c>
      <c r="P572" s="23" t="str">
        <f>VLOOKUP(A572,'City-details'!$A$1:$C$1001,2,FALSE)</f>
        <v>B</v>
      </c>
      <c r="Q572" s="23" t="str">
        <f t="shared" si="24"/>
        <v>Feb</v>
      </c>
      <c r="R572" s="26" t="str">
        <f t="shared" si="25"/>
        <v>Mon</v>
      </c>
      <c r="S572">
        <f t="shared" si="26"/>
        <v>7</v>
      </c>
      <c r="T572" t="str" cm="1">
        <f t="array" ref="T572">_xlfn.IFS(S572&lt;=12,"Morning",S572&lt;=16,"Afternoon",S572&lt;=21,"Evening",S572&lt;=24,"Night")</f>
        <v>Morning</v>
      </c>
    </row>
    <row r="573" spans="1:20" x14ac:dyDescent="0.25">
      <c r="A573" s="31" t="s">
        <v>607</v>
      </c>
      <c r="B573" s="27">
        <v>26.67</v>
      </c>
      <c r="C573" s="28">
        <v>10</v>
      </c>
      <c r="D573" s="27">
        <v>13.335000000000001</v>
      </c>
      <c r="E573" s="27">
        <v>280.03500000000003</v>
      </c>
      <c r="F573" s="29">
        <v>43494</v>
      </c>
      <c r="G573" s="30">
        <v>24.338888888888899</v>
      </c>
      <c r="H573" s="31" t="s">
        <v>29</v>
      </c>
      <c r="I573" s="27">
        <v>266.7</v>
      </c>
      <c r="J573" s="32">
        <v>4.7619047620000003</v>
      </c>
      <c r="K573" s="33">
        <v>8.6</v>
      </c>
      <c r="L573" s="31" t="str">
        <f>VLOOKUP(A573,'Customer-details'!$A$1:$C$1001,2,FALSE)</f>
        <v>Member</v>
      </c>
      <c r="M573" s="31" t="str">
        <f>VLOOKUP(A573,'Customer-details'!$A$1:$C$1001,3,FALSE)</f>
        <v>Male</v>
      </c>
      <c r="N573" s="31" t="str">
        <f>VLOOKUP(A573,'Product-details'!$A$1:$B$1001,2,FALSE)</f>
        <v>Sports and travel</v>
      </c>
      <c r="O573" s="31" t="str">
        <f>VLOOKUP(A573,'City-details'!$A$1:$C$1001,3,FALSE)</f>
        <v>Mandalay</v>
      </c>
      <c r="P573" s="31" t="str">
        <f>VLOOKUP(A573,'City-details'!$A$1:$C$1001,2,FALSE)</f>
        <v>B</v>
      </c>
      <c r="Q573" s="31" t="str">
        <f t="shared" si="24"/>
        <v>Jan</v>
      </c>
      <c r="R573" s="34" t="str">
        <f t="shared" si="25"/>
        <v>Tue</v>
      </c>
      <c r="S573">
        <f t="shared" si="26"/>
        <v>8</v>
      </c>
      <c r="T573" t="str" cm="1">
        <f t="array" ref="T573">_xlfn.IFS(S573&lt;=12,"Morning",S573&lt;=16,"Afternoon",S573&lt;=21,"Evening",S573&lt;=24,"Night")</f>
        <v>Morning</v>
      </c>
    </row>
    <row r="574" spans="1:20" x14ac:dyDescent="0.25">
      <c r="A574" s="23" t="s">
        <v>608</v>
      </c>
      <c r="B574" s="19">
        <v>10.130000000000001</v>
      </c>
      <c r="C574" s="20">
        <v>7</v>
      </c>
      <c r="D574" s="19">
        <v>3.5455000000000001</v>
      </c>
      <c r="E574" s="19">
        <v>74.455500000000001</v>
      </c>
      <c r="F574" s="21">
        <v>43534</v>
      </c>
      <c r="G574" s="22">
        <v>24.380555555555599</v>
      </c>
      <c r="H574" s="23" t="s">
        <v>23</v>
      </c>
      <c r="I574" s="19">
        <v>70.91</v>
      </c>
      <c r="J574" s="24">
        <v>4.7619047620000003</v>
      </c>
      <c r="K574" s="25">
        <v>8.3000000000000007</v>
      </c>
      <c r="L574" s="23" t="str">
        <f>VLOOKUP(A574,'Customer-details'!$A$1:$C$1001,2,FALSE)</f>
        <v>Member</v>
      </c>
      <c r="M574" s="23" t="str">
        <f>VLOOKUP(A574,'Customer-details'!$A$1:$C$1001,3,FALSE)</f>
        <v>Male</v>
      </c>
      <c r="N574" s="23" t="str">
        <f>VLOOKUP(A574,'Product-details'!$A$1:$B$1001,2,FALSE)</f>
        <v>Food and beverages</v>
      </c>
      <c r="O574" s="23" t="str">
        <f>VLOOKUP(A574,'City-details'!$A$1:$C$1001,3,FALSE)</f>
        <v>Yangon</v>
      </c>
      <c r="P574" s="23" t="str">
        <f>VLOOKUP(A574,'City-details'!$A$1:$C$1001,2,FALSE)</f>
        <v>A</v>
      </c>
      <c r="Q574" s="23" t="str">
        <f t="shared" si="24"/>
        <v>Mar</v>
      </c>
      <c r="R574" s="26" t="str">
        <f t="shared" si="25"/>
        <v>Sun</v>
      </c>
      <c r="S574">
        <f t="shared" si="26"/>
        <v>9</v>
      </c>
      <c r="T574" t="str" cm="1">
        <f t="array" ref="T574">_xlfn.IFS(S574&lt;=12,"Morning",S574&lt;=16,"Afternoon",S574&lt;=21,"Evening",S574&lt;=24,"Night")</f>
        <v>Morning</v>
      </c>
    </row>
    <row r="575" spans="1:20" x14ac:dyDescent="0.25">
      <c r="A575" s="31" t="s">
        <v>609</v>
      </c>
      <c r="B575" s="27">
        <v>72.39</v>
      </c>
      <c r="C575" s="28">
        <v>2</v>
      </c>
      <c r="D575" s="27">
        <v>7.2389999999999999</v>
      </c>
      <c r="E575" s="27">
        <v>152.01900000000001</v>
      </c>
      <c r="F575" s="29">
        <v>43478</v>
      </c>
      <c r="G575" s="30">
        <v>24.422222222222199</v>
      </c>
      <c r="H575" s="31" t="s">
        <v>33</v>
      </c>
      <c r="I575" s="27">
        <v>144.78</v>
      </c>
      <c r="J575" s="32">
        <v>4.7619047620000003</v>
      </c>
      <c r="K575" s="33">
        <v>8.1</v>
      </c>
      <c r="L575" s="31" t="str">
        <f>VLOOKUP(A575,'Customer-details'!$A$1:$C$1001,2,FALSE)</f>
        <v>Normal</v>
      </c>
      <c r="M575" s="31" t="str">
        <f>VLOOKUP(A575,'Customer-details'!$A$1:$C$1001,3,FALSE)</f>
        <v>Male</v>
      </c>
      <c r="N575" s="31" t="str">
        <f>VLOOKUP(A575,'Product-details'!$A$1:$B$1001,2,FALSE)</f>
        <v>Food and beverages</v>
      </c>
      <c r="O575" s="31" t="str">
        <f>VLOOKUP(A575,'City-details'!$A$1:$C$1001,3,FALSE)</f>
        <v>Mandalay</v>
      </c>
      <c r="P575" s="31" t="str">
        <f>VLOOKUP(A575,'City-details'!$A$1:$C$1001,2,FALSE)</f>
        <v>B</v>
      </c>
      <c r="Q575" s="31" t="str">
        <f t="shared" si="24"/>
        <v>Jan</v>
      </c>
      <c r="R575" s="34" t="str">
        <f t="shared" si="25"/>
        <v>Sun</v>
      </c>
      <c r="S575">
        <f t="shared" si="26"/>
        <v>10</v>
      </c>
      <c r="T575" t="str" cm="1">
        <f t="array" ref="T575">_xlfn.IFS(S575&lt;=12,"Morning",S575&lt;=16,"Afternoon",S575&lt;=21,"Evening",S575&lt;=24,"Night")</f>
        <v>Morning</v>
      </c>
    </row>
    <row r="576" spans="1:20" x14ac:dyDescent="0.25">
      <c r="A576" s="23" t="s">
        <v>610</v>
      </c>
      <c r="B576" s="19">
        <v>85.91</v>
      </c>
      <c r="C576" s="20">
        <v>5</v>
      </c>
      <c r="D576" s="19">
        <v>21.477499999999999</v>
      </c>
      <c r="E576" s="19">
        <v>451.02749999999997</v>
      </c>
      <c r="F576" s="21">
        <v>43546</v>
      </c>
      <c r="G576" s="22">
        <v>24.463888888888899</v>
      </c>
      <c r="H576" s="23" t="s">
        <v>33</v>
      </c>
      <c r="I576" s="19">
        <v>429.55</v>
      </c>
      <c r="J576" s="24">
        <v>4.7619047620000003</v>
      </c>
      <c r="K576" s="25">
        <v>8.6</v>
      </c>
      <c r="L576" s="23" t="str">
        <f>VLOOKUP(A576,'Customer-details'!$A$1:$C$1001,2,FALSE)</f>
        <v>Normal</v>
      </c>
      <c r="M576" s="23" t="str">
        <f>VLOOKUP(A576,'Customer-details'!$A$1:$C$1001,3,FALSE)</f>
        <v>Male</v>
      </c>
      <c r="N576" s="23" t="str">
        <f>VLOOKUP(A576,'Product-details'!$A$1:$B$1001,2,FALSE)</f>
        <v>Sports and travel</v>
      </c>
      <c r="O576" s="23" t="str">
        <f>VLOOKUP(A576,'City-details'!$A$1:$C$1001,3,FALSE)</f>
        <v>Yangon</v>
      </c>
      <c r="P576" s="23" t="str">
        <f>VLOOKUP(A576,'City-details'!$A$1:$C$1001,2,FALSE)</f>
        <v>A</v>
      </c>
      <c r="Q576" s="23" t="str">
        <f t="shared" si="24"/>
        <v>Mar</v>
      </c>
      <c r="R576" s="26" t="str">
        <f t="shared" si="25"/>
        <v>Fri</v>
      </c>
      <c r="S576">
        <f t="shared" si="26"/>
        <v>11</v>
      </c>
      <c r="T576" t="str" cm="1">
        <f t="array" ref="T576">_xlfn.IFS(S576&lt;=12,"Morning",S576&lt;=16,"Afternoon",S576&lt;=21,"Evening",S576&lt;=24,"Night")</f>
        <v>Morning</v>
      </c>
    </row>
    <row r="577" spans="1:20" x14ac:dyDescent="0.25">
      <c r="A577" s="31" t="s">
        <v>611</v>
      </c>
      <c r="B577" s="27">
        <v>81.31</v>
      </c>
      <c r="C577" s="28">
        <v>7</v>
      </c>
      <c r="D577" s="27">
        <v>28.458500000000001</v>
      </c>
      <c r="E577" s="27">
        <v>597.62850000000003</v>
      </c>
      <c r="F577" s="29">
        <v>43525</v>
      </c>
      <c r="G577" s="30">
        <v>24.505555555555599</v>
      </c>
      <c r="H577" s="31" t="s">
        <v>23</v>
      </c>
      <c r="I577" s="27">
        <v>569.16999999999996</v>
      </c>
      <c r="J577" s="32">
        <v>4.7619047620000003</v>
      </c>
      <c r="K577" s="33">
        <v>6.3</v>
      </c>
      <c r="L577" s="31" t="str">
        <f>VLOOKUP(A577,'Customer-details'!$A$1:$C$1001,2,FALSE)</f>
        <v>Member</v>
      </c>
      <c r="M577" s="31" t="str">
        <f>VLOOKUP(A577,'Customer-details'!$A$1:$C$1001,3,FALSE)</f>
        <v>Male</v>
      </c>
      <c r="N577" s="31" t="str">
        <f>VLOOKUP(A577,'Product-details'!$A$1:$B$1001,2,FALSE)</f>
        <v>Fashion accessories</v>
      </c>
      <c r="O577" s="31" t="str">
        <f>VLOOKUP(A577,'City-details'!$A$1:$C$1001,3,FALSE)</f>
        <v>Mandalay</v>
      </c>
      <c r="P577" s="31" t="str">
        <f>VLOOKUP(A577,'City-details'!$A$1:$C$1001,2,FALSE)</f>
        <v>B</v>
      </c>
      <c r="Q577" s="31" t="str">
        <f t="shared" si="24"/>
        <v>Mar</v>
      </c>
      <c r="R577" s="34" t="str">
        <f t="shared" si="25"/>
        <v>Fri</v>
      </c>
      <c r="S577">
        <f t="shared" si="26"/>
        <v>12</v>
      </c>
      <c r="T577" t="str" cm="1">
        <f t="array" ref="T577">_xlfn.IFS(S577&lt;=12,"Morning",S577&lt;=16,"Afternoon",S577&lt;=21,"Evening",S577&lt;=24,"Night")</f>
        <v>Morning</v>
      </c>
    </row>
    <row r="578" spans="1:20" x14ac:dyDescent="0.25">
      <c r="A578" s="23" t="s">
        <v>612</v>
      </c>
      <c r="B578" s="19">
        <v>60.3</v>
      </c>
      <c r="C578" s="20">
        <v>4</v>
      </c>
      <c r="D578" s="19">
        <v>12.06</v>
      </c>
      <c r="E578" s="19">
        <v>253.26</v>
      </c>
      <c r="F578" s="21">
        <v>43516</v>
      </c>
      <c r="G578" s="22">
        <v>24.547222222222199</v>
      </c>
      <c r="H578" s="23" t="s">
        <v>29</v>
      </c>
      <c r="I578" s="19">
        <v>241.2</v>
      </c>
      <c r="J578" s="24">
        <v>4.7619047620000003</v>
      </c>
      <c r="K578" s="25">
        <v>5.8</v>
      </c>
      <c r="L578" s="23" t="str">
        <f>VLOOKUP(A578,'Customer-details'!$A$1:$C$1001,2,FALSE)</f>
        <v>Normal</v>
      </c>
      <c r="M578" s="23" t="str">
        <f>VLOOKUP(A578,'Customer-details'!$A$1:$C$1001,3,FALSE)</f>
        <v>Male</v>
      </c>
      <c r="N578" s="23" t="str">
        <f>VLOOKUP(A578,'Product-details'!$A$1:$B$1001,2,FALSE)</f>
        <v>Food and beverages</v>
      </c>
      <c r="O578" s="23" t="str">
        <f>VLOOKUP(A578,'City-details'!$A$1:$C$1001,3,FALSE)</f>
        <v>Mandalay</v>
      </c>
      <c r="P578" s="23" t="str">
        <f>VLOOKUP(A578,'City-details'!$A$1:$C$1001,2,FALSE)</f>
        <v>B</v>
      </c>
      <c r="Q578" s="23" t="str">
        <f t="shared" si="24"/>
        <v>Feb</v>
      </c>
      <c r="R578" s="26" t="str">
        <f t="shared" si="25"/>
        <v>Wed</v>
      </c>
      <c r="S578">
        <f t="shared" si="26"/>
        <v>13</v>
      </c>
      <c r="T578" t="str" cm="1">
        <f t="array" ref="T578">_xlfn.IFS(S578&lt;=12,"Morning",S578&lt;=16,"Afternoon",S578&lt;=21,"Evening",S578&lt;=24,"Night")</f>
        <v>Afternoon</v>
      </c>
    </row>
    <row r="579" spans="1:20" x14ac:dyDescent="0.25">
      <c r="A579" s="31" t="s">
        <v>613</v>
      </c>
      <c r="B579" s="27">
        <v>31.77</v>
      </c>
      <c r="C579" s="28">
        <v>4</v>
      </c>
      <c r="D579" s="27">
        <v>6.3540000000000001</v>
      </c>
      <c r="E579" s="27">
        <v>133.434</v>
      </c>
      <c r="F579" s="29">
        <v>43479</v>
      </c>
      <c r="G579" s="30">
        <v>24.588888888888899</v>
      </c>
      <c r="H579" s="31" t="s">
        <v>23</v>
      </c>
      <c r="I579" s="27">
        <v>127.08</v>
      </c>
      <c r="J579" s="32">
        <v>4.7619047620000003</v>
      </c>
      <c r="K579" s="33">
        <v>6.2</v>
      </c>
      <c r="L579" s="31" t="str">
        <f>VLOOKUP(A579,'Customer-details'!$A$1:$C$1001,2,FALSE)</f>
        <v>Normal</v>
      </c>
      <c r="M579" s="31" t="str">
        <f>VLOOKUP(A579,'Customer-details'!$A$1:$C$1001,3,FALSE)</f>
        <v>Male</v>
      </c>
      <c r="N579" s="31" t="str">
        <f>VLOOKUP(A579,'Product-details'!$A$1:$B$1001,2,FALSE)</f>
        <v>Food and beverages</v>
      </c>
      <c r="O579" s="31" t="str">
        <f>VLOOKUP(A579,'City-details'!$A$1:$C$1001,3,FALSE)</f>
        <v>Naypyitaw</v>
      </c>
      <c r="P579" s="31" t="str">
        <f>VLOOKUP(A579,'City-details'!$A$1:$C$1001,2,FALSE)</f>
        <v>C</v>
      </c>
      <c r="Q579" s="31" t="str">
        <f t="shared" ref="Q579:Q642" si="27">TEXT(F579,"mmm")</f>
        <v>Jan</v>
      </c>
      <c r="R579" s="34" t="str">
        <f t="shared" ref="R579:R642" si="28">TEXT(F579,"ddd")</f>
        <v>Mon</v>
      </c>
      <c r="S579">
        <f t="shared" ref="S579:S642" si="29">HOUR(G579)</f>
        <v>14</v>
      </c>
      <c r="T579" t="str" cm="1">
        <f t="array" ref="T579">_xlfn.IFS(S579&lt;=12,"Morning",S579&lt;=16,"Afternoon",S579&lt;=21,"Evening",S579&lt;=24,"Night")</f>
        <v>Afternoon</v>
      </c>
    </row>
    <row r="580" spans="1:20" x14ac:dyDescent="0.25">
      <c r="A580" s="23" t="s">
        <v>614</v>
      </c>
      <c r="B580" s="19">
        <v>64.27</v>
      </c>
      <c r="C580" s="20">
        <v>4</v>
      </c>
      <c r="D580" s="19">
        <v>12.853999999999999</v>
      </c>
      <c r="E580" s="19">
        <v>269.93400000000003</v>
      </c>
      <c r="F580" s="21">
        <v>43550</v>
      </c>
      <c r="G580" s="22">
        <v>24.630555555555599</v>
      </c>
      <c r="H580" s="23" t="s">
        <v>29</v>
      </c>
      <c r="I580" s="19">
        <v>257.08</v>
      </c>
      <c r="J580" s="24">
        <v>4.7619047620000003</v>
      </c>
      <c r="K580" s="25">
        <v>7.7</v>
      </c>
      <c r="L580" s="23" t="str">
        <f>VLOOKUP(A580,'Customer-details'!$A$1:$C$1001,2,FALSE)</f>
        <v>Normal</v>
      </c>
      <c r="M580" s="23" t="str">
        <f>VLOOKUP(A580,'Customer-details'!$A$1:$C$1001,3,FALSE)</f>
        <v>Female</v>
      </c>
      <c r="N580" s="23" t="str">
        <f>VLOOKUP(A580,'Product-details'!$A$1:$B$1001,2,FALSE)</f>
        <v>Health and beauty</v>
      </c>
      <c r="O580" s="23" t="str">
        <f>VLOOKUP(A580,'City-details'!$A$1:$C$1001,3,FALSE)</f>
        <v>Yangon</v>
      </c>
      <c r="P580" s="23" t="str">
        <f>VLOOKUP(A580,'City-details'!$A$1:$C$1001,2,FALSE)</f>
        <v>A</v>
      </c>
      <c r="Q580" s="23" t="str">
        <f t="shared" si="27"/>
        <v>Mar</v>
      </c>
      <c r="R580" s="26" t="str">
        <f t="shared" si="28"/>
        <v>Tue</v>
      </c>
      <c r="S580">
        <f t="shared" si="29"/>
        <v>15</v>
      </c>
      <c r="T580" t="str" cm="1">
        <f t="array" ref="T580">_xlfn.IFS(S580&lt;=12,"Morning",S580&lt;=16,"Afternoon",S580&lt;=21,"Evening",S580&lt;=24,"Night")</f>
        <v>Afternoon</v>
      </c>
    </row>
    <row r="581" spans="1:20" x14ac:dyDescent="0.25">
      <c r="A581" s="31" t="s">
        <v>615</v>
      </c>
      <c r="B581" s="27">
        <v>69.510000000000005</v>
      </c>
      <c r="C581" s="28">
        <v>2</v>
      </c>
      <c r="D581" s="27">
        <v>6.9509999999999996</v>
      </c>
      <c r="E581" s="27">
        <v>145.971</v>
      </c>
      <c r="F581" s="29">
        <v>43525</v>
      </c>
      <c r="G581" s="30">
        <v>24.672222222222199</v>
      </c>
      <c r="H581" s="31" t="s">
        <v>23</v>
      </c>
      <c r="I581" s="27">
        <v>139.02000000000001</v>
      </c>
      <c r="J581" s="32">
        <v>4.7619047620000003</v>
      </c>
      <c r="K581" s="33">
        <v>8.1</v>
      </c>
      <c r="L581" s="31" t="str">
        <f>VLOOKUP(A581,'Customer-details'!$A$1:$C$1001,2,FALSE)</f>
        <v>Normal</v>
      </c>
      <c r="M581" s="31" t="str">
        <f>VLOOKUP(A581,'Customer-details'!$A$1:$C$1001,3,FALSE)</f>
        <v>Male</v>
      </c>
      <c r="N581" s="31" t="str">
        <f>VLOOKUP(A581,'Product-details'!$A$1:$B$1001,2,FALSE)</f>
        <v>Health and beauty</v>
      </c>
      <c r="O581" s="31" t="str">
        <f>VLOOKUP(A581,'City-details'!$A$1:$C$1001,3,FALSE)</f>
        <v>Mandalay</v>
      </c>
      <c r="P581" s="31" t="str">
        <f>VLOOKUP(A581,'City-details'!$A$1:$C$1001,2,FALSE)</f>
        <v>B</v>
      </c>
      <c r="Q581" s="31" t="str">
        <f t="shared" si="27"/>
        <v>Mar</v>
      </c>
      <c r="R581" s="34" t="str">
        <f t="shared" si="28"/>
        <v>Fri</v>
      </c>
      <c r="S581">
        <f t="shared" si="29"/>
        <v>16</v>
      </c>
      <c r="T581" t="str" cm="1">
        <f t="array" ref="T581">_xlfn.IFS(S581&lt;=12,"Morning",S581&lt;=16,"Afternoon",S581&lt;=21,"Evening",S581&lt;=24,"Night")</f>
        <v>Afternoon</v>
      </c>
    </row>
    <row r="582" spans="1:20" x14ac:dyDescent="0.25">
      <c r="A582" s="23" t="s">
        <v>616</v>
      </c>
      <c r="B582" s="19">
        <v>27.22</v>
      </c>
      <c r="C582" s="20">
        <v>3</v>
      </c>
      <c r="D582" s="19">
        <v>4.0830000000000002</v>
      </c>
      <c r="E582" s="19">
        <v>85.742999999999995</v>
      </c>
      <c r="F582" s="21">
        <v>43472</v>
      </c>
      <c r="G582" s="22">
        <v>24.713888888888899</v>
      </c>
      <c r="H582" s="23" t="s">
        <v>29</v>
      </c>
      <c r="I582" s="19">
        <v>81.66</v>
      </c>
      <c r="J582" s="24">
        <v>4.7619047620000003</v>
      </c>
      <c r="K582" s="25">
        <v>7.3</v>
      </c>
      <c r="L582" s="23" t="str">
        <f>VLOOKUP(A582,'Customer-details'!$A$1:$C$1001,2,FALSE)</f>
        <v>Normal</v>
      </c>
      <c r="M582" s="23" t="str">
        <f>VLOOKUP(A582,'Customer-details'!$A$1:$C$1001,3,FALSE)</f>
        <v>Male</v>
      </c>
      <c r="N582" s="23" t="str">
        <f>VLOOKUP(A582,'Product-details'!$A$1:$B$1001,2,FALSE)</f>
        <v>Food and beverages</v>
      </c>
      <c r="O582" s="23" t="str">
        <f>VLOOKUP(A582,'City-details'!$A$1:$C$1001,3,FALSE)</f>
        <v>Naypyitaw</v>
      </c>
      <c r="P582" s="23" t="str">
        <f>VLOOKUP(A582,'City-details'!$A$1:$C$1001,2,FALSE)</f>
        <v>C</v>
      </c>
      <c r="Q582" s="23" t="str">
        <f t="shared" si="27"/>
        <v>Jan</v>
      </c>
      <c r="R582" s="26" t="str">
        <f t="shared" si="28"/>
        <v>Mon</v>
      </c>
      <c r="S582">
        <f t="shared" si="29"/>
        <v>17</v>
      </c>
      <c r="T582" t="str" cm="1">
        <f t="array" ref="T582">_xlfn.IFS(S582&lt;=12,"Morning",S582&lt;=16,"Afternoon",S582&lt;=21,"Evening",S582&lt;=24,"Night")</f>
        <v>Evening</v>
      </c>
    </row>
    <row r="583" spans="1:20" x14ac:dyDescent="0.25">
      <c r="A583" s="31" t="s">
        <v>617</v>
      </c>
      <c r="B583" s="27">
        <v>77.680000000000007</v>
      </c>
      <c r="C583" s="28">
        <v>4</v>
      </c>
      <c r="D583" s="27">
        <v>15.536</v>
      </c>
      <c r="E583" s="27">
        <v>326.25599999999997</v>
      </c>
      <c r="F583" s="29">
        <v>43497</v>
      </c>
      <c r="G583" s="30">
        <v>24.755555555555599</v>
      </c>
      <c r="H583" s="31" t="s">
        <v>29</v>
      </c>
      <c r="I583" s="27">
        <v>310.72000000000003</v>
      </c>
      <c r="J583" s="32">
        <v>4.7619047620000003</v>
      </c>
      <c r="K583" s="33">
        <v>8.4</v>
      </c>
      <c r="L583" s="31" t="str">
        <f>VLOOKUP(A583,'Customer-details'!$A$1:$C$1001,2,FALSE)</f>
        <v>Member</v>
      </c>
      <c r="M583" s="31" t="str">
        <f>VLOOKUP(A583,'Customer-details'!$A$1:$C$1001,3,FALSE)</f>
        <v>Female</v>
      </c>
      <c r="N583" s="31" t="str">
        <f>VLOOKUP(A583,'Product-details'!$A$1:$B$1001,2,FALSE)</f>
        <v>Health and beauty</v>
      </c>
      <c r="O583" s="31" t="str">
        <f>VLOOKUP(A583,'City-details'!$A$1:$C$1001,3,FALSE)</f>
        <v>Yangon</v>
      </c>
      <c r="P583" s="31" t="str">
        <f>VLOOKUP(A583,'City-details'!$A$1:$C$1001,2,FALSE)</f>
        <v>A</v>
      </c>
      <c r="Q583" s="31" t="str">
        <f t="shared" si="27"/>
        <v>Feb</v>
      </c>
      <c r="R583" s="34" t="str">
        <f t="shared" si="28"/>
        <v>Fri</v>
      </c>
      <c r="S583">
        <f t="shared" si="29"/>
        <v>18</v>
      </c>
      <c r="T583" t="str" cm="1">
        <f t="array" ref="T583">_xlfn.IFS(S583&lt;=12,"Morning",S583&lt;=16,"Afternoon",S583&lt;=21,"Evening",S583&lt;=24,"Night")</f>
        <v>Evening</v>
      </c>
    </row>
    <row r="584" spans="1:20" x14ac:dyDescent="0.25">
      <c r="A584" s="23" t="s">
        <v>618</v>
      </c>
      <c r="B584" s="19">
        <v>92.98</v>
      </c>
      <c r="C584" s="20">
        <v>2</v>
      </c>
      <c r="D584" s="19">
        <v>9.298</v>
      </c>
      <c r="E584" s="19">
        <v>195.25800000000001</v>
      </c>
      <c r="F584" s="21">
        <v>43509</v>
      </c>
      <c r="G584" s="22">
        <v>24.797222222222199</v>
      </c>
      <c r="H584" s="23" t="s">
        <v>33</v>
      </c>
      <c r="I584" s="19">
        <v>185.96</v>
      </c>
      <c r="J584" s="24">
        <v>4.7619047620000003</v>
      </c>
      <c r="K584" s="25">
        <v>8</v>
      </c>
      <c r="L584" s="23" t="str">
        <f>VLOOKUP(A584,'Customer-details'!$A$1:$C$1001,2,FALSE)</f>
        <v>Member</v>
      </c>
      <c r="M584" s="23" t="str">
        <f>VLOOKUP(A584,'Customer-details'!$A$1:$C$1001,3,FALSE)</f>
        <v>Female</v>
      </c>
      <c r="N584" s="23" t="str">
        <f>VLOOKUP(A584,'Product-details'!$A$1:$B$1001,2,FALSE)</f>
        <v>Fashion accessories</v>
      </c>
      <c r="O584" s="23" t="str">
        <f>VLOOKUP(A584,'City-details'!$A$1:$C$1001,3,FALSE)</f>
        <v>Naypyitaw</v>
      </c>
      <c r="P584" s="23" t="str">
        <f>VLOOKUP(A584,'City-details'!$A$1:$C$1001,2,FALSE)</f>
        <v>C</v>
      </c>
      <c r="Q584" s="23" t="str">
        <f t="shared" si="27"/>
        <v>Feb</v>
      </c>
      <c r="R584" s="26" t="str">
        <f t="shared" si="28"/>
        <v>Wed</v>
      </c>
      <c r="S584">
        <f t="shared" si="29"/>
        <v>19</v>
      </c>
      <c r="T584" t="str" cm="1">
        <f t="array" ref="T584">_xlfn.IFS(S584&lt;=12,"Morning",S584&lt;=16,"Afternoon",S584&lt;=21,"Evening",S584&lt;=24,"Night")</f>
        <v>Evening</v>
      </c>
    </row>
    <row r="585" spans="1:20" x14ac:dyDescent="0.25">
      <c r="A585" s="31" t="s">
        <v>619</v>
      </c>
      <c r="B585" s="27">
        <v>18.079999999999998</v>
      </c>
      <c r="C585" s="28">
        <v>4</v>
      </c>
      <c r="D585" s="27">
        <v>3.6160000000000001</v>
      </c>
      <c r="E585" s="27">
        <v>75.936000000000007</v>
      </c>
      <c r="F585" s="29">
        <v>43479</v>
      </c>
      <c r="G585" s="30">
        <v>24.838888888888899</v>
      </c>
      <c r="H585" s="31" t="s">
        <v>33</v>
      </c>
      <c r="I585" s="27">
        <v>72.319999999999993</v>
      </c>
      <c r="J585" s="32">
        <v>4.7619047620000003</v>
      </c>
      <c r="K585" s="33">
        <v>9.5</v>
      </c>
      <c r="L585" s="31" t="str">
        <f>VLOOKUP(A585,'Customer-details'!$A$1:$C$1001,2,FALSE)</f>
        <v>Member</v>
      </c>
      <c r="M585" s="31" t="str">
        <f>VLOOKUP(A585,'Customer-details'!$A$1:$C$1001,3,FALSE)</f>
        <v>Female</v>
      </c>
      <c r="N585" s="31" t="str">
        <f>VLOOKUP(A585,'Product-details'!$A$1:$B$1001,2,FALSE)</f>
        <v>Fashion accessories</v>
      </c>
      <c r="O585" s="31" t="str">
        <f>VLOOKUP(A585,'City-details'!$A$1:$C$1001,3,FALSE)</f>
        <v>Mandalay</v>
      </c>
      <c r="P585" s="31" t="str">
        <f>VLOOKUP(A585,'City-details'!$A$1:$C$1001,2,FALSE)</f>
        <v>B</v>
      </c>
      <c r="Q585" s="31" t="str">
        <f t="shared" si="27"/>
        <v>Jan</v>
      </c>
      <c r="R585" s="34" t="str">
        <f t="shared" si="28"/>
        <v>Mon</v>
      </c>
      <c r="S585">
        <f t="shared" si="29"/>
        <v>20</v>
      </c>
      <c r="T585" t="str" cm="1">
        <f t="array" ref="T585">_xlfn.IFS(S585&lt;=12,"Morning",S585&lt;=16,"Afternoon",S585&lt;=21,"Evening",S585&lt;=24,"Night")</f>
        <v>Evening</v>
      </c>
    </row>
    <row r="586" spans="1:20" x14ac:dyDescent="0.25">
      <c r="A586" s="23" t="s">
        <v>620</v>
      </c>
      <c r="B586" s="19">
        <v>63.06</v>
      </c>
      <c r="C586" s="20">
        <v>3</v>
      </c>
      <c r="D586" s="19">
        <v>9.4589999999999996</v>
      </c>
      <c r="E586" s="19">
        <v>198.63900000000001</v>
      </c>
      <c r="F586" s="21">
        <v>43484</v>
      </c>
      <c r="G586" s="22">
        <v>24.880555555555599</v>
      </c>
      <c r="H586" s="23" t="s">
        <v>23</v>
      </c>
      <c r="I586" s="19">
        <v>189.18</v>
      </c>
      <c r="J586" s="24">
        <v>4.7619047620000003</v>
      </c>
      <c r="K586" s="25">
        <v>7</v>
      </c>
      <c r="L586" s="23" t="str">
        <f>VLOOKUP(A586,'Customer-details'!$A$1:$C$1001,2,FALSE)</f>
        <v>Normal</v>
      </c>
      <c r="M586" s="23" t="str">
        <f>VLOOKUP(A586,'Customer-details'!$A$1:$C$1001,3,FALSE)</f>
        <v>Male</v>
      </c>
      <c r="N586" s="23" t="str">
        <f>VLOOKUP(A586,'Product-details'!$A$1:$B$1001,2,FALSE)</f>
        <v>Sports and travel</v>
      </c>
      <c r="O586" s="23" t="str">
        <f>VLOOKUP(A586,'City-details'!$A$1:$C$1001,3,FALSE)</f>
        <v>Mandalay</v>
      </c>
      <c r="P586" s="23" t="str">
        <f>VLOOKUP(A586,'City-details'!$A$1:$C$1001,2,FALSE)</f>
        <v>B</v>
      </c>
      <c r="Q586" s="23" t="str">
        <f t="shared" si="27"/>
        <v>Jan</v>
      </c>
      <c r="R586" s="26" t="str">
        <f t="shared" si="28"/>
        <v>Sat</v>
      </c>
      <c r="S586">
        <f t="shared" si="29"/>
        <v>21</v>
      </c>
      <c r="T586" t="str" cm="1">
        <f t="array" ref="T586">_xlfn.IFS(S586&lt;=12,"Morning",S586&lt;=16,"Afternoon",S586&lt;=21,"Evening",S586&lt;=24,"Night")</f>
        <v>Evening</v>
      </c>
    </row>
    <row r="587" spans="1:20" x14ac:dyDescent="0.25">
      <c r="A587" s="31" t="s">
        <v>621</v>
      </c>
      <c r="B587" s="27">
        <v>51.71</v>
      </c>
      <c r="C587" s="28">
        <v>4</v>
      </c>
      <c r="D587" s="27">
        <v>10.342000000000001</v>
      </c>
      <c r="E587" s="27">
        <v>217.18199999999999</v>
      </c>
      <c r="F587" s="29">
        <v>43533</v>
      </c>
      <c r="G587" s="30">
        <v>24.922222222222199</v>
      </c>
      <c r="H587" s="31" t="s">
        <v>33</v>
      </c>
      <c r="I587" s="27">
        <v>206.84</v>
      </c>
      <c r="J587" s="32">
        <v>4.7619047620000003</v>
      </c>
      <c r="K587" s="33">
        <v>9.8000000000000007</v>
      </c>
      <c r="L587" s="31" t="str">
        <f>VLOOKUP(A587,'Customer-details'!$A$1:$C$1001,2,FALSE)</f>
        <v>Normal</v>
      </c>
      <c r="M587" s="31" t="str">
        <f>VLOOKUP(A587,'Customer-details'!$A$1:$C$1001,3,FALSE)</f>
        <v>Male</v>
      </c>
      <c r="N587" s="31" t="str">
        <f>VLOOKUP(A587,'Product-details'!$A$1:$B$1001,2,FALSE)</f>
        <v>Health and beauty</v>
      </c>
      <c r="O587" s="31" t="str">
        <f>VLOOKUP(A587,'City-details'!$A$1:$C$1001,3,FALSE)</f>
        <v>Yangon</v>
      </c>
      <c r="P587" s="31" t="str">
        <f>VLOOKUP(A587,'City-details'!$A$1:$C$1001,2,FALSE)</f>
        <v>A</v>
      </c>
      <c r="Q587" s="31" t="str">
        <f t="shared" si="27"/>
        <v>Mar</v>
      </c>
      <c r="R587" s="34" t="str">
        <f t="shared" si="28"/>
        <v>Sat</v>
      </c>
      <c r="S587">
        <f t="shared" si="29"/>
        <v>22</v>
      </c>
      <c r="T587" t="str" cm="1">
        <f t="array" ref="T587">_xlfn.IFS(S587&lt;=12,"Morning",S587&lt;=16,"Afternoon",S587&lt;=21,"Evening",S587&lt;=24,"Night")</f>
        <v>Night</v>
      </c>
    </row>
    <row r="588" spans="1:20" x14ac:dyDescent="0.25">
      <c r="A588" s="23" t="s">
        <v>622</v>
      </c>
      <c r="B588" s="19">
        <v>52.34</v>
      </c>
      <c r="C588" s="20">
        <v>3</v>
      </c>
      <c r="D588" s="19">
        <v>7.851</v>
      </c>
      <c r="E588" s="19">
        <v>164.87100000000001</v>
      </c>
      <c r="F588" s="21">
        <v>43551</v>
      </c>
      <c r="G588" s="22">
        <v>24.963888888888899</v>
      </c>
      <c r="H588" s="23" t="s">
        <v>29</v>
      </c>
      <c r="I588" s="19">
        <v>157.02000000000001</v>
      </c>
      <c r="J588" s="24">
        <v>4.7619047620000003</v>
      </c>
      <c r="K588" s="25">
        <v>9.1999999999999993</v>
      </c>
      <c r="L588" s="23" t="str">
        <f>VLOOKUP(A588,'Customer-details'!$A$1:$C$1001,2,FALSE)</f>
        <v>Normal</v>
      </c>
      <c r="M588" s="23" t="str">
        <f>VLOOKUP(A588,'Customer-details'!$A$1:$C$1001,3,FALSE)</f>
        <v>Female</v>
      </c>
      <c r="N588" s="23" t="str">
        <f>VLOOKUP(A588,'Product-details'!$A$1:$B$1001,2,FALSE)</f>
        <v>Food and beverages</v>
      </c>
      <c r="O588" s="23" t="str">
        <f>VLOOKUP(A588,'City-details'!$A$1:$C$1001,3,FALSE)</f>
        <v>Yangon</v>
      </c>
      <c r="P588" s="23" t="str">
        <f>VLOOKUP(A588,'City-details'!$A$1:$C$1001,2,FALSE)</f>
        <v>A</v>
      </c>
      <c r="Q588" s="23" t="str">
        <f t="shared" si="27"/>
        <v>Mar</v>
      </c>
      <c r="R588" s="26" t="str">
        <f t="shared" si="28"/>
        <v>Wed</v>
      </c>
      <c r="S588">
        <f t="shared" si="29"/>
        <v>23</v>
      </c>
      <c r="T588" t="str" cm="1">
        <f t="array" ref="T588">_xlfn.IFS(S588&lt;=12,"Morning",S588&lt;=16,"Afternoon",S588&lt;=21,"Evening",S588&lt;=24,"Night")</f>
        <v>Night</v>
      </c>
    </row>
    <row r="589" spans="1:20" x14ac:dyDescent="0.25">
      <c r="A589" s="31" t="s">
        <v>623</v>
      </c>
      <c r="B589" s="27">
        <v>43.06</v>
      </c>
      <c r="C589" s="28">
        <v>5</v>
      </c>
      <c r="D589" s="27">
        <v>10.765000000000001</v>
      </c>
      <c r="E589" s="27">
        <v>226.065</v>
      </c>
      <c r="F589" s="29">
        <v>43500</v>
      </c>
      <c r="G589" s="30">
        <v>25.005555555555599</v>
      </c>
      <c r="H589" s="31" t="s">
        <v>23</v>
      </c>
      <c r="I589" s="27">
        <v>215.3</v>
      </c>
      <c r="J589" s="32">
        <v>4.7619047620000003</v>
      </c>
      <c r="K589" s="33">
        <v>7.7</v>
      </c>
      <c r="L589" s="31" t="str">
        <f>VLOOKUP(A589,'Customer-details'!$A$1:$C$1001,2,FALSE)</f>
        <v>Normal</v>
      </c>
      <c r="M589" s="31" t="str">
        <f>VLOOKUP(A589,'Customer-details'!$A$1:$C$1001,3,FALSE)</f>
        <v>Female</v>
      </c>
      <c r="N589" s="31" t="str">
        <f>VLOOKUP(A589,'Product-details'!$A$1:$B$1001,2,FALSE)</f>
        <v>Sports and travel</v>
      </c>
      <c r="O589" s="31" t="str">
        <f>VLOOKUP(A589,'City-details'!$A$1:$C$1001,3,FALSE)</f>
        <v>Yangon</v>
      </c>
      <c r="P589" s="31" t="str">
        <f>VLOOKUP(A589,'City-details'!$A$1:$C$1001,2,FALSE)</f>
        <v>A</v>
      </c>
      <c r="Q589" s="31" t="str">
        <f t="shared" si="27"/>
        <v>Feb</v>
      </c>
      <c r="R589" s="34" t="str">
        <f t="shared" si="28"/>
        <v>Mon</v>
      </c>
      <c r="S589">
        <f t="shared" si="29"/>
        <v>0</v>
      </c>
      <c r="T589" t="str" cm="1">
        <f t="array" ref="T589">_xlfn.IFS(S589&lt;=12,"Morning",S589&lt;=16,"Afternoon",S589&lt;=21,"Evening",S589&lt;=24,"Night")</f>
        <v>Morning</v>
      </c>
    </row>
    <row r="590" spans="1:20" x14ac:dyDescent="0.25">
      <c r="A590" s="23" t="s">
        <v>624</v>
      </c>
      <c r="B590" s="19">
        <v>59.61</v>
      </c>
      <c r="C590" s="20">
        <v>10</v>
      </c>
      <c r="D590" s="19">
        <v>29.805</v>
      </c>
      <c r="E590" s="19">
        <v>625.90499999999997</v>
      </c>
      <c r="F590" s="21">
        <v>43538</v>
      </c>
      <c r="G590" s="22">
        <v>25.047222222222199</v>
      </c>
      <c r="H590" s="23" t="s">
        <v>29</v>
      </c>
      <c r="I590" s="19">
        <v>596.1</v>
      </c>
      <c r="J590" s="24">
        <v>4.7619047620000003</v>
      </c>
      <c r="K590" s="25">
        <v>5.3</v>
      </c>
      <c r="L590" s="23" t="str">
        <f>VLOOKUP(A590,'Customer-details'!$A$1:$C$1001,2,FALSE)</f>
        <v>Normal</v>
      </c>
      <c r="M590" s="23" t="str">
        <f>VLOOKUP(A590,'Customer-details'!$A$1:$C$1001,3,FALSE)</f>
        <v>Male</v>
      </c>
      <c r="N590" s="23" t="str">
        <f>VLOOKUP(A590,'Product-details'!$A$1:$B$1001,2,FALSE)</f>
        <v>Fashion accessories</v>
      </c>
      <c r="O590" s="23" t="str">
        <f>VLOOKUP(A590,'City-details'!$A$1:$C$1001,3,FALSE)</f>
        <v>Naypyitaw</v>
      </c>
      <c r="P590" s="23" t="str">
        <f>VLOOKUP(A590,'City-details'!$A$1:$C$1001,2,FALSE)</f>
        <v>C</v>
      </c>
      <c r="Q590" s="23" t="str">
        <f t="shared" si="27"/>
        <v>Mar</v>
      </c>
      <c r="R590" s="26" t="str">
        <f t="shared" si="28"/>
        <v>Thu</v>
      </c>
      <c r="S590">
        <f t="shared" si="29"/>
        <v>1</v>
      </c>
      <c r="T590" t="str" cm="1">
        <f t="array" ref="T590">_xlfn.IFS(S590&lt;=12,"Morning",S590&lt;=16,"Afternoon",S590&lt;=21,"Evening",S590&lt;=24,"Night")</f>
        <v>Morning</v>
      </c>
    </row>
    <row r="591" spans="1:20" x14ac:dyDescent="0.25">
      <c r="A591" s="31" t="s">
        <v>625</v>
      </c>
      <c r="B591" s="27">
        <v>14.62</v>
      </c>
      <c r="C591" s="28">
        <v>5</v>
      </c>
      <c r="D591" s="27">
        <v>3.6549999999999998</v>
      </c>
      <c r="E591" s="27">
        <v>76.754999999999995</v>
      </c>
      <c r="F591" s="29">
        <v>43528</v>
      </c>
      <c r="G591" s="30">
        <v>25.088888888888899</v>
      </c>
      <c r="H591" s="31" t="s">
        <v>29</v>
      </c>
      <c r="I591" s="27">
        <v>73.099999999999994</v>
      </c>
      <c r="J591" s="32">
        <v>4.7619047620000003</v>
      </c>
      <c r="K591" s="33">
        <v>4.4000000000000004</v>
      </c>
      <c r="L591" s="31" t="str">
        <f>VLOOKUP(A591,'Customer-details'!$A$1:$C$1001,2,FALSE)</f>
        <v>Normal</v>
      </c>
      <c r="M591" s="31" t="str">
        <f>VLOOKUP(A591,'Customer-details'!$A$1:$C$1001,3,FALSE)</f>
        <v>Male</v>
      </c>
      <c r="N591" s="31" t="str">
        <f>VLOOKUP(A591,'Product-details'!$A$1:$B$1001,2,FALSE)</f>
        <v>Health and beauty</v>
      </c>
      <c r="O591" s="31" t="str">
        <f>VLOOKUP(A591,'City-details'!$A$1:$C$1001,3,FALSE)</f>
        <v>Yangon</v>
      </c>
      <c r="P591" s="31" t="str">
        <f>VLOOKUP(A591,'City-details'!$A$1:$C$1001,2,FALSE)</f>
        <v>A</v>
      </c>
      <c r="Q591" s="31" t="str">
        <f t="shared" si="27"/>
        <v>Mar</v>
      </c>
      <c r="R591" s="34" t="str">
        <f t="shared" si="28"/>
        <v>Mon</v>
      </c>
      <c r="S591">
        <f t="shared" si="29"/>
        <v>2</v>
      </c>
      <c r="T591" t="str" cm="1">
        <f t="array" ref="T591">_xlfn.IFS(S591&lt;=12,"Morning",S591&lt;=16,"Afternoon",S591&lt;=21,"Evening",S591&lt;=24,"Night")</f>
        <v>Morning</v>
      </c>
    </row>
    <row r="592" spans="1:20" x14ac:dyDescent="0.25">
      <c r="A592" s="23" t="s">
        <v>626</v>
      </c>
      <c r="B592" s="19">
        <v>46.53</v>
      </c>
      <c r="C592" s="20">
        <v>6</v>
      </c>
      <c r="D592" s="19">
        <v>13.959</v>
      </c>
      <c r="E592" s="19">
        <v>293.13900000000001</v>
      </c>
      <c r="F592" s="21">
        <v>43527</v>
      </c>
      <c r="G592" s="22">
        <v>25.130555555555599</v>
      </c>
      <c r="H592" s="23" t="s">
        <v>33</v>
      </c>
      <c r="I592" s="19">
        <v>279.18</v>
      </c>
      <c r="J592" s="24">
        <v>4.7619047620000003</v>
      </c>
      <c r="K592" s="25">
        <v>4.3</v>
      </c>
      <c r="L592" s="23" t="str">
        <f>VLOOKUP(A592,'Customer-details'!$A$1:$C$1001,2,FALSE)</f>
        <v>Member</v>
      </c>
      <c r="M592" s="23" t="str">
        <f>VLOOKUP(A592,'Customer-details'!$A$1:$C$1001,3,FALSE)</f>
        <v>Male</v>
      </c>
      <c r="N592" s="23" t="str">
        <f>VLOOKUP(A592,'Product-details'!$A$1:$B$1001,2,FALSE)</f>
        <v>Health and beauty</v>
      </c>
      <c r="O592" s="23" t="str">
        <f>VLOOKUP(A592,'City-details'!$A$1:$C$1001,3,FALSE)</f>
        <v>Naypyitaw</v>
      </c>
      <c r="P592" s="23" t="str">
        <f>VLOOKUP(A592,'City-details'!$A$1:$C$1001,2,FALSE)</f>
        <v>C</v>
      </c>
      <c r="Q592" s="23" t="str">
        <f t="shared" si="27"/>
        <v>Mar</v>
      </c>
      <c r="R592" s="26" t="str">
        <f t="shared" si="28"/>
        <v>Sun</v>
      </c>
      <c r="S592">
        <f t="shared" si="29"/>
        <v>3</v>
      </c>
      <c r="T592" t="str" cm="1">
        <f t="array" ref="T592">_xlfn.IFS(S592&lt;=12,"Morning",S592&lt;=16,"Afternoon",S592&lt;=21,"Evening",S592&lt;=24,"Night")</f>
        <v>Morning</v>
      </c>
    </row>
    <row r="593" spans="1:20" x14ac:dyDescent="0.25">
      <c r="A593" s="31" t="s">
        <v>627</v>
      </c>
      <c r="B593" s="27">
        <v>24.24</v>
      </c>
      <c r="C593" s="28">
        <v>7</v>
      </c>
      <c r="D593" s="27">
        <v>8.484</v>
      </c>
      <c r="E593" s="27">
        <v>178.16399999999999</v>
      </c>
      <c r="F593" s="29">
        <v>43492</v>
      </c>
      <c r="G593" s="30">
        <v>25.172222222222199</v>
      </c>
      <c r="H593" s="31" t="s">
        <v>23</v>
      </c>
      <c r="I593" s="27">
        <v>169.68</v>
      </c>
      <c r="J593" s="32">
        <v>4.7619047620000003</v>
      </c>
      <c r="K593" s="33">
        <v>9.4</v>
      </c>
      <c r="L593" s="31" t="str">
        <f>VLOOKUP(A593,'Customer-details'!$A$1:$C$1001,2,FALSE)</f>
        <v>Member</v>
      </c>
      <c r="M593" s="31" t="str">
        <f>VLOOKUP(A593,'Customer-details'!$A$1:$C$1001,3,FALSE)</f>
        <v>Female</v>
      </c>
      <c r="N593" s="31" t="str">
        <f>VLOOKUP(A593,'Product-details'!$A$1:$B$1001,2,FALSE)</f>
        <v>Home and lifestyle</v>
      </c>
      <c r="O593" s="31" t="str">
        <f>VLOOKUP(A593,'City-details'!$A$1:$C$1001,3,FALSE)</f>
        <v>Naypyitaw</v>
      </c>
      <c r="P593" s="31" t="str">
        <f>VLOOKUP(A593,'City-details'!$A$1:$C$1001,2,FALSE)</f>
        <v>C</v>
      </c>
      <c r="Q593" s="31" t="str">
        <f t="shared" si="27"/>
        <v>Jan</v>
      </c>
      <c r="R593" s="34" t="str">
        <f t="shared" si="28"/>
        <v>Sun</v>
      </c>
      <c r="S593">
        <f t="shared" si="29"/>
        <v>4</v>
      </c>
      <c r="T593" t="str" cm="1">
        <f t="array" ref="T593">_xlfn.IFS(S593&lt;=12,"Morning",S593&lt;=16,"Afternoon",S593&lt;=21,"Evening",S593&lt;=24,"Night")</f>
        <v>Morning</v>
      </c>
    </row>
    <row r="594" spans="1:20" x14ac:dyDescent="0.25">
      <c r="A594" s="23" t="s">
        <v>628</v>
      </c>
      <c r="B594" s="19">
        <v>45.58</v>
      </c>
      <c r="C594" s="20">
        <v>1</v>
      </c>
      <c r="D594" s="19">
        <v>2.2789999999999999</v>
      </c>
      <c r="E594" s="19">
        <v>47.859000000000002</v>
      </c>
      <c r="F594" s="21">
        <v>43503</v>
      </c>
      <c r="G594" s="22">
        <v>25.213888888888899</v>
      </c>
      <c r="H594" s="23" t="s">
        <v>29</v>
      </c>
      <c r="I594" s="19">
        <v>45.58</v>
      </c>
      <c r="J594" s="24">
        <v>4.7619047620000003</v>
      </c>
      <c r="K594" s="25">
        <v>9.8000000000000007</v>
      </c>
      <c r="L594" s="23" t="str">
        <f>VLOOKUP(A594,'Customer-details'!$A$1:$C$1001,2,FALSE)</f>
        <v>Member</v>
      </c>
      <c r="M594" s="23" t="str">
        <f>VLOOKUP(A594,'Customer-details'!$A$1:$C$1001,3,FALSE)</f>
        <v>Female</v>
      </c>
      <c r="N594" s="23" t="str">
        <f>VLOOKUP(A594,'Product-details'!$A$1:$B$1001,2,FALSE)</f>
        <v>Sports and travel</v>
      </c>
      <c r="O594" s="23" t="str">
        <f>VLOOKUP(A594,'City-details'!$A$1:$C$1001,3,FALSE)</f>
        <v>Yangon</v>
      </c>
      <c r="P594" s="23" t="str">
        <f>VLOOKUP(A594,'City-details'!$A$1:$C$1001,2,FALSE)</f>
        <v>A</v>
      </c>
      <c r="Q594" s="23" t="str">
        <f t="shared" si="27"/>
        <v>Feb</v>
      </c>
      <c r="R594" s="26" t="str">
        <f t="shared" si="28"/>
        <v>Thu</v>
      </c>
      <c r="S594">
        <f t="shared" si="29"/>
        <v>5</v>
      </c>
      <c r="T594" t="str" cm="1">
        <f t="array" ref="T594">_xlfn.IFS(S594&lt;=12,"Morning",S594&lt;=16,"Afternoon",S594&lt;=21,"Evening",S594&lt;=24,"Night")</f>
        <v>Morning</v>
      </c>
    </row>
    <row r="595" spans="1:20" x14ac:dyDescent="0.25">
      <c r="A595" s="31" t="s">
        <v>629</v>
      </c>
      <c r="B595" s="27">
        <v>75.2</v>
      </c>
      <c r="C595" s="28">
        <v>3</v>
      </c>
      <c r="D595" s="27">
        <v>11.28</v>
      </c>
      <c r="E595" s="27">
        <v>236.88</v>
      </c>
      <c r="F595" s="29">
        <v>43501</v>
      </c>
      <c r="G595" s="30">
        <v>25.255555555555599</v>
      </c>
      <c r="H595" s="31" t="s">
        <v>23</v>
      </c>
      <c r="I595" s="27">
        <v>225.6</v>
      </c>
      <c r="J595" s="32">
        <v>4.7619047620000003</v>
      </c>
      <c r="K595" s="33">
        <v>4.8</v>
      </c>
      <c r="L595" s="31" t="str">
        <f>VLOOKUP(A595,'Customer-details'!$A$1:$C$1001,2,FALSE)</f>
        <v>Member</v>
      </c>
      <c r="M595" s="31" t="str">
        <f>VLOOKUP(A595,'Customer-details'!$A$1:$C$1001,3,FALSE)</f>
        <v>Female</v>
      </c>
      <c r="N595" s="31" t="str">
        <f>VLOOKUP(A595,'Product-details'!$A$1:$B$1001,2,FALSE)</f>
        <v>Sports and travel</v>
      </c>
      <c r="O595" s="31" t="str">
        <f>VLOOKUP(A595,'City-details'!$A$1:$C$1001,3,FALSE)</f>
        <v>Yangon</v>
      </c>
      <c r="P595" s="31" t="str">
        <f>VLOOKUP(A595,'City-details'!$A$1:$C$1001,2,FALSE)</f>
        <v>A</v>
      </c>
      <c r="Q595" s="31" t="str">
        <f t="shared" si="27"/>
        <v>Feb</v>
      </c>
      <c r="R595" s="34" t="str">
        <f t="shared" si="28"/>
        <v>Tue</v>
      </c>
      <c r="S595">
        <f t="shared" si="29"/>
        <v>6</v>
      </c>
      <c r="T595" t="str" cm="1">
        <f t="array" ref="T595">_xlfn.IFS(S595&lt;=12,"Morning",S595&lt;=16,"Afternoon",S595&lt;=21,"Evening",S595&lt;=24,"Night")</f>
        <v>Morning</v>
      </c>
    </row>
    <row r="596" spans="1:20" x14ac:dyDescent="0.25">
      <c r="A596" s="23" t="s">
        <v>630</v>
      </c>
      <c r="B596" s="19">
        <v>96.8</v>
      </c>
      <c r="C596" s="20">
        <v>3</v>
      </c>
      <c r="D596" s="19">
        <v>14.52</v>
      </c>
      <c r="E596" s="19">
        <v>304.92</v>
      </c>
      <c r="F596" s="21">
        <v>43539</v>
      </c>
      <c r="G596" s="22">
        <v>25.297222222222199</v>
      </c>
      <c r="H596" s="23" t="s">
        <v>29</v>
      </c>
      <c r="I596" s="19">
        <v>290.39999999999998</v>
      </c>
      <c r="J596" s="24">
        <v>4.7619047620000003</v>
      </c>
      <c r="K596" s="25">
        <v>5.3</v>
      </c>
      <c r="L596" s="23" t="str">
        <f>VLOOKUP(A596,'Customer-details'!$A$1:$C$1001,2,FALSE)</f>
        <v>Member</v>
      </c>
      <c r="M596" s="23" t="str">
        <f>VLOOKUP(A596,'Customer-details'!$A$1:$C$1001,3,FALSE)</f>
        <v>Male</v>
      </c>
      <c r="N596" s="23" t="str">
        <f>VLOOKUP(A596,'Product-details'!$A$1:$B$1001,2,FALSE)</f>
        <v>Sports and travel</v>
      </c>
      <c r="O596" s="23" t="str">
        <f>VLOOKUP(A596,'City-details'!$A$1:$C$1001,3,FALSE)</f>
        <v>Mandalay</v>
      </c>
      <c r="P596" s="23" t="str">
        <f>VLOOKUP(A596,'City-details'!$A$1:$C$1001,2,FALSE)</f>
        <v>B</v>
      </c>
      <c r="Q596" s="23" t="str">
        <f t="shared" si="27"/>
        <v>Mar</v>
      </c>
      <c r="R596" s="26" t="str">
        <f t="shared" si="28"/>
        <v>Fri</v>
      </c>
      <c r="S596">
        <f t="shared" si="29"/>
        <v>7</v>
      </c>
      <c r="T596" t="str" cm="1">
        <f t="array" ref="T596">_xlfn.IFS(S596&lt;=12,"Morning",S596&lt;=16,"Afternoon",S596&lt;=21,"Evening",S596&lt;=24,"Night")</f>
        <v>Morning</v>
      </c>
    </row>
    <row r="597" spans="1:20" x14ac:dyDescent="0.25">
      <c r="A597" s="31" t="s">
        <v>631</v>
      </c>
      <c r="B597" s="27">
        <v>14.82</v>
      </c>
      <c r="C597" s="28">
        <v>3</v>
      </c>
      <c r="D597" s="27">
        <v>2.2229999999999999</v>
      </c>
      <c r="E597" s="27">
        <v>46.683</v>
      </c>
      <c r="F597" s="29">
        <v>43525</v>
      </c>
      <c r="G597" s="30">
        <v>25.338888888888899</v>
      </c>
      <c r="H597" s="31" t="s">
        <v>33</v>
      </c>
      <c r="I597" s="27">
        <v>44.46</v>
      </c>
      <c r="J597" s="32">
        <v>4.7619047620000003</v>
      </c>
      <c r="K597" s="33">
        <v>8.6999999999999993</v>
      </c>
      <c r="L597" s="31" t="str">
        <f>VLOOKUP(A597,'Customer-details'!$A$1:$C$1001,2,FALSE)</f>
        <v>Normal</v>
      </c>
      <c r="M597" s="31" t="str">
        <f>VLOOKUP(A597,'Customer-details'!$A$1:$C$1001,3,FALSE)</f>
        <v>Male</v>
      </c>
      <c r="N597" s="31" t="str">
        <f>VLOOKUP(A597,'Product-details'!$A$1:$B$1001,2,FALSE)</f>
        <v>Health and beauty</v>
      </c>
      <c r="O597" s="31" t="str">
        <f>VLOOKUP(A597,'City-details'!$A$1:$C$1001,3,FALSE)</f>
        <v>Mandalay</v>
      </c>
      <c r="P597" s="31" t="str">
        <f>VLOOKUP(A597,'City-details'!$A$1:$C$1001,2,FALSE)</f>
        <v>B</v>
      </c>
      <c r="Q597" s="31" t="str">
        <f t="shared" si="27"/>
        <v>Mar</v>
      </c>
      <c r="R597" s="34" t="str">
        <f t="shared" si="28"/>
        <v>Fri</v>
      </c>
      <c r="S597">
        <f t="shared" si="29"/>
        <v>8</v>
      </c>
      <c r="T597" t="str" cm="1">
        <f t="array" ref="T597">_xlfn.IFS(S597&lt;=12,"Morning",S597&lt;=16,"Afternoon",S597&lt;=21,"Evening",S597&lt;=24,"Night")</f>
        <v>Morning</v>
      </c>
    </row>
    <row r="598" spans="1:20" x14ac:dyDescent="0.25">
      <c r="A598" s="23" t="s">
        <v>632</v>
      </c>
      <c r="B598" s="19">
        <v>52.2</v>
      </c>
      <c r="C598" s="20">
        <v>3</v>
      </c>
      <c r="D598" s="19">
        <v>7.83</v>
      </c>
      <c r="E598" s="19">
        <v>164.43</v>
      </c>
      <c r="F598" s="21">
        <v>43511</v>
      </c>
      <c r="G598" s="22">
        <v>25.380555555555599</v>
      </c>
      <c r="H598" s="23" t="s">
        <v>33</v>
      </c>
      <c r="I598" s="19">
        <v>156.6</v>
      </c>
      <c r="J598" s="24">
        <v>4.7619047620000003</v>
      </c>
      <c r="K598" s="25">
        <v>9.5</v>
      </c>
      <c r="L598" s="23" t="str">
        <f>VLOOKUP(A598,'Customer-details'!$A$1:$C$1001,2,FALSE)</f>
        <v>Normal</v>
      </c>
      <c r="M598" s="23" t="str">
        <f>VLOOKUP(A598,'Customer-details'!$A$1:$C$1001,3,FALSE)</f>
        <v>Male</v>
      </c>
      <c r="N598" s="23" t="str">
        <f>VLOOKUP(A598,'Product-details'!$A$1:$B$1001,2,FALSE)</f>
        <v>Food and beverages</v>
      </c>
      <c r="O598" s="23" t="str">
        <f>VLOOKUP(A598,'City-details'!$A$1:$C$1001,3,FALSE)</f>
        <v>Yangon</v>
      </c>
      <c r="P598" s="23" t="str">
        <f>VLOOKUP(A598,'City-details'!$A$1:$C$1001,2,FALSE)</f>
        <v>A</v>
      </c>
      <c r="Q598" s="23" t="str">
        <f t="shared" si="27"/>
        <v>Feb</v>
      </c>
      <c r="R598" s="26" t="str">
        <f t="shared" si="28"/>
        <v>Fri</v>
      </c>
      <c r="S598">
        <f t="shared" si="29"/>
        <v>9</v>
      </c>
      <c r="T598" t="str" cm="1">
        <f t="array" ref="T598">_xlfn.IFS(S598&lt;=12,"Morning",S598&lt;=16,"Afternoon",S598&lt;=21,"Evening",S598&lt;=24,"Night")</f>
        <v>Morning</v>
      </c>
    </row>
    <row r="599" spans="1:20" x14ac:dyDescent="0.25">
      <c r="A599" s="31" t="s">
        <v>633</v>
      </c>
      <c r="B599" s="27">
        <v>46.66</v>
      </c>
      <c r="C599" s="28">
        <v>9</v>
      </c>
      <c r="D599" s="27">
        <v>20.997</v>
      </c>
      <c r="E599" s="27">
        <v>440.93700000000001</v>
      </c>
      <c r="F599" s="29">
        <v>43513</v>
      </c>
      <c r="G599" s="30">
        <v>25.422222222222199</v>
      </c>
      <c r="H599" s="31" t="s">
        <v>23</v>
      </c>
      <c r="I599" s="27">
        <v>419.94</v>
      </c>
      <c r="J599" s="32">
        <v>4.7619047620000003</v>
      </c>
      <c r="K599" s="33">
        <v>5.3</v>
      </c>
      <c r="L599" s="31" t="str">
        <f>VLOOKUP(A599,'Customer-details'!$A$1:$C$1001,2,FALSE)</f>
        <v>Normal</v>
      </c>
      <c r="M599" s="31" t="str">
        <f>VLOOKUP(A599,'Customer-details'!$A$1:$C$1001,3,FALSE)</f>
        <v>Female</v>
      </c>
      <c r="N599" s="31" t="str">
        <f>VLOOKUP(A599,'Product-details'!$A$1:$B$1001,2,FALSE)</f>
        <v>Sports and travel</v>
      </c>
      <c r="O599" s="31" t="str">
        <f>VLOOKUP(A599,'City-details'!$A$1:$C$1001,3,FALSE)</f>
        <v>Naypyitaw</v>
      </c>
      <c r="P599" s="31" t="str">
        <f>VLOOKUP(A599,'City-details'!$A$1:$C$1001,2,FALSE)</f>
        <v>C</v>
      </c>
      <c r="Q599" s="31" t="str">
        <f t="shared" si="27"/>
        <v>Feb</v>
      </c>
      <c r="R599" s="34" t="str">
        <f t="shared" si="28"/>
        <v>Sun</v>
      </c>
      <c r="S599">
        <f t="shared" si="29"/>
        <v>10</v>
      </c>
      <c r="T599" t="str" cm="1">
        <f t="array" ref="T599">_xlfn.IFS(S599&lt;=12,"Morning",S599&lt;=16,"Afternoon",S599&lt;=21,"Evening",S599&lt;=24,"Night")</f>
        <v>Morning</v>
      </c>
    </row>
    <row r="600" spans="1:20" x14ac:dyDescent="0.25">
      <c r="A600" s="23" t="s">
        <v>634</v>
      </c>
      <c r="B600" s="19">
        <v>36.85</v>
      </c>
      <c r="C600" s="20">
        <v>5</v>
      </c>
      <c r="D600" s="19">
        <v>9.2125000000000004</v>
      </c>
      <c r="E600" s="19">
        <v>193.46250000000001</v>
      </c>
      <c r="F600" s="21">
        <v>43491</v>
      </c>
      <c r="G600" s="22">
        <v>25.463888888888899</v>
      </c>
      <c r="H600" s="23" t="s">
        <v>29</v>
      </c>
      <c r="I600" s="19">
        <v>184.25</v>
      </c>
      <c r="J600" s="24">
        <v>4.7619047620000003</v>
      </c>
      <c r="K600" s="25">
        <v>9.1999999999999993</v>
      </c>
      <c r="L600" s="23" t="str">
        <f>VLOOKUP(A600,'Customer-details'!$A$1:$C$1001,2,FALSE)</f>
        <v>Normal</v>
      </c>
      <c r="M600" s="23" t="str">
        <f>VLOOKUP(A600,'Customer-details'!$A$1:$C$1001,3,FALSE)</f>
        <v>Female</v>
      </c>
      <c r="N600" s="23" t="str">
        <f>VLOOKUP(A600,'Product-details'!$A$1:$B$1001,2,FALSE)</f>
        <v>Fashion accessories</v>
      </c>
      <c r="O600" s="23" t="str">
        <f>VLOOKUP(A600,'City-details'!$A$1:$C$1001,3,FALSE)</f>
        <v>Naypyitaw</v>
      </c>
      <c r="P600" s="23" t="str">
        <f>VLOOKUP(A600,'City-details'!$A$1:$C$1001,2,FALSE)</f>
        <v>C</v>
      </c>
      <c r="Q600" s="23" t="str">
        <f t="shared" si="27"/>
        <v>Jan</v>
      </c>
      <c r="R600" s="26" t="str">
        <f t="shared" si="28"/>
        <v>Sat</v>
      </c>
      <c r="S600">
        <f t="shared" si="29"/>
        <v>11</v>
      </c>
      <c r="T600" t="str" cm="1">
        <f t="array" ref="T600">_xlfn.IFS(S600&lt;=12,"Morning",S600&lt;=16,"Afternoon",S600&lt;=21,"Evening",S600&lt;=24,"Night")</f>
        <v>Morning</v>
      </c>
    </row>
    <row r="601" spans="1:20" x14ac:dyDescent="0.25">
      <c r="A601" s="31" t="s">
        <v>635</v>
      </c>
      <c r="B601" s="27">
        <v>70.319999999999993</v>
      </c>
      <c r="C601" s="28">
        <v>2</v>
      </c>
      <c r="D601" s="27">
        <v>7.032</v>
      </c>
      <c r="E601" s="27">
        <v>147.672</v>
      </c>
      <c r="F601" s="29">
        <v>43548</v>
      </c>
      <c r="G601" s="30">
        <v>25.505555555555599</v>
      </c>
      <c r="H601" s="31" t="s">
        <v>23</v>
      </c>
      <c r="I601" s="27">
        <v>140.63999999999999</v>
      </c>
      <c r="J601" s="32">
        <v>4.7619047620000003</v>
      </c>
      <c r="K601" s="33">
        <v>9.6</v>
      </c>
      <c r="L601" s="31" t="str">
        <f>VLOOKUP(A601,'Customer-details'!$A$1:$C$1001,2,FALSE)</f>
        <v>Member</v>
      </c>
      <c r="M601" s="31" t="str">
        <f>VLOOKUP(A601,'Customer-details'!$A$1:$C$1001,3,FALSE)</f>
        <v>Female</v>
      </c>
      <c r="N601" s="31" t="str">
        <f>VLOOKUP(A601,'Product-details'!$A$1:$B$1001,2,FALSE)</f>
        <v>Home and lifestyle</v>
      </c>
      <c r="O601" s="31" t="str">
        <f>VLOOKUP(A601,'City-details'!$A$1:$C$1001,3,FALSE)</f>
        <v>Yangon</v>
      </c>
      <c r="P601" s="31" t="str">
        <f>VLOOKUP(A601,'City-details'!$A$1:$C$1001,2,FALSE)</f>
        <v>A</v>
      </c>
      <c r="Q601" s="31" t="str">
        <f t="shared" si="27"/>
        <v>Mar</v>
      </c>
      <c r="R601" s="34" t="str">
        <f t="shared" si="28"/>
        <v>Sun</v>
      </c>
      <c r="S601">
        <f t="shared" si="29"/>
        <v>12</v>
      </c>
      <c r="T601" t="str" cm="1">
        <f t="array" ref="T601">_xlfn.IFS(S601&lt;=12,"Morning",S601&lt;=16,"Afternoon",S601&lt;=21,"Evening",S601&lt;=24,"Night")</f>
        <v>Morning</v>
      </c>
    </row>
    <row r="602" spans="1:20" x14ac:dyDescent="0.25">
      <c r="A602" s="23" t="s">
        <v>636</v>
      </c>
      <c r="B602" s="19">
        <v>83.08</v>
      </c>
      <c r="C602" s="20">
        <v>1</v>
      </c>
      <c r="D602" s="19">
        <v>4.1539999999999999</v>
      </c>
      <c r="E602" s="19">
        <v>87.233999999999995</v>
      </c>
      <c r="F602" s="21">
        <v>43488</v>
      </c>
      <c r="G602" s="22">
        <v>25.547222222222199</v>
      </c>
      <c r="H602" s="23" t="s">
        <v>23</v>
      </c>
      <c r="I602" s="19">
        <v>83.08</v>
      </c>
      <c r="J602" s="24">
        <v>4.7619047620000003</v>
      </c>
      <c r="K602" s="25">
        <v>6.4</v>
      </c>
      <c r="L602" s="23" t="str">
        <f>VLOOKUP(A602,'Customer-details'!$A$1:$C$1001,2,FALSE)</f>
        <v>Normal</v>
      </c>
      <c r="M602" s="23" t="str">
        <f>VLOOKUP(A602,'Customer-details'!$A$1:$C$1001,3,FALSE)</f>
        <v>Male</v>
      </c>
      <c r="N602" s="23" t="str">
        <f>VLOOKUP(A602,'Product-details'!$A$1:$B$1001,2,FALSE)</f>
        <v>Electronic accessories</v>
      </c>
      <c r="O602" s="23" t="str">
        <f>VLOOKUP(A602,'City-details'!$A$1:$C$1001,3,FALSE)</f>
        <v>Naypyitaw</v>
      </c>
      <c r="P602" s="23" t="str">
        <f>VLOOKUP(A602,'City-details'!$A$1:$C$1001,2,FALSE)</f>
        <v>C</v>
      </c>
      <c r="Q602" s="23" t="str">
        <f t="shared" si="27"/>
        <v>Jan</v>
      </c>
      <c r="R602" s="26" t="str">
        <f t="shared" si="28"/>
        <v>Wed</v>
      </c>
      <c r="S602">
        <f t="shared" si="29"/>
        <v>13</v>
      </c>
      <c r="T602" t="str" cm="1">
        <f t="array" ref="T602">_xlfn.IFS(S602&lt;=12,"Morning",S602&lt;=16,"Afternoon",S602&lt;=21,"Evening",S602&lt;=24,"Night")</f>
        <v>Afternoon</v>
      </c>
    </row>
    <row r="603" spans="1:20" x14ac:dyDescent="0.25">
      <c r="A603" s="31" t="s">
        <v>637</v>
      </c>
      <c r="B603" s="27">
        <v>64.989999999999995</v>
      </c>
      <c r="C603" s="28">
        <v>1</v>
      </c>
      <c r="D603" s="27">
        <v>3.2494999999999998</v>
      </c>
      <c r="E603" s="27">
        <v>68.239500000000007</v>
      </c>
      <c r="F603" s="29">
        <v>43491</v>
      </c>
      <c r="G603" s="30">
        <v>25.588888888888899</v>
      </c>
      <c r="H603" s="31" t="s">
        <v>33</v>
      </c>
      <c r="I603" s="27">
        <v>64.989999999999995</v>
      </c>
      <c r="J603" s="32">
        <v>4.7619047620000003</v>
      </c>
      <c r="K603" s="33">
        <v>4.5</v>
      </c>
      <c r="L603" s="31" t="str">
        <f>VLOOKUP(A603,'Customer-details'!$A$1:$C$1001,2,FALSE)</f>
        <v>Normal</v>
      </c>
      <c r="M603" s="31" t="str">
        <f>VLOOKUP(A603,'Customer-details'!$A$1:$C$1001,3,FALSE)</f>
        <v>Female</v>
      </c>
      <c r="N603" s="31" t="str">
        <f>VLOOKUP(A603,'Product-details'!$A$1:$B$1001,2,FALSE)</f>
        <v>Fashion accessories</v>
      </c>
      <c r="O603" s="31" t="str">
        <f>VLOOKUP(A603,'City-details'!$A$1:$C$1001,3,FALSE)</f>
        <v>Naypyitaw</v>
      </c>
      <c r="P603" s="31" t="str">
        <f>VLOOKUP(A603,'City-details'!$A$1:$C$1001,2,FALSE)</f>
        <v>C</v>
      </c>
      <c r="Q603" s="31" t="str">
        <f t="shared" si="27"/>
        <v>Jan</v>
      </c>
      <c r="R603" s="34" t="str">
        <f t="shared" si="28"/>
        <v>Sat</v>
      </c>
      <c r="S603">
        <f t="shared" si="29"/>
        <v>14</v>
      </c>
      <c r="T603" t="str" cm="1">
        <f t="array" ref="T603">_xlfn.IFS(S603&lt;=12,"Morning",S603&lt;=16,"Afternoon",S603&lt;=21,"Evening",S603&lt;=24,"Night")</f>
        <v>Afternoon</v>
      </c>
    </row>
    <row r="604" spans="1:20" x14ac:dyDescent="0.25">
      <c r="A604" s="23" t="s">
        <v>638</v>
      </c>
      <c r="B604" s="19">
        <v>77.56</v>
      </c>
      <c r="C604" s="20">
        <v>10</v>
      </c>
      <c r="D604" s="19">
        <v>38.78</v>
      </c>
      <c r="E604" s="19">
        <v>814.38</v>
      </c>
      <c r="F604" s="21">
        <v>43538</v>
      </c>
      <c r="G604" s="22">
        <v>25.630555555555599</v>
      </c>
      <c r="H604" s="23" t="s">
        <v>23</v>
      </c>
      <c r="I604" s="19">
        <v>775.6</v>
      </c>
      <c r="J604" s="24">
        <v>4.7619047620000003</v>
      </c>
      <c r="K604" s="25">
        <v>6.9</v>
      </c>
      <c r="L604" s="23" t="str">
        <f>VLOOKUP(A604,'Customer-details'!$A$1:$C$1001,2,FALSE)</f>
        <v>Normal</v>
      </c>
      <c r="M604" s="23" t="str">
        <f>VLOOKUP(A604,'Customer-details'!$A$1:$C$1001,3,FALSE)</f>
        <v>Male</v>
      </c>
      <c r="N604" s="23" t="str">
        <f>VLOOKUP(A604,'Product-details'!$A$1:$B$1001,2,FALSE)</f>
        <v>Food and beverages</v>
      </c>
      <c r="O604" s="23" t="str">
        <f>VLOOKUP(A604,'City-details'!$A$1:$C$1001,3,FALSE)</f>
        <v>Naypyitaw</v>
      </c>
      <c r="P604" s="23" t="str">
        <f>VLOOKUP(A604,'City-details'!$A$1:$C$1001,2,FALSE)</f>
        <v>C</v>
      </c>
      <c r="Q604" s="23" t="str">
        <f t="shared" si="27"/>
        <v>Mar</v>
      </c>
      <c r="R604" s="26" t="str">
        <f t="shared" si="28"/>
        <v>Thu</v>
      </c>
      <c r="S604">
        <f t="shared" si="29"/>
        <v>15</v>
      </c>
      <c r="T604" t="str" cm="1">
        <f t="array" ref="T604">_xlfn.IFS(S604&lt;=12,"Morning",S604&lt;=16,"Afternoon",S604&lt;=21,"Evening",S604&lt;=24,"Night")</f>
        <v>Afternoon</v>
      </c>
    </row>
    <row r="605" spans="1:20" x14ac:dyDescent="0.25">
      <c r="A605" s="31" t="s">
        <v>639</v>
      </c>
      <c r="B605" s="27">
        <v>54.51</v>
      </c>
      <c r="C605" s="28">
        <v>6</v>
      </c>
      <c r="D605" s="27">
        <v>16.353000000000002</v>
      </c>
      <c r="E605" s="27">
        <v>343.41300000000001</v>
      </c>
      <c r="F605" s="29">
        <v>43541</v>
      </c>
      <c r="G605" s="30">
        <v>25.672222222222199</v>
      </c>
      <c r="H605" s="31" t="s">
        <v>23</v>
      </c>
      <c r="I605" s="27">
        <v>327.06</v>
      </c>
      <c r="J605" s="32">
        <v>4.7619047620000003</v>
      </c>
      <c r="K605" s="33">
        <v>7.8</v>
      </c>
      <c r="L605" s="31" t="str">
        <f>VLOOKUP(A605,'Customer-details'!$A$1:$C$1001,2,FALSE)</f>
        <v>Normal</v>
      </c>
      <c r="M605" s="31" t="str">
        <f>VLOOKUP(A605,'Customer-details'!$A$1:$C$1001,3,FALSE)</f>
        <v>Female</v>
      </c>
      <c r="N605" s="31" t="str">
        <f>VLOOKUP(A605,'Product-details'!$A$1:$B$1001,2,FALSE)</f>
        <v>Sports and travel</v>
      </c>
      <c r="O605" s="31" t="str">
        <f>VLOOKUP(A605,'City-details'!$A$1:$C$1001,3,FALSE)</f>
        <v>Mandalay</v>
      </c>
      <c r="P605" s="31" t="str">
        <f>VLOOKUP(A605,'City-details'!$A$1:$C$1001,2,FALSE)</f>
        <v>B</v>
      </c>
      <c r="Q605" s="31" t="str">
        <f t="shared" si="27"/>
        <v>Mar</v>
      </c>
      <c r="R605" s="34" t="str">
        <f t="shared" si="28"/>
        <v>Sun</v>
      </c>
      <c r="S605">
        <f t="shared" si="29"/>
        <v>16</v>
      </c>
      <c r="T605" t="str" cm="1">
        <f t="array" ref="T605">_xlfn.IFS(S605&lt;=12,"Morning",S605&lt;=16,"Afternoon",S605&lt;=21,"Evening",S605&lt;=24,"Night")</f>
        <v>Afternoon</v>
      </c>
    </row>
    <row r="606" spans="1:20" x14ac:dyDescent="0.25">
      <c r="A606" s="23" t="s">
        <v>640</v>
      </c>
      <c r="B606" s="19">
        <v>51.89</v>
      </c>
      <c r="C606" s="20">
        <v>7</v>
      </c>
      <c r="D606" s="19">
        <v>18.1615</v>
      </c>
      <c r="E606" s="19">
        <v>381.39150000000001</v>
      </c>
      <c r="F606" s="21">
        <v>43473</v>
      </c>
      <c r="G606" s="22">
        <v>25.713888888888899</v>
      </c>
      <c r="H606" s="23" t="s">
        <v>29</v>
      </c>
      <c r="I606" s="19">
        <v>363.23</v>
      </c>
      <c r="J606" s="24">
        <v>4.7619047620000003</v>
      </c>
      <c r="K606" s="25">
        <v>4.5</v>
      </c>
      <c r="L606" s="23" t="str">
        <f>VLOOKUP(A606,'Customer-details'!$A$1:$C$1001,2,FALSE)</f>
        <v>Member</v>
      </c>
      <c r="M606" s="23" t="str">
        <f>VLOOKUP(A606,'Customer-details'!$A$1:$C$1001,3,FALSE)</f>
        <v>Female</v>
      </c>
      <c r="N606" s="23" t="str">
        <f>VLOOKUP(A606,'Product-details'!$A$1:$B$1001,2,FALSE)</f>
        <v>Fashion accessories</v>
      </c>
      <c r="O606" s="23" t="str">
        <f>VLOOKUP(A606,'City-details'!$A$1:$C$1001,3,FALSE)</f>
        <v>Naypyitaw</v>
      </c>
      <c r="P606" s="23" t="str">
        <f>VLOOKUP(A606,'City-details'!$A$1:$C$1001,2,FALSE)</f>
        <v>C</v>
      </c>
      <c r="Q606" s="23" t="str">
        <f t="shared" si="27"/>
        <v>Jan</v>
      </c>
      <c r="R606" s="26" t="str">
        <f t="shared" si="28"/>
        <v>Tue</v>
      </c>
      <c r="S606">
        <f t="shared" si="29"/>
        <v>17</v>
      </c>
      <c r="T606" t="str" cm="1">
        <f t="array" ref="T606">_xlfn.IFS(S606&lt;=12,"Morning",S606&lt;=16,"Afternoon",S606&lt;=21,"Evening",S606&lt;=24,"Night")</f>
        <v>Evening</v>
      </c>
    </row>
    <row r="607" spans="1:20" x14ac:dyDescent="0.25">
      <c r="A607" s="31" t="s">
        <v>641</v>
      </c>
      <c r="B607" s="27">
        <v>31.75</v>
      </c>
      <c r="C607" s="28">
        <v>4</v>
      </c>
      <c r="D607" s="27">
        <v>6.35</v>
      </c>
      <c r="E607" s="27">
        <v>133.35</v>
      </c>
      <c r="F607" s="29">
        <v>43504</v>
      </c>
      <c r="G607" s="30">
        <v>25.755555555555599</v>
      </c>
      <c r="H607" s="31" t="s">
        <v>29</v>
      </c>
      <c r="I607" s="27">
        <v>127</v>
      </c>
      <c r="J607" s="32">
        <v>4.7619047620000003</v>
      </c>
      <c r="K607" s="33">
        <v>8.6</v>
      </c>
      <c r="L607" s="31" t="str">
        <f>VLOOKUP(A607,'Customer-details'!$A$1:$C$1001,2,FALSE)</f>
        <v>Normal</v>
      </c>
      <c r="M607" s="31" t="str">
        <f>VLOOKUP(A607,'Customer-details'!$A$1:$C$1001,3,FALSE)</f>
        <v>Male</v>
      </c>
      <c r="N607" s="31" t="str">
        <f>VLOOKUP(A607,'Product-details'!$A$1:$B$1001,2,FALSE)</f>
        <v>Home and lifestyle</v>
      </c>
      <c r="O607" s="31" t="str">
        <f>VLOOKUP(A607,'City-details'!$A$1:$C$1001,3,FALSE)</f>
        <v>Mandalay</v>
      </c>
      <c r="P607" s="31" t="str">
        <f>VLOOKUP(A607,'City-details'!$A$1:$C$1001,2,FALSE)</f>
        <v>B</v>
      </c>
      <c r="Q607" s="31" t="str">
        <f t="shared" si="27"/>
        <v>Feb</v>
      </c>
      <c r="R607" s="34" t="str">
        <f t="shared" si="28"/>
        <v>Fri</v>
      </c>
      <c r="S607">
        <f t="shared" si="29"/>
        <v>18</v>
      </c>
      <c r="T607" t="str" cm="1">
        <f t="array" ref="T607">_xlfn.IFS(S607&lt;=12,"Morning",S607&lt;=16,"Afternoon",S607&lt;=21,"Evening",S607&lt;=24,"Night")</f>
        <v>Evening</v>
      </c>
    </row>
    <row r="608" spans="1:20" x14ac:dyDescent="0.25">
      <c r="A608" s="23" t="s">
        <v>642</v>
      </c>
      <c r="B608" s="19">
        <v>53.65</v>
      </c>
      <c r="C608" s="20">
        <v>7</v>
      </c>
      <c r="D608" s="19">
        <v>18.7775</v>
      </c>
      <c r="E608" s="19">
        <v>394.32749999999999</v>
      </c>
      <c r="F608" s="21">
        <v>43506</v>
      </c>
      <c r="G608" s="22">
        <v>25.797222222222199</v>
      </c>
      <c r="H608" s="23" t="s">
        <v>23</v>
      </c>
      <c r="I608" s="19">
        <v>375.55</v>
      </c>
      <c r="J608" s="24">
        <v>4.7619047620000003</v>
      </c>
      <c r="K608" s="25">
        <v>5.2</v>
      </c>
      <c r="L608" s="23" t="str">
        <f>VLOOKUP(A608,'Customer-details'!$A$1:$C$1001,2,FALSE)</f>
        <v>Member</v>
      </c>
      <c r="M608" s="23" t="str">
        <f>VLOOKUP(A608,'Customer-details'!$A$1:$C$1001,3,FALSE)</f>
        <v>Female</v>
      </c>
      <c r="N608" s="23" t="str">
        <f>VLOOKUP(A608,'Product-details'!$A$1:$B$1001,2,FALSE)</f>
        <v>Fashion accessories</v>
      </c>
      <c r="O608" s="23" t="str">
        <f>VLOOKUP(A608,'City-details'!$A$1:$C$1001,3,FALSE)</f>
        <v>Yangon</v>
      </c>
      <c r="P608" s="23" t="str">
        <f>VLOOKUP(A608,'City-details'!$A$1:$C$1001,2,FALSE)</f>
        <v>A</v>
      </c>
      <c r="Q608" s="23" t="str">
        <f t="shared" si="27"/>
        <v>Feb</v>
      </c>
      <c r="R608" s="26" t="str">
        <f t="shared" si="28"/>
        <v>Sun</v>
      </c>
      <c r="S608">
        <f t="shared" si="29"/>
        <v>19</v>
      </c>
      <c r="T608" t="str" cm="1">
        <f t="array" ref="T608">_xlfn.IFS(S608&lt;=12,"Morning",S608&lt;=16,"Afternoon",S608&lt;=21,"Evening",S608&lt;=24,"Night")</f>
        <v>Evening</v>
      </c>
    </row>
    <row r="609" spans="1:20" x14ac:dyDescent="0.25">
      <c r="A609" s="31" t="s">
        <v>643</v>
      </c>
      <c r="B609" s="27">
        <v>49.79</v>
      </c>
      <c r="C609" s="28">
        <v>4</v>
      </c>
      <c r="D609" s="27">
        <v>9.9580000000000002</v>
      </c>
      <c r="E609" s="27">
        <v>209.11799999999999</v>
      </c>
      <c r="F609" s="29">
        <v>43552</v>
      </c>
      <c r="G609" s="30">
        <v>25.838888888888899</v>
      </c>
      <c r="H609" s="31" t="s">
        <v>33</v>
      </c>
      <c r="I609" s="27">
        <v>199.16</v>
      </c>
      <c r="J609" s="32">
        <v>4.7619047620000003</v>
      </c>
      <c r="K609" s="33">
        <v>6.4</v>
      </c>
      <c r="L609" s="31" t="str">
        <f>VLOOKUP(A609,'Customer-details'!$A$1:$C$1001,2,FALSE)</f>
        <v>Member</v>
      </c>
      <c r="M609" s="31" t="str">
        <f>VLOOKUP(A609,'Customer-details'!$A$1:$C$1001,3,FALSE)</f>
        <v>Female</v>
      </c>
      <c r="N609" s="31" t="str">
        <f>VLOOKUP(A609,'Product-details'!$A$1:$B$1001,2,FALSE)</f>
        <v>Food and beverages</v>
      </c>
      <c r="O609" s="31" t="str">
        <f>VLOOKUP(A609,'City-details'!$A$1:$C$1001,3,FALSE)</f>
        <v>Naypyitaw</v>
      </c>
      <c r="P609" s="31" t="str">
        <f>VLOOKUP(A609,'City-details'!$A$1:$C$1001,2,FALSE)</f>
        <v>C</v>
      </c>
      <c r="Q609" s="31" t="str">
        <f t="shared" si="27"/>
        <v>Mar</v>
      </c>
      <c r="R609" s="34" t="str">
        <f t="shared" si="28"/>
        <v>Thu</v>
      </c>
      <c r="S609">
        <f t="shared" si="29"/>
        <v>20</v>
      </c>
      <c r="T609" t="str" cm="1">
        <f t="array" ref="T609">_xlfn.IFS(S609&lt;=12,"Morning",S609&lt;=16,"Afternoon",S609&lt;=21,"Evening",S609&lt;=24,"Night")</f>
        <v>Evening</v>
      </c>
    </row>
    <row r="610" spans="1:20" x14ac:dyDescent="0.25">
      <c r="A610" s="23" t="s">
        <v>644</v>
      </c>
      <c r="B610" s="19">
        <v>30.61</v>
      </c>
      <c r="C610" s="20">
        <v>1</v>
      </c>
      <c r="D610" s="19">
        <v>1.5305</v>
      </c>
      <c r="E610" s="19">
        <v>32.140500000000003</v>
      </c>
      <c r="F610" s="21">
        <v>43488</v>
      </c>
      <c r="G610" s="22">
        <v>25.880555555555599</v>
      </c>
      <c r="H610" s="23" t="s">
        <v>23</v>
      </c>
      <c r="I610" s="19">
        <v>30.61</v>
      </c>
      <c r="J610" s="24">
        <v>4.7619047620000003</v>
      </c>
      <c r="K610" s="25">
        <v>5.2</v>
      </c>
      <c r="L610" s="23" t="str">
        <f>VLOOKUP(A610,'Customer-details'!$A$1:$C$1001,2,FALSE)</f>
        <v>Normal</v>
      </c>
      <c r="M610" s="23" t="str">
        <f>VLOOKUP(A610,'Customer-details'!$A$1:$C$1001,3,FALSE)</f>
        <v>Male</v>
      </c>
      <c r="N610" s="23" t="str">
        <f>VLOOKUP(A610,'Product-details'!$A$1:$B$1001,2,FALSE)</f>
        <v>Fashion accessories</v>
      </c>
      <c r="O610" s="23" t="str">
        <f>VLOOKUP(A610,'City-details'!$A$1:$C$1001,3,FALSE)</f>
        <v>Yangon</v>
      </c>
      <c r="P610" s="23" t="str">
        <f>VLOOKUP(A610,'City-details'!$A$1:$C$1001,2,FALSE)</f>
        <v>A</v>
      </c>
      <c r="Q610" s="23" t="str">
        <f t="shared" si="27"/>
        <v>Jan</v>
      </c>
      <c r="R610" s="26" t="str">
        <f t="shared" si="28"/>
        <v>Wed</v>
      </c>
      <c r="S610">
        <f t="shared" si="29"/>
        <v>21</v>
      </c>
      <c r="T610" t="str" cm="1">
        <f t="array" ref="T610">_xlfn.IFS(S610&lt;=12,"Morning",S610&lt;=16,"Afternoon",S610&lt;=21,"Evening",S610&lt;=24,"Night")</f>
        <v>Evening</v>
      </c>
    </row>
    <row r="611" spans="1:20" x14ac:dyDescent="0.25">
      <c r="A611" s="31" t="s">
        <v>645</v>
      </c>
      <c r="B611" s="27">
        <v>57.89</v>
      </c>
      <c r="C611" s="28">
        <v>2</v>
      </c>
      <c r="D611" s="27">
        <v>5.7889999999999997</v>
      </c>
      <c r="E611" s="27">
        <v>121.569</v>
      </c>
      <c r="F611" s="29">
        <v>43482</v>
      </c>
      <c r="G611" s="30">
        <v>25.922222222222199</v>
      </c>
      <c r="H611" s="31" t="s">
        <v>23</v>
      </c>
      <c r="I611" s="27">
        <v>115.78</v>
      </c>
      <c r="J611" s="32">
        <v>4.7619047620000003</v>
      </c>
      <c r="K611" s="33">
        <v>8.9</v>
      </c>
      <c r="L611" s="31" t="str">
        <f>VLOOKUP(A611,'Customer-details'!$A$1:$C$1001,2,FALSE)</f>
        <v>Member</v>
      </c>
      <c r="M611" s="31" t="str">
        <f>VLOOKUP(A611,'Customer-details'!$A$1:$C$1001,3,FALSE)</f>
        <v>Male</v>
      </c>
      <c r="N611" s="31" t="str">
        <f>VLOOKUP(A611,'Product-details'!$A$1:$B$1001,2,FALSE)</f>
        <v>Food and beverages</v>
      </c>
      <c r="O611" s="31" t="str">
        <f>VLOOKUP(A611,'City-details'!$A$1:$C$1001,3,FALSE)</f>
        <v>Mandalay</v>
      </c>
      <c r="P611" s="31" t="str">
        <f>VLOOKUP(A611,'City-details'!$A$1:$C$1001,2,FALSE)</f>
        <v>B</v>
      </c>
      <c r="Q611" s="31" t="str">
        <f t="shared" si="27"/>
        <v>Jan</v>
      </c>
      <c r="R611" s="34" t="str">
        <f t="shared" si="28"/>
        <v>Thu</v>
      </c>
      <c r="S611">
        <f t="shared" si="29"/>
        <v>22</v>
      </c>
      <c r="T611" t="str" cm="1">
        <f t="array" ref="T611">_xlfn.IFS(S611&lt;=12,"Morning",S611&lt;=16,"Afternoon",S611&lt;=21,"Evening",S611&lt;=24,"Night")</f>
        <v>Night</v>
      </c>
    </row>
    <row r="612" spans="1:20" x14ac:dyDescent="0.25">
      <c r="A612" s="23" t="s">
        <v>646</v>
      </c>
      <c r="B612" s="19">
        <v>28.96</v>
      </c>
      <c r="C612" s="20">
        <v>1</v>
      </c>
      <c r="D612" s="19">
        <v>1.448</v>
      </c>
      <c r="E612" s="19">
        <v>30.408000000000001</v>
      </c>
      <c r="F612" s="21">
        <v>43503</v>
      </c>
      <c r="G612" s="22">
        <v>25.963888888888899</v>
      </c>
      <c r="H612" s="23" t="s">
        <v>33</v>
      </c>
      <c r="I612" s="19">
        <v>28.96</v>
      </c>
      <c r="J612" s="24">
        <v>4.7619047620000003</v>
      </c>
      <c r="K612" s="25">
        <v>6.2</v>
      </c>
      <c r="L612" s="23" t="str">
        <f>VLOOKUP(A612,'Customer-details'!$A$1:$C$1001,2,FALSE)</f>
        <v>Normal</v>
      </c>
      <c r="M612" s="23" t="str">
        <f>VLOOKUP(A612,'Customer-details'!$A$1:$C$1001,3,FALSE)</f>
        <v>Female</v>
      </c>
      <c r="N612" s="23" t="str">
        <f>VLOOKUP(A612,'Product-details'!$A$1:$B$1001,2,FALSE)</f>
        <v>Electronic accessories</v>
      </c>
      <c r="O612" s="23" t="str">
        <f>VLOOKUP(A612,'City-details'!$A$1:$C$1001,3,FALSE)</f>
        <v>Yangon</v>
      </c>
      <c r="P612" s="23" t="str">
        <f>VLOOKUP(A612,'City-details'!$A$1:$C$1001,2,FALSE)</f>
        <v>A</v>
      </c>
      <c r="Q612" s="23" t="str">
        <f t="shared" si="27"/>
        <v>Feb</v>
      </c>
      <c r="R612" s="26" t="str">
        <f t="shared" si="28"/>
        <v>Thu</v>
      </c>
      <c r="S612">
        <f t="shared" si="29"/>
        <v>23</v>
      </c>
      <c r="T612" t="str" cm="1">
        <f t="array" ref="T612">_xlfn.IFS(S612&lt;=12,"Morning",S612&lt;=16,"Afternoon",S612&lt;=21,"Evening",S612&lt;=24,"Night")</f>
        <v>Night</v>
      </c>
    </row>
    <row r="613" spans="1:20" x14ac:dyDescent="0.25">
      <c r="A613" s="31" t="s">
        <v>647</v>
      </c>
      <c r="B613" s="27">
        <v>98.97</v>
      </c>
      <c r="C613" s="28">
        <v>9</v>
      </c>
      <c r="D613" s="27">
        <v>44.536499999999997</v>
      </c>
      <c r="E613" s="27">
        <v>935.26649999999995</v>
      </c>
      <c r="F613" s="29">
        <v>43533</v>
      </c>
      <c r="G613" s="30">
        <v>26.005555555555599</v>
      </c>
      <c r="H613" s="31" t="s">
        <v>29</v>
      </c>
      <c r="I613" s="27">
        <v>890.73</v>
      </c>
      <c r="J613" s="32">
        <v>4.7619047620000003</v>
      </c>
      <c r="K613" s="33">
        <v>6.7</v>
      </c>
      <c r="L613" s="31" t="str">
        <f>VLOOKUP(A613,'Customer-details'!$A$1:$C$1001,2,FALSE)</f>
        <v>Member</v>
      </c>
      <c r="M613" s="31" t="str">
        <f>VLOOKUP(A613,'Customer-details'!$A$1:$C$1001,3,FALSE)</f>
        <v>Female</v>
      </c>
      <c r="N613" s="31" t="str">
        <f>VLOOKUP(A613,'Product-details'!$A$1:$B$1001,2,FALSE)</f>
        <v>Food and beverages</v>
      </c>
      <c r="O613" s="31" t="str">
        <f>VLOOKUP(A613,'City-details'!$A$1:$C$1001,3,FALSE)</f>
        <v>Naypyitaw</v>
      </c>
      <c r="P613" s="31" t="str">
        <f>VLOOKUP(A613,'City-details'!$A$1:$C$1001,2,FALSE)</f>
        <v>C</v>
      </c>
      <c r="Q613" s="31" t="str">
        <f t="shared" si="27"/>
        <v>Mar</v>
      </c>
      <c r="R613" s="34" t="str">
        <f t="shared" si="28"/>
        <v>Sat</v>
      </c>
      <c r="S613">
        <f t="shared" si="29"/>
        <v>0</v>
      </c>
      <c r="T613" t="str" cm="1">
        <f t="array" ref="T613">_xlfn.IFS(S613&lt;=12,"Morning",S613&lt;=16,"Afternoon",S613&lt;=21,"Evening",S613&lt;=24,"Night")</f>
        <v>Morning</v>
      </c>
    </row>
    <row r="614" spans="1:20" x14ac:dyDescent="0.25">
      <c r="A614" s="23" t="s">
        <v>648</v>
      </c>
      <c r="B614" s="19">
        <v>93.22</v>
      </c>
      <c r="C614" s="20">
        <v>3</v>
      </c>
      <c r="D614" s="19">
        <v>13.983000000000001</v>
      </c>
      <c r="E614" s="19">
        <v>293.64299999999997</v>
      </c>
      <c r="F614" s="21">
        <v>43489</v>
      </c>
      <c r="G614" s="22">
        <v>26.047222222222199</v>
      </c>
      <c r="H614" s="23" t="s">
        <v>29</v>
      </c>
      <c r="I614" s="19">
        <v>279.66000000000003</v>
      </c>
      <c r="J614" s="24">
        <v>4.7619047620000003</v>
      </c>
      <c r="K614" s="25">
        <v>7.2</v>
      </c>
      <c r="L614" s="23" t="str">
        <f>VLOOKUP(A614,'Customer-details'!$A$1:$C$1001,2,FALSE)</f>
        <v>Member</v>
      </c>
      <c r="M614" s="23" t="str">
        <f>VLOOKUP(A614,'Customer-details'!$A$1:$C$1001,3,FALSE)</f>
        <v>Male</v>
      </c>
      <c r="N614" s="23" t="str">
        <f>VLOOKUP(A614,'Product-details'!$A$1:$B$1001,2,FALSE)</f>
        <v>Fashion accessories</v>
      </c>
      <c r="O614" s="23" t="str">
        <f>VLOOKUP(A614,'City-details'!$A$1:$C$1001,3,FALSE)</f>
        <v>Mandalay</v>
      </c>
      <c r="P614" s="23" t="str">
        <f>VLOOKUP(A614,'City-details'!$A$1:$C$1001,2,FALSE)</f>
        <v>B</v>
      </c>
      <c r="Q614" s="23" t="str">
        <f t="shared" si="27"/>
        <v>Jan</v>
      </c>
      <c r="R614" s="26" t="str">
        <f t="shared" si="28"/>
        <v>Thu</v>
      </c>
      <c r="S614">
        <f t="shared" si="29"/>
        <v>1</v>
      </c>
      <c r="T614" t="str" cm="1">
        <f t="array" ref="T614">_xlfn.IFS(S614&lt;=12,"Morning",S614&lt;=16,"Afternoon",S614&lt;=21,"Evening",S614&lt;=24,"Night")</f>
        <v>Morning</v>
      </c>
    </row>
    <row r="615" spans="1:20" x14ac:dyDescent="0.25">
      <c r="A615" s="31" t="s">
        <v>649</v>
      </c>
      <c r="B615" s="27">
        <v>80.930000000000007</v>
      </c>
      <c r="C615" s="28">
        <v>1</v>
      </c>
      <c r="D615" s="27">
        <v>4.0465</v>
      </c>
      <c r="E615" s="27">
        <v>84.976500000000001</v>
      </c>
      <c r="F615" s="29">
        <v>43484</v>
      </c>
      <c r="G615" s="30">
        <v>26.088888888888899</v>
      </c>
      <c r="H615" s="31" t="s">
        <v>33</v>
      </c>
      <c r="I615" s="27">
        <v>80.930000000000007</v>
      </c>
      <c r="J615" s="32">
        <v>4.7619047620000003</v>
      </c>
      <c r="K615" s="33">
        <v>9</v>
      </c>
      <c r="L615" s="31" t="str">
        <f>VLOOKUP(A615,'Customer-details'!$A$1:$C$1001,2,FALSE)</f>
        <v>Member</v>
      </c>
      <c r="M615" s="31" t="str">
        <f>VLOOKUP(A615,'Customer-details'!$A$1:$C$1001,3,FALSE)</f>
        <v>Male</v>
      </c>
      <c r="N615" s="31" t="str">
        <f>VLOOKUP(A615,'Product-details'!$A$1:$B$1001,2,FALSE)</f>
        <v>Sports and travel</v>
      </c>
      <c r="O615" s="31" t="str">
        <f>VLOOKUP(A615,'City-details'!$A$1:$C$1001,3,FALSE)</f>
        <v>Naypyitaw</v>
      </c>
      <c r="P615" s="31" t="str">
        <f>VLOOKUP(A615,'City-details'!$A$1:$C$1001,2,FALSE)</f>
        <v>C</v>
      </c>
      <c r="Q615" s="31" t="str">
        <f t="shared" si="27"/>
        <v>Jan</v>
      </c>
      <c r="R615" s="34" t="str">
        <f t="shared" si="28"/>
        <v>Sat</v>
      </c>
      <c r="S615">
        <f t="shared" si="29"/>
        <v>2</v>
      </c>
      <c r="T615" t="str" cm="1">
        <f t="array" ref="T615">_xlfn.IFS(S615&lt;=12,"Morning",S615&lt;=16,"Afternoon",S615&lt;=21,"Evening",S615&lt;=24,"Night")</f>
        <v>Morning</v>
      </c>
    </row>
    <row r="616" spans="1:20" x14ac:dyDescent="0.25">
      <c r="A616" s="23" t="s">
        <v>650</v>
      </c>
      <c r="B616" s="19">
        <v>67.45</v>
      </c>
      <c r="C616" s="20">
        <v>10</v>
      </c>
      <c r="D616" s="19">
        <v>33.725000000000001</v>
      </c>
      <c r="E616" s="19">
        <v>708.22500000000002</v>
      </c>
      <c r="F616" s="21">
        <v>43499</v>
      </c>
      <c r="G616" s="22">
        <v>26.130555555555599</v>
      </c>
      <c r="H616" s="23" t="s">
        <v>23</v>
      </c>
      <c r="I616" s="19">
        <v>674.5</v>
      </c>
      <c r="J616" s="24">
        <v>4.7619047620000003</v>
      </c>
      <c r="K616" s="25">
        <v>4.2</v>
      </c>
      <c r="L616" s="23" t="str">
        <f>VLOOKUP(A616,'Customer-details'!$A$1:$C$1001,2,FALSE)</f>
        <v>Member</v>
      </c>
      <c r="M616" s="23" t="str">
        <f>VLOOKUP(A616,'Customer-details'!$A$1:$C$1001,3,FALSE)</f>
        <v>Male</v>
      </c>
      <c r="N616" s="23" t="str">
        <f>VLOOKUP(A616,'Product-details'!$A$1:$B$1001,2,FALSE)</f>
        <v>Food and beverages</v>
      </c>
      <c r="O616" s="23" t="str">
        <f>VLOOKUP(A616,'City-details'!$A$1:$C$1001,3,FALSE)</f>
        <v>Yangon</v>
      </c>
      <c r="P616" s="23" t="str">
        <f>VLOOKUP(A616,'City-details'!$A$1:$C$1001,2,FALSE)</f>
        <v>A</v>
      </c>
      <c r="Q616" s="23" t="str">
        <f t="shared" si="27"/>
        <v>Feb</v>
      </c>
      <c r="R616" s="26" t="str">
        <f t="shared" si="28"/>
        <v>Sun</v>
      </c>
      <c r="S616">
        <f t="shared" si="29"/>
        <v>3</v>
      </c>
      <c r="T616" t="str" cm="1">
        <f t="array" ref="T616">_xlfn.IFS(S616&lt;=12,"Morning",S616&lt;=16,"Afternoon",S616&lt;=21,"Evening",S616&lt;=24,"Night")</f>
        <v>Morning</v>
      </c>
    </row>
    <row r="617" spans="1:20" x14ac:dyDescent="0.25">
      <c r="A617" s="31" t="s">
        <v>651</v>
      </c>
      <c r="B617" s="27">
        <v>38.72</v>
      </c>
      <c r="C617" s="28">
        <v>9</v>
      </c>
      <c r="D617" s="27">
        <v>17.423999999999999</v>
      </c>
      <c r="E617" s="27">
        <v>365.904</v>
      </c>
      <c r="F617" s="29">
        <v>43544</v>
      </c>
      <c r="G617" s="30">
        <v>26.172222222222199</v>
      </c>
      <c r="H617" s="31" t="s">
        <v>23</v>
      </c>
      <c r="I617" s="27">
        <v>348.48</v>
      </c>
      <c r="J617" s="32">
        <v>4.7619047620000003</v>
      </c>
      <c r="K617" s="33">
        <v>4.2</v>
      </c>
      <c r="L617" s="31" t="str">
        <f>VLOOKUP(A617,'Customer-details'!$A$1:$C$1001,2,FALSE)</f>
        <v>Member</v>
      </c>
      <c r="M617" s="31" t="str">
        <f>VLOOKUP(A617,'Customer-details'!$A$1:$C$1001,3,FALSE)</f>
        <v>Female</v>
      </c>
      <c r="N617" s="31" t="str">
        <f>VLOOKUP(A617,'Product-details'!$A$1:$B$1001,2,FALSE)</f>
        <v>Sports and travel</v>
      </c>
      <c r="O617" s="31" t="str">
        <f>VLOOKUP(A617,'City-details'!$A$1:$C$1001,3,FALSE)</f>
        <v>Yangon</v>
      </c>
      <c r="P617" s="31" t="str">
        <f>VLOOKUP(A617,'City-details'!$A$1:$C$1001,2,FALSE)</f>
        <v>A</v>
      </c>
      <c r="Q617" s="31" t="str">
        <f t="shared" si="27"/>
        <v>Mar</v>
      </c>
      <c r="R617" s="34" t="str">
        <f t="shared" si="28"/>
        <v>Wed</v>
      </c>
      <c r="S617">
        <f t="shared" si="29"/>
        <v>4</v>
      </c>
      <c r="T617" t="str" cm="1">
        <f t="array" ref="T617">_xlfn.IFS(S617&lt;=12,"Morning",S617&lt;=16,"Afternoon",S617&lt;=21,"Evening",S617&lt;=24,"Night")</f>
        <v>Morning</v>
      </c>
    </row>
    <row r="618" spans="1:20" x14ac:dyDescent="0.25">
      <c r="A618" s="23" t="s">
        <v>652</v>
      </c>
      <c r="B618" s="19">
        <v>72.599999999999994</v>
      </c>
      <c r="C618" s="20">
        <v>6</v>
      </c>
      <c r="D618" s="19">
        <v>21.78</v>
      </c>
      <c r="E618" s="19">
        <v>457.38</v>
      </c>
      <c r="F618" s="21">
        <v>43478</v>
      </c>
      <c r="G618" s="22">
        <v>26.213888888888899</v>
      </c>
      <c r="H618" s="23" t="s">
        <v>29</v>
      </c>
      <c r="I618" s="19">
        <v>435.6</v>
      </c>
      <c r="J618" s="24">
        <v>4.7619047620000003</v>
      </c>
      <c r="K618" s="25">
        <v>6.9</v>
      </c>
      <c r="L618" s="23" t="str">
        <f>VLOOKUP(A618,'Customer-details'!$A$1:$C$1001,2,FALSE)</f>
        <v>Member</v>
      </c>
      <c r="M618" s="23" t="str">
        <f>VLOOKUP(A618,'Customer-details'!$A$1:$C$1001,3,FALSE)</f>
        <v>Male</v>
      </c>
      <c r="N618" s="23" t="str">
        <f>VLOOKUP(A618,'Product-details'!$A$1:$B$1001,2,FALSE)</f>
        <v>Sports and travel</v>
      </c>
      <c r="O618" s="23" t="str">
        <f>VLOOKUP(A618,'City-details'!$A$1:$C$1001,3,FALSE)</f>
        <v>Mandalay</v>
      </c>
      <c r="P618" s="23" t="str">
        <f>VLOOKUP(A618,'City-details'!$A$1:$C$1001,2,FALSE)</f>
        <v>B</v>
      </c>
      <c r="Q618" s="23" t="str">
        <f t="shared" si="27"/>
        <v>Jan</v>
      </c>
      <c r="R618" s="26" t="str">
        <f t="shared" si="28"/>
        <v>Sun</v>
      </c>
      <c r="S618">
        <f t="shared" si="29"/>
        <v>5</v>
      </c>
      <c r="T618" t="str" cm="1">
        <f t="array" ref="T618">_xlfn.IFS(S618&lt;=12,"Morning",S618&lt;=16,"Afternoon",S618&lt;=21,"Evening",S618&lt;=24,"Night")</f>
        <v>Morning</v>
      </c>
    </row>
    <row r="619" spans="1:20" x14ac:dyDescent="0.25">
      <c r="A619" s="31" t="s">
        <v>653</v>
      </c>
      <c r="B619" s="27">
        <v>87.91</v>
      </c>
      <c r="C619" s="28">
        <v>5</v>
      </c>
      <c r="D619" s="27">
        <v>21.977499999999999</v>
      </c>
      <c r="E619" s="27">
        <v>461.52749999999997</v>
      </c>
      <c r="F619" s="29">
        <v>43538</v>
      </c>
      <c r="G619" s="30">
        <v>26.255555555555599</v>
      </c>
      <c r="H619" s="31" t="s">
        <v>23</v>
      </c>
      <c r="I619" s="27">
        <v>439.55</v>
      </c>
      <c r="J619" s="32">
        <v>4.7619047620000003</v>
      </c>
      <c r="K619" s="33">
        <v>4.4000000000000004</v>
      </c>
      <c r="L619" s="31" t="str">
        <f>VLOOKUP(A619,'Customer-details'!$A$1:$C$1001,2,FALSE)</f>
        <v>Member</v>
      </c>
      <c r="M619" s="31" t="str">
        <f>VLOOKUP(A619,'Customer-details'!$A$1:$C$1001,3,FALSE)</f>
        <v>Male</v>
      </c>
      <c r="N619" s="31" t="str">
        <f>VLOOKUP(A619,'Product-details'!$A$1:$B$1001,2,FALSE)</f>
        <v>Electronic accessories</v>
      </c>
      <c r="O619" s="31" t="str">
        <f>VLOOKUP(A619,'City-details'!$A$1:$C$1001,3,FALSE)</f>
        <v>Naypyitaw</v>
      </c>
      <c r="P619" s="31" t="str">
        <f>VLOOKUP(A619,'City-details'!$A$1:$C$1001,2,FALSE)</f>
        <v>C</v>
      </c>
      <c r="Q619" s="31" t="str">
        <f t="shared" si="27"/>
        <v>Mar</v>
      </c>
      <c r="R619" s="34" t="str">
        <f t="shared" si="28"/>
        <v>Thu</v>
      </c>
      <c r="S619">
        <f t="shared" si="29"/>
        <v>6</v>
      </c>
      <c r="T619" t="str" cm="1">
        <f t="array" ref="T619">_xlfn.IFS(S619&lt;=12,"Morning",S619&lt;=16,"Afternoon",S619&lt;=21,"Evening",S619&lt;=24,"Night")</f>
        <v>Morning</v>
      </c>
    </row>
    <row r="620" spans="1:20" x14ac:dyDescent="0.25">
      <c r="A620" s="23" t="s">
        <v>654</v>
      </c>
      <c r="B620" s="19">
        <v>98.53</v>
      </c>
      <c r="C620" s="20">
        <v>6</v>
      </c>
      <c r="D620" s="19">
        <v>29.559000000000001</v>
      </c>
      <c r="E620" s="19">
        <v>620.73900000000003</v>
      </c>
      <c r="F620" s="21">
        <v>43488</v>
      </c>
      <c r="G620" s="22">
        <v>26.297222222222199</v>
      </c>
      <c r="H620" s="23" t="s">
        <v>33</v>
      </c>
      <c r="I620" s="19">
        <v>591.17999999999995</v>
      </c>
      <c r="J620" s="24">
        <v>4.7619047620000003</v>
      </c>
      <c r="K620" s="25">
        <v>4</v>
      </c>
      <c r="L620" s="23" t="str">
        <f>VLOOKUP(A620,'Customer-details'!$A$1:$C$1001,2,FALSE)</f>
        <v>Member</v>
      </c>
      <c r="M620" s="23" t="str">
        <f>VLOOKUP(A620,'Customer-details'!$A$1:$C$1001,3,FALSE)</f>
        <v>Male</v>
      </c>
      <c r="N620" s="23" t="str">
        <f>VLOOKUP(A620,'Product-details'!$A$1:$B$1001,2,FALSE)</f>
        <v>Food and beverages</v>
      </c>
      <c r="O620" s="23" t="str">
        <f>VLOOKUP(A620,'City-details'!$A$1:$C$1001,3,FALSE)</f>
        <v>Yangon</v>
      </c>
      <c r="P620" s="23" t="str">
        <f>VLOOKUP(A620,'City-details'!$A$1:$C$1001,2,FALSE)</f>
        <v>A</v>
      </c>
      <c r="Q620" s="23" t="str">
        <f t="shared" si="27"/>
        <v>Jan</v>
      </c>
      <c r="R620" s="26" t="str">
        <f t="shared" si="28"/>
        <v>Wed</v>
      </c>
      <c r="S620">
        <f t="shared" si="29"/>
        <v>7</v>
      </c>
      <c r="T620" t="str" cm="1">
        <f t="array" ref="T620">_xlfn.IFS(S620&lt;=12,"Morning",S620&lt;=16,"Afternoon",S620&lt;=21,"Evening",S620&lt;=24,"Night")</f>
        <v>Morning</v>
      </c>
    </row>
    <row r="621" spans="1:20" x14ac:dyDescent="0.25">
      <c r="A621" s="31" t="s">
        <v>655</v>
      </c>
      <c r="B621" s="27">
        <v>43.46</v>
      </c>
      <c r="C621" s="28">
        <v>6</v>
      </c>
      <c r="D621" s="27">
        <v>13.038</v>
      </c>
      <c r="E621" s="27">
        <v>273.798</v>
      </c>
      <c r="F621" s="29">
        <v>43503</v>
      </c>
      <c r="G621" s="30">
        <v>26.338888888888899</v>
      </c>
      <c r="H621" s="31" t="s">
        <v>23</v>
      </c>
      <c r="I621" s="27">
        <v>260.76</v>
      </c>
      <c r="J621" s="32">
        <v>4.7619047620000003</v>
      </c>
      <c r="K621" s="33">
        <v>8.5</v>
      </c>
      <c r="L621" s="31" t="str">
        <f>VLOOKUP(A621,'Customer-details'!$A$1:$C$1001,2,FALSE)</f>
        <v>Member</v>
      </c>
      <c r="M621" s="31" t="str">
        <f>VLOOKUP(A621,'Customer-details'!$A$1:$C$1001,3,FALSE)</f>
        <v>Female</v>
      </c>
      <c r="N621" s="31" t="str">
        <f>VLOOKUP(A621,'Product-details'!$A$1:$B$1001,2,FALSE)</f>
        <v>Fashion accessories</v>
      </c>
      <c r="O621" s="31" t="str">
        <f>VLOOKUP(A621,'City-details'!$A$1:$C$1001,3,FALSE)</f>
        <v>Naypyitaw</v>
      </c>
      <c r="P621" s="31" t="str">
        <f>VLOOKUP(A621,'City-details'!$A$1:$C$1001,2,FALSE)</f>
        <v>C</v>
      </c>
      <c r="Q621" s="31" t="str">
        <f t="shared" si="27"/>
        <v>Feb</v>
      </c>
      <c r="R621" s="34" t="str">
        <f t="shared" si="28"/>
        <v>Thu</v>
      </c>
      <c r="S621">
        <f t="shared" si="29"/>
        <v>8</v>
      </c>
      <c r="T621" t="str" cm="1">
        <f t="array" ref="T621">_xlfn.IFS(S621&lt;=12,"Morning",S621&lt;=16,"Afternoon",S621&lt;=21,"Evening",S621&lt;=24,"Night")</f>
        <v>Morning</v>
      </c>
    </row>
    <row r="622" spans="1:20" x14ac:dyDescent="0.25">
      <c r="A622" s="23" t="s">
        <v>656</v>
      </c>
      <c r="B622" s="19">
        <v>71.680000000000007</v>
      </c>
      <c r="C622" s="20">
        <v>3</v>
      </c>
      <c r="D622" s="19">
        <v>10.752000000000001</v>
      </c>
      <c r="E622" s="19">
        <v>225.792</v>
      </c>
      <c r="F622" s="21">
        <v>43552</v>
      </c>
      <c r="G622" s="22">
        <v>26.380555555555599</v>
      </c>
      <c r="H622" s="23" t="s">
        <v>33</v>
      </c>
      <c r="I622" s="19">
        <v>215.04</v>
      </c>
      <c r="J622" s="24">
        <v>4.7619047620000003</v>
      </c>
      <c r="K622" s="25">
        <v>9.1999999999999993</v>
      </c>
      <c r="L622" s="23" t="str">
        <f>VLOOKUP(A622,'Customer-details'!$A$1:$C$1001,2,FALSE)</f>
        <v>Normal</v>
      </c>
      <c r="M622" s="23" t="str">
        <f>VLOOKUP(A622,'Customer-details'!$A$1:$C$1001,3,FALSE)</f>
        <v>Female</v>
      </c>
      <c r="N622" s="23" t="str">
        <f>VLOOKUP(A622,'Product-details'!$A$1:$B$1001,2,FALSE)</f>
        <v>Food and beverages</v>
      </c>
      <c r="O622" s="23" t="str">
        <f>VLOOKUP(A622,'City-details'!$A$1:$C$1001,3,FALSE)</f>
        <v>Yangon</v>
      </c>
      <c r="P622" s="23" t="str">
        <f>VLOOKUP(A622,'City-details'!$A$1:$C$1001,2,FALSE)</f>
        <v>A</v>
      </c>
      <c r="Q622" s="23" t="str">
        <f t="shared" si="27"/>
        <v>Mar</v>
      </c>
      <c r="R622" s="26" t="str">
        <f t="shared" si="28"/>
        <v>Thu</v>
      </c>
      <c r="S622">
        <f t="shared" si="29"/>
        <v>9</v>
      </c>
      <c r="T622" t="str" cm="1">
        <f t="array" ref="T622">_xlfn.IFS(S622&lt;=12,"Morning",S622&lt;=16,"Afternoon",S622&lt;=21,"Evening",S622&lt;=24,"Night")</f>
        <v>Morning</v>
      </c>
    </row>
    <row r="623" spans="1:20" x14ac:dyDescent="0.25">
      <c r="A623" s="31" t="s">
        <v>657</v>
      </c>
      <c r="B623" s="27">
        <v>91.61</v>
      </c>
      <c r="C623" s="28">
        <v>1</v>
      </c>
      <c r="D623" s="27">
        <v>4.5804999999999998</v>
      </c>
      <c r="E623" s="27">
        <v>96.1905</v>
      </c>
      <c r="F623" s="29">
        <v>43544</v>
      </c>
      <c r="G623" s="30">
        <v>26.422222222222199</v>
      </c>
      <c r="H623" s="31" t="s">
        <v>29</v>
      </c>
      <c r="I623" s="27">
        <v>91.61</v>
      </c>
      <c r="J623" s="32">
        <v>4.7619047620000003</v>
      </c>
      <c r="K623" s="33">
        <v>9.8000000000000007</v>
      </c>
      <c r="L623" s="31" t="str">
        <f>VLOOKUP(A623,'Customer-details'!$A$1:$C$1001,2,FALSE)</f>
        <v>Member</v>
      </c>
      <c r="M623" s="31" t="str">
        <f>VLOOKUP(A623,'Customer-details'!$A$1:$C$1001,3,FALSE)</f>
        <v>Female</v>
      </c>
      <c r="N623" s="31" t="str">
        <f>VLOOKUP(A623,'Product-details'!$A$1:$B$1001,2,FALSE)</f>
        <v>Food and beverages</v>
      </c>
      <c r="O623" s="31" t="str">
        <f>VLOOKUP(A623,'City-details'!$A$1:$C$1001,3,FALSE)</f>
        <v>Yangon</v>
      </c>
      <c r="P623" s="31" t="str">
        <f>VLOOKUP(A623,'City-details'!$A$1:$C$1001,2,FALSE)</f>
        <v>A</v>
      </c>
      <c r="Q623" s="31" t="str">
        <f t="shared" si="27"/>
        <v>Mar</v>
      </c>
      <c r="R623" s="34" t="str">
        <f t="shared" si="28"/>
        <v>Wed</v>
      </c>
      <c r="S623">
        <f t="shared" si="29"/>
        <v>10</v>
      </c>
      <c r="T623" t="str" cm="1">
        <f t="array" ref="T623">_xlfn.IFS(S623&lt;=12,"Morning",S623&lt;=16,"Afternoon",S623&lt;=21,"Evening",S623&lt;=24,"Night")</f>
        <v>Morning</v>
      </c>
    </row>
    <row r="624" spans="1:20" x14ac:dyDescent="0.25">
      <c r="A624" s="23" t="s">
        <v>658</v>
      </c>
      <c r="B624" s="19">
        <v>94.59</v>
      </c>
      <c r="C624" s="20">
        <v>7</v>
      </c>
      <c r="D624" s="19">
        <v>33.106499999999997</v>
      </c>
      <c r="E624" s="19">
        <v>695.23649999999998</v>
      </c>
      <c r="F624" s="21">
        <v>43482</v>
      </c>
      <c r="G624" s="22">
        <v>26.463888888888899</v>
      </c>
      <c r="H624" s="23" t="s">
        <v>33</v>
      </c>
      <c r="I624" s="19">
        <v>662.13</v>
      </c>
      <c r="J624" s="24">
        <v>4.7619047620000003</v>
      </c>
      <c r="K624" s="25">
        <v>4.9000000000000004</v>
      </c>
      <c r="L624" s="23" t="str">
        <f>VLOOKUP(A624,'Customer-details'!$A$1:$C$1001,2,FALSE)</f>
        <v>Member</v>
      </c>
      <c r="M624" s="23" t="str">
        <f>VLOOKUP(A624,'Customer-details'!$A$1:$C$1001,3,FALSE)</f>
        <v>Female</v>
      </c>
      <c r="N624" s="23" t="str">
        <f>VLOOKUP(A624,'Product-details'!$A$1:$B$1001,2,FALSE)</f>
        <v>Home and lifestyle</v>
      </c>
      <c r="O624" s="23" t="str">
        <f>VLOOKUP(A624,'City-details'!$A$1:$C$1001,3,FALSE)</f>
        <v>Mandalay</v>
      </c>
      <c r="P624" s="23" t="str">
        <f>VLOOKUP(A624,'City-details'!$A$1:$C$1001,2,FALSE)</f>
        <v>B</v>
      </c>
      <c r="Q624" s="23" t="str">
        <f t="shared" si="27"/>
        <v>Jan</v>
      </c>
      <c r="R624" s="26" t="str">
        <f t="shared" si="28"/>
        <v>Thu</v>
      </c>
      <c r="S624">
        <f t="shared" si="29"/>
        <v>11</v>
      </c>
      <c r="T624" t="str" cm="1">
        <f t="array" ref="T624">_xlfn.IFS(S624&lt;=12,"Morning",S624&lt;=16,"Afternoon",S624&lt;=21,"Evening",S624&lt;=24,"Night")</f>
        <v>Morning</v>
      </c>
    </row>
    <row r="625" spans="1:20" x14ac:dyDescent="0.25">
      <c r="A625" s="31" t="s">
        <v>659</v>
      </c>
      <c r="B625" s="27">
        <v>83.25</v>
      </c>
      <c r="C625" s="28">
        <v>10</v>
      </c>
      <c r="D625" s="27">
        <v>41.625</v>
      </c>
      <c r="E625" s="27">
        <v>874.125</v>
      </c>
      <c r="F625" s="29">
        <v>43477</v>
      </c>
      <c r="G625" s="30">
        <v>26.505555555555599</v>
      </c>
      <c r="H625" s="31" t="s">
        <v>33</v>
      </c>
      <c r="I625" s="27">
        <v>832.5</v>
      </c>
      <c r="J625" s="32">
        <v>4.7619047620000003</v>
      </c>
      <c r="K625" s="33">
        <v>4.4000000000000004</v>
      </c>
      <c r="L625" s="31" t="str">
        <f>VLOOKUP(A625,'Customer-details'!$A$1:$C$1001,2,FALSE)</f>
        <v>Normal</v>
      </c>
      <c r="M625" s="31" t="str">
        <f>VLOOKUP(A625,'Customer-details'!$A$1:$C$1001,3,FALSE)</f>
        <v>Female</v>
      </c>
      <c r="N625" s="31" t="str">
        <f>VLOOKUP(A625,'Product-details'!$A$1:$B$1001,2,FALSE)</f>
        <v>Fashion accessories</v>
      </c>
      <c r="O625" s="31" t="str">
        <f>VLOOKUP(A625,'City-details'!$A$1:$C$1001,3,FALSE)</f>
        <v>Mandalay</v>
      </c>
      <c r="P625" s="31" t="str">
        <f>VLOOKUP(A625,'City-details'!$A$1:$C$1001,2,FALSE)</f>
        <v>B</v>
      </c>
      <c r="Q625" s="31" t="str">
        <f t="shared" si="27"/>
        <v>Jan</v>
      </c>
      <c r="R625" s="34" t="str">
        <f t="shared" si="28"/>
        <v>Sat</v>
      </c>
      <c r="S625">
        <f t="shared" si="29"/>
        <v>12</v>
      </c>
      <c r="T625" t="str" cm="1">
        <f t="array" ref="T625">_xlfn.IFS(S625&lt;=12,"Morning",S625&lt;=16,"Afternoon",S625&lt;=21,"Evening",S625&lt;=24,"Night")</f>
        <v>Morning</v>
      </c>
    </row>
    <row r="626" spans="1:20" x14ac:dyDescent="0.25">
      <c r="A626" s="23" t="s">
        <v>660</v>
      </c>
      <c r="B626" s="19">
        <v>91.35</v>
      </c>
      <c r="C626" s="20">
        <v>1</v>
      </c>
      <c r="D626" s="19">
        <v>4.5674999999999999</v>
      </c>
      <c r="E626" s="19">
        <v>95.917500000000004</v>
      </c>
      <c r="F626" s="21">
        <v>43512</v>
      </c>
      <c r="G626" s="22">
        <v>26.547222222222199</v>
      </c>
      <c r="H626" s="23" t="s">
        <v>29</v>
      </c>
      <c r="I626" s="19">
        <v>91.35</v>
      </c>
      <c r="J626" s="24">
        <v>4.7619047620000003</v>
      </c>
      <c r="K626" s="25">
        <v>6.8</v>
      </c>
      <c r="L626" s="23" t="str">
        <f>VLOOKUP(A626,'Customer-details'!$A$1:$C$1001,2,FALSE)</f>
        <v>Member</v>
      </c>
      <c r="M626" s="23" t="str">
        <f>VLOOKUP(A626,'Customer-details'!$A$1:$C$1001,3,FALSE)</f>
        <v>Male</v>
      </c>
      <c r="N626" s="23" t="str">
        <f>VLOOKUP(A626,'Product-details'!$A$1:$B$1001,2,FALSE)</f>
        <v>Fashion accessories</v>
      </c>
      <c r="O626" s="23" t="str">
        <f>VLOOKUP(A626,'City-details'!$A$1:$C$1001,3,FALSE)</f>
        <v>Mandalay</v>
      </c>
      <c r="P626" s="23" t="str">
        <f>VLOOKUP(A626,'City-details'!$A$1:$C$1001,2,FALSE)</f>
        <v>B</v>
      </c>
      <c r="Q626" s="23" t="str">
        <f t="shared" si="27"/>
        <v>Feb</v>
      </c>
      <c r="R626" s="26" t="str">
        <f t="shared" si="28"/>
        <v>Sat</v>
      </c>
      <c r="S626">
        <f t="shared" si="29"/>
        <v>13</v>
      </c>
      <c r="T626" t="str" cm="1">
        <f t="array" ref="T626">_xlfn.IFS(S626&lt;=12,"Morning",S626&lt;=16,"Afternoon",S626&lt;=21,"Evening",S626&lt;=24,"Night")</f>
        <v>Afternoon</v>
      </c>
    </row>
    <row r="627" spans="1:20" x14ac:dyDescent="0.25">
      <c r="A627" s="31" t="s">
        <v>661</v>
      </c>
      <c r="B627" s="27">
        <v>78.88</v>
      </c>
      <c r="C627" s="28">
        <v>2</v>
      </c>
      <c r="D627" s="27">
        <v>7.8879999999999999</v>
      </c>
      <c r="E627" s="27">
        <v>165.648</v>
      </c>
      <c r="F627" s="29">
        <v>43491</v>
      </c>
      <c r="G627" s="30">
        <v>26.588888888888899</v>
      </c>
      <c r="H627" s="31" t="s">
        <v>29</v>
      </c>
      <c r="I627" s="27">
        <v>157.76</v>
      </c>
      <c r="J627" s="32">
        <v>4.7619047620000003</v>
      </c>
      <c r="K627" s="33">
        <v>9.1</v>
      </c>
      <c r="L627" s="31" t="str">
        <f>VLOOKUP(A627,'Customer-details'!$A$1:$C$1001,2,FALSE)</f>
        <v>Member</v>
      </c>
      <c r="M627" s="31" t="str">
        <f>VLOOKUP(A627,'Customer-details'!$A$1:$C$1001,3,FALSE)</f>
        <v>Female</v>
      </c>
      <c r="N627" s="31" t="str">
        <f>VLOOKUP(A627,'Product-details'!$A$1:$B$1001,2,FALSE)</f>
        <v>Food and beverages</v>
      </c>
      <c r="O627" s="31" t="str">
        <f>VLOOKUP(A627,'City-details'!$A$1:$C$1001,3,FALSE)</f>
        <v>Mandalay</v>
      </c>
      <c r="P627" s="31" t="str">
        <f>VLOOKUP(A627,'City-details'!$A$1:$C$1001,2,FALSE)</f>
        <v>B</v>
      </c>
      <c r="Q627" s="31" t="str">
        <f t="shared" si="27"/>
        <v>Jan</v>
      </c>
      <c r="R627" s="34" t="str">
        <f t="shared" si="28"/>
        <v>Sat</v>
      </c>
      <c r="S627">
        <f t="shared" si="29"/>
        <v>14</v>
      </c>
      <c r="T627" t="str" cm="1">
        <f t="array" ref="T627">_xlfn.IFS(S627&lt;=12,"Morning",S627&lt;=16,"Afternoon",S627&lt;=21,"Evening",S627&lt;=24,"Night")</f>
        <v>Afternoon</v>
      </c>
    </row>
    <row r="628" spans="1:20" x14ac:dyDescent="0.25">
      <c r="A628" s="23" t="s">
        <v>662</v>
      </c>
      <c r="B628" s="19">
        <v>60.87</v>
      </c>
      <c r="C628" s="20">
        <v>2</v>
      </c>
      <c r="D628" s="19">
        <v>6.0869999999999997</v>
      </c>
      <c r="E628" s="19">
        <v>127.827</v>
      </c>
      <c r="F628" s="21">
        <v>43533</v>
      </c>
      <c r="G628" s="22">
        <v>26.630555555555599</v>
      </c>
      <c r="H628" s="23" t="s">
        <v>23</v>
      </c>
      <c r="I628" s="19">
        <v>121.74</v>
      </c>
      <c r="J628" s="24">
        <v>4.7619047620000003</v>
      </c>
      <c r="K628" s="25">
        <v>8.6999999999999993</v>
      </c>
      <c r="L628" s="23" t="str">
        <f>VLOOKUP(A628,'Customer-details'!$A$1:$C$1001,2,FALSE)</f>
        <v>Normal</v>
      </c>
      <c r="M628" s="23" t="str">
        <f>VLOOKUP(A628,'Customer-details'!$A$1:$C$1001,3,FALSE)</f>
        <v>Male</v>
      </c>
      <c r="N628" s="23" t="str">
        <f>VLOOKUP(A628,'Product-details'!$A$1:$B$1001,2,FALSE)</f>
        <v>Sports and travel</v>
      </c>
      <c r="O628" s="23" t="str">
        <f>VLOOKUP(A628,'City-details'!$A$1:$C$1001,3,FALSE)</f>
        <v>Yangon</v>
      </c>
      <c r="P628" s="23" t="str">
        <f>VLOOKUP(A628,'City-details'!$A$1:$C$1001,2,FALSE)</f>
        <v>A</v>
      </c>
      <c r="Q628" s="23" t="str">
        <f t="shared" si="27"/>
        <v>Mar</v>
      </c>
      <c r="R628" s="26" t="str">
        <f t="shared" si="28"/>
        <v>Sat</v>
      </c>
      <c r="S628">
        <f t="shared" si="29"/>
        <v>15</v>
      </c>
      <c r="T628" t="str" cm="1">
        <f t="array" ref="T628">_xlfn.IFS(S628&lt;=12,"Morning",S628&lt;=16,"Afternoon",S628&lt;=21,"Evening",S628&lt;=24,"Night")</f>
        <v>Afternoon</v>
      </c>
    </row>
    <row r="629" spans="1:20" x14ac:dyDescent="0.25">
      <c r="A629" s="31" t="s">
        <v>663</v>
      </c>
      <c r="B629" s="27">
        <v>82.58</v>
      </c>
      <c r="C629" s="28">
        <v>10</v>
      </c>
      <c r="D629" s="27">
        <v>41.29</v>
      </c>
      <c r="E629" s="27">
        <v>867.09</v>
      </c>
      <c r="F629" s="29">
        <v>43538</v>
      </c>
      <c r="G629" s="30">
        <v>26.672222222222199</v>
      </c>
      <c r="H629" s="31" t="s">
        <v>29</v>
      </c>
      <c r="I629" s="27">
        <v>825.8</v>
      </c>
      <c r="J629" s="32">
        <v>4.7619047620000003</v>
      </c>
      <c r="K629" s="33">
        <v>5</v>
      </c>
      <c r="L629" s="31" t="str">
        <f>VLOOKUP(A629,'Customer-details'!$A$1:$C$1001,2,FALSE)</f>
        <v>Member</v>
      </c>
      <c r="M629" s="31" t="str">
        <f>VLOOKUP(A629,'Customer-details'!$A$1:$C$1001,3,FALSE)</f>
        <v>Male</v>
      </c>
      <c r="N629" s="31" t="str">
        <f>VLOOKUP(A629,'Product-details'!$A$1:$B$1001,2,FALSE)</f>
        <v>Health and beauty</v>
      </c>
      <c r="O629" s="31" t="str">
        <f>VLOOKUP(A629,'City-details'!$A$1:$C$1001,3,FALSE)</f>
        <v>Mandalay</v>
      </c>
      <c r="P629" s="31" t="str">
        <f>VLOOKUP(A629,'City-details'!$A$1:$C$1001,2,FALSE)</f>
        <v>B</v>
      </c>
      <c r="Q629" s="31" t="str">
        <f t="shared" si="27"/>
        <v>Mar</v>
      </c>
      <c r="R629" s="34" t="str">
        <f t="shared" si="28"/>
        <v>Thu</v>
      </c>
      <c r="S629">
        <f t="shared" si="29"/>
        <v>16</v>
      </c>
      <c r="T629" t="str" cm="1">
        <f t="array" ref="T629">_xlfn.IFS(S629&lt;=12,"Morning",S629&lt;=16,"Afternoon",S629&lt;=21,"Evening",S629&lt;=24,"Night")</f>
        <v>Afternoon</v>
      </c>
    </row>
    <row r="630" spans="1:20" x14ac:dyDescent="0.25">
      <c r="A630" s="23" t="s">
        <v>664</v>
      </c>
      <c r="B630" s="19">
        <v>53.3</v>
      </c>
      <c r="C630" s="20">
        <v>3</v>
      </c>
      <c r="D630" s="19">
        <v>7.9950000000000001</v>
      </c>
      <c r="E630" s="19">
        <v>167.89500000000001</v>
      </c>
      <c r="F630" s="21">
        <v>43490</v>
      </c>
      <c r="G630" s="22">
        <v>26.713888888888899</v>
      </c>
      <c r="H630" s="23" t="s">
        <v>23</v>
      </c>
      <c r="I630" s="19">
        <v>159.9</v>
      </c>
      <c r="J630" s="24">
        <v>4.7619047620000003</v>
      </c>
      <c r="K630" s="25">
        <v>7.5</v>
      </c>
      <c r="L630" s="23" t="str">
        <f>VLOOKUP(A630,'Customer-details'!$A$1:$C$1001,2,FALSE)</f>
        <v>Member</v>
      </c>
      <c r="M630" s="23" t="str">
        <f>VLOOKUP(A630,'Customer-details'!$A$1:$C$1001,3,FALSE)</f>
        <v>Male</v>
      </c>
      <c r="N630" s="23" t="str">
        <f>VLOOKUP(A630,'Product-details'!$A$1:$B$1001,2,FALSE)</f>
        <v>Home and lifestyle</v>
      </c>
      <c r="O630" s="23" t="str">
        <f>VLOOKUP(A630,'City-details'!$A$1:$C$1001,3,FALSE)</f>
        <v>Yangon</v>
      </c>
      <c r="P630" s="23" t="str">
        <f>VLOOKUP(A630,'City-details'!$A$1:$C$1001,2,FALSE)</f>
        <v>A</v>
      </c>
      <c r="Q630" s="23" t="str">
        <f t="shared" si="27"/>
        <v>Jan</v>
      </c>
      <c r="R630" s="26" t="str">
        <f t="shared" si="28"/>
        <v>Fri</v>
      </c>
      <c r="S630">
        <f t="shared" si="29"/>
        <v>17</v>
      </c>
      <c r="T630" t="str" cm="1">
        <f t="array" ref="T630">_xlfn.IFS(S630&lt;=12,"Morning",S630&lt;=16,"Afternoon",S630&lt;=21,"Evening",S630&lt;=24,"Night")</f>
        <v>Evening</v>
      </c>
    </row>
    <row r="631" spans="1:20" x14ac:dyDescent="0.25">
      <c r="A631" s="31" t="s">
        <v>665</v>
      </c>
      <c r="B631" s="27">
        <v>12.09</v>
      </c>
      <c r="C631" s="28">
        <v>1</v>
      </c>
      <c r="D631" s="27">
        <v>0.60450000000000004</v>
      </c>
      <c r="E631" s="27">
        <v>12.6945</v>
      </c>
      <c r="F631" s="29">
        <v>43491</v>
      </c>
      <c r="G631" s="30">
        <v>26.755555555555599</v>
      </c>
      <c r="H631" s="31" t="s">
        <v>33</v>
      </c>
      <c r="I631" s="27">
        <v>12.09</v>
      </c>
      <c r="J631" s="32">
        <v>4.7619047620000003</v>
      </c>
      <c r="K631" s="33">
        <v>8.1999999999999993</v>
      </c>
      <c r="L631" s="31" t="str">
        <f>VLOOKUP(A631,'Customer-details'!$A$1:$C$1001,2,FALSE)</f>
        <v>Normal</v>
      </c>
      <c r="M631" s="31" t="str">
        <f>VLOOKUP(A631,'Customer-details'!$A$1:$C$1001,3,FALSE)</f>
        <v>Female</v>
      </c>
      <c r="N631" s="31" t="str">
        <f>VLOOKUP(A631,'Product-details'!$A$1:$B$1001,2,FALSE)</f>
        <v>Fashion accessories</v>
      </c>
      <c r="O631" s="31" t="str">
        <f>VLOOKUP(A631,'City-details'!$A$1:$C$1001,3,FALSE)</f>
        <v>Yangon</v>
      </c>
      <c r="P631" s="31" t="str">
        <f>VLOOKUP(A631,'City-details'!$A$1:$C$1001,2,FALSE)</f>
        <v>A</v>
      </c>
      <c r="Q631" s="31" t="str">
        <f t="shared" si="27"/>
        <v>Jan</v>
      </c>
      <c r="R631" s="34" t="str">
        <f t="shared" si="28"/>
        <v>Sat</v>
      </c>
      <c r="S631">
        <f t="shared" si="29"/>
        <v>18</v>
      </c>
      <c r="T631" t="str" cm="1">
        <f t="array" ref="T631">_xlfn.IFS(S631&lt;=12,"Morning",S631&lt;=16,"Afternoon",S631&lt;=21,"Evening",S631&lt;=24,"Night")</f>
        <v>Evening</v>
      </c>
    </row>
    <row r="632" spans="1:20" x14ac:dyDescent="0.25">
      <c r="A632" s="23" t="s">
        <v>666</v>
      </c>
      <c r="B632" s="19">
        <v>64.19</v>
      </c>
      <c r="C632" s="20">
        <v>10</v>
      </c>
      <c r="D632" s="19">
        <v>32.094999999999999</v>
      </c>
      <c r="E632" s="19">
        <v>673.995</v>
      </c>
      <c r="F632" s="21">
        <v>43484</v>
      </c>
      <c r="G632" s="22">
        <v>26.797222222222199</v>
      </c>
      <c r="H632" s="23" t="s">
        <v>33</v>
      </c>
      <c r="I632" s="19">
        <v>641.9</v>
      </c>
      <c r="J632" s="24">
        <v>4.7619047620000003</v>
      </c>
      <c r="K632" s="25">
        <v>6.7</v>
      </c>
      <c r="L632" s="23" t="str">
        <f>VLOOKUP(A632,'Customer-details'!$A$1:$C$1001,2,FALSE)</f>
        <v>Normal</v>
      </c>
      <c r="M632" s="23" t="str">
        <f>VLOOKUP(A632,'Customer-details'!$A$1:$C$1001,3,FALSE)</f>
        <v>Male</v>
      </c>
      <c r="N632" s="23" t="str">
        <f>VLOOKUP(A632,'Product-details'!$A$1:$B$1001,2,FALSE)</f>
        <v>Sports and travel</v>
      </c>
      <c r="O632" s="23" t="str">
        <f>VLOOKUP(A632,'City-details'!$A$1:$C$1001,3,FALSE)</f>
        <v>Yangon</v>
      </c>
      <c r="P632" s="23" t="str">
        <f>VLOOKUP(A632,'City-details'!$A$1:$C$1001,2,FALSE)</f>
        <v>A</v>
      </c>
      <c r="Q632" s="23" t="str">
        <f t="shared" si="27"/>
        <v>Jan</v>
      </c>
      <c r="R632" s="26" t="str">
        <f t="shared" si="28"/>
        <v>Sat</v>
      </c>
      <c r="S632">
        <f t="shared" si="29"/>
        <v>19</v>
      </c>
      <c r="T632" t="str" cm="1">
        <f t="array" ref="T632">_xlfn.IFS(S632&lt;=12,"Morning",S632&lt;=16,"Afternoon",S632&lt;=21,"Evening",S632&lt;=24,"Night")</f>
        <v>Evening</v>
      </c>
    </row>
    <row r="633" spans="1:20" x14ac:dyDescent="0.25">
      <c r="A633" s="31" t="s">
        <v>667</v>
      </c>
      <c r="B633" s="27">
        <v>78.31</v>
      </c>
      <c r="C633" s="28">
        <v>3</v>
      </c>
      <c r="D633" s="27">
        <v>11.746499999999999</v>
      </c>
      <c r="E633" s="27">
        <v>246.6765</v>
      </c>
      <c r="F633" s="29">
        <v>43529</v>
      </c>
      <c r="G633" s="30">
        <v>26.838888888888899</v>
      </c>
      <c r="H633" s="31" t="s">
        <v>23</v>
      </c>
      <c r="I633" s="27">
        <v>234.93</v>
      </c>
      <c r="J633" s="32">
        <v>4.7619047620000003</v>
      </c>
      <c r="K633" s="33">
        <v>5.4</v>
      </c>
      <c r="L633" s="31" t="str">
        <f>VLOOKUP(A633,'Customer-details'!$A$1:$C$1001,2,FALSE)</f>
        <v>Normal</v>
      </c>
      <c r="M633" s="31" t="str">
        <f>VLOOKUP(A633,'Customer-details'!$A$1:$C$1001,3,FALSE)</f>
        <v>Male</v>
      </c>
      <c r="N633" s="31" t="str">
        <f>VLOOKUP(A633,'Product-details'!$A$1:$B$1001,2,FALSE)</f>
        <v>Electronic accessories</v>
      </c>
      <c r="O633" s="31" t="str">
        <f>VLOOKUP(A633,'City-details'!$A$1:$C$1001,3,FALSE)</f>
        <v>Yangon</v>
      </c>
      <c r="P633" s="31" t="str">
        <f>VLOOKUP(A633,'City-details'!$A$1:$C$1001,2,FALSE)</f>
        <v>A</v>
      </c>
      <c r="Q633" s="31" t="str">
        <f t="shared" si="27"/>
        <v>Mar</v>
      </c>
      <c r="R633" s="34" t="str">
        <f t="shared" si="28"/>
        <v>Tue</v>
      </c>
      <c r="S633">
        <f t="shared" si="29"/>
        <v>20</v>
      </c>
      <c r="T633" t="str" cm="1">
        <f t="array" ref="T633">_xlfn.IFS(S633&lt;=12,"Morning",S633&lt;=16,"Afternoon",S633&lt;=21,"Evening",S633&lt;=24,"Night")</f>
        <v>Evening</v>
      </c>
    </row>
    <row r="634" spans="1:20" x14ac:dyDescent="0.25">
      <c r="A634" s="23" t="s">
        <v>668</v>
      </c>
      <c r="B634" s="19">
        <v>83.77</v>
      </c>
      <c r="C634" s="20">
        <v>2</v>
      </c>
      <c r="D634" s="19">
        <v>8.3770000000000007</v>
      </c>
      <c r="E634" s="19">
        <v>175.917</v>
      </c>
      <c r="F634" s="21">
        <v>43480</v>
      </c>
      <c r="G634" s="22">
        <v>26.880555555555599</v>
      </c>
      <c r="H634" s="23" t="s">
        <v>33</v>
      </c>
      <c r="I634" s="19">
        <v>167.54</v>
      </c>
      <c r="J634" s="24">
        <v>4.7619047620000003</v>
      </c>
      <c r="K634" s="25">
        <v>7</v>
      </c>
      <c r="L634" s="23" t="str">
        <f>VLOOKUP(A634,'Customer-details'!$A$1:$C$1001,2,FALSE)</f>
        <v>Member</v>
      </c>
      <c r="M634" s="23" t="str">
        <f>VLOOKUP(A634,'Customer-details'!$A$1:$C$1001,3,FALSE)</f>
        <v>Male</v>
      </c>
      <c r="N634" s="23" t="str">
        <f>VLOOKUP(A634,'Product-details'!$A$1:$B$1001,2,FALSE)</f>
        <v>Food and beverages</v>
      </c>
      <c r="O634" s="23" t="str">
        <f>VLOOKUP(A634,'City-details'!$A$1:$C$1001,3,FALSE)</f>
        <v>Yangon</v>
      </c>
      <c r="P634" s="23" t="str">
        <f>VLOOKUP(A634,'City-details'!$A$1:$C$1001,2,FALSE)</f>
        <v>A</v>
      </c>
      <c r="Q634" s="23" t="str">
        <f t="shared" si="27"/>
        <v>Jan</v>
      </c>
      <c r="R634" s="26" t="str">
        <f t="shared" si="28"/>
        <v>Tue</v>
      </c>
      <c r="S634">
        <f t="shared" si="29"/>
        <v>21</v>
      </c>
      <c r="T634" t="str" cm="1">
        <f t="array" ref="T634">_xlfn.IFS(S634&lt;=12,"Morning",S634&lt;=16,"Afternoon",S634&lt;=21,"Evening",S634&lt;=24,"Night")</f>
        <v>Evening</v>
      </c>
    </row>
    <row r="635" spans="1:20" x14ac:dyDescent="0.25">
      <c r="A635" s="31" t="s">
        <v>669</v>
      </c>
      <c r="B635" s="27">
        <v>99.7</v>
      </c>
      <c r="C635" s="28">
        <v>3</v>
      </c>
      <c r="D635" s="27">
        <v>14.955</v>
      </c>
      <c r="E635" s="27">
        <v>314.05500000000001</v>
      </c>
      <c r="F635" s="29">
        <v>43542</v>
      </c>
      <c r="G635" s="30">
        <v>26.922222222222199</v>
      </c>
      <c r="H635" s="31" t="s">
        <v>23</v>
      </c>
      <c r="I635" s="27">
        <v>299.10000000000002</v>
      </c>
      <c r="J635" s="32">
        <v>4.7619047620000003</v>
      </c>
      <c r="K635" s="33">
        <v>4.7</v>
      </c>
      <c r="L635" s="31" t="str">
        <f>VLOOKUP(A635,'Customer-details'!$A$1:$C$1001,2,FALSE)</f>
        <v>Normal</v>
      </c>
      <c r="M635" s="31" t="str">
        <f>VLOOKUP(A635,'Customer-details'!$A$1:$C$1001,3,FALSE)</f>
        <v>Male</v>
      </c>
      <c r="N635" s="31" t="str">
        <f>VLOOKUP(A635,'Product-details'!$A$1:$B$1001,2,FALSE)</f>
        <v>Home and lifestyle</v>
      </c>
      <c r="O635" s="31" t="str">
        <f>VLOOKUP(A635,'City-details'!$A$1:$C$1001,3,FALSE)</f>
        <v>Mandalay</v>
      </c>
      <c r="P635" s="31" t="str">
        <f>VLOOKUP(A635,'City-details'!$A$1:$C$1001,2,FALSE)</f>
        <v>B</v>
      </c>
      <c r="Q635" s="31" t="str">
        <f t="shared" si="27"/>
        <v>Mar</v>
      </c>
      <c r="R635" s="34" t="str">
        <f t="shared" si="28"/>
        <v>Mon</v>
      </c>
      <c r="S635">
        <f t="shared" si="29"/>
        <v>22</v>
      </c>
      <c r="T635" t="str" cm="1">
        <f t="array" ref="T635">_xlfn.IFS(S635&lt;=12,"Morning",S635&lt;=16,"Afternoon",S635&lt;=21,"Evening",S635&lt;=24,"Night")</f>
        <v>Night</v>
      </c>
    </row>
    <row r="636" spans="1:20" x14ac:dyDescent="0.25">
      <c r="A636" s="23" t="s">
        <v>670</v>
      </c>
      <c r="B636" s="19">
        <v>79.91</v>
      </c>
      <c r="C636" s="20">
        <v>3</v>
      </c>
      <c r="D636" s="19">
        <v>11.986499999999999</v>
      </c>
      <c r="E636" s="19">
        <v>251.7165</v>
      </c>
      <c r="F636" s="21">
        <v>43544</v>
      </c>
      <c r="G636" s="22">
        <v>26.963888888888899</v>
      </c>
      <c r="H636" s="23" t="s">
        <v>33</v>
      </c>
      <c r="I636" s="19">
        <v>239.73</v>
      </c>
      <c r="J636" s="24">
        <v>4.7619047620000003</v>
      </c>
      <c r="K636" s="25">
        <v>5</v>
      </c>
      <c r="L636" s="23" t="str">
        <f>VLOOKUP(A636,'Customer-details'!$A$1:$C$1001,2,FALSE)</f>
        <v>Member</v>
      </c>
      <c r="M636" s="23" t="str">
        <f>VLOOKUP(A636,'Customer-details'!$A$1:$C$1001,3,FALSE)</f>
        <v>Male</v>
      </c>
      <c r="N636" s="23" t="str">
        <f>VLOOKUP(A636,'Product-details'!$A$1:$B$1001,2,FALSE)</f>
        <v>Food and beverages</v>
      </c>
      <c r="O636" s="23" t="str">
        <f>VLOOKUP(A636,'City-details'!$A$1:$C$1001,3,FALSE)</f>
        <v>Mandalay</v>
      </c>
      <c r="P636" s="23" t="str">
        <f>VLOOKUP(A636,'City-details'!$A$1:$C$1001,2,FALSE)</f>
        <v>B</v>
      </c>
      <c r="Q636" s="23" t="str">
        <f t="shared" si="27"/>
        <v>Mar</v>
      </c>
      <c r="R636" s="26" t="str">
        <f t="shared" si="28"/>
        <v>Wed</v>
      </c>
      <c r="S636">
        <f t="shared" si="29"/>
        <v>23</v>
      </c>
      <c r="T636" t="str" cm="1">
        <f t="array" ref="T636">_xlfn.IFS(S636&lt;=12,"Morning",S636&lt;=16,"Afternoon",S636&lt;=21,"Evening",S636&lt;=24,"Night")</f>
        <v>Night</v>
      </c>
    </row>
    <row r="637" spans="1:20" x14ac:dyDescent="0.25">
      <c r="A637" s="31" t="s">
        <v>671</v>
      </c>
      <c r="B637" s="27">
        <v>66.47</v>
      </c>
      <c r="C637" s="28">
        <v>10</v>
      </c>
      <c r="D637" s="27">
        <v>33.234999999999999</v>
      </c>
      <c r="E637" s="27">
        <v>697.93499999999995</v>
      </c>
      <c r="F637" s="29">
        <v>43480</v>
      </c>
      <c r="G637" s="30">
        <v>27.005555555555599</v>
      </c>
      <c r="H637" s="31" t="s">
        <v>33</v>
      </c>
      <c r="I637" s="27">
        <v>664.7</v>
      </c>
      <c r="J637" s="32">
        <v>4.7619047620000003</v>
      </c>
      <c r="K637" s="33">
        <v>5</v>
      </c>
      <c r="L637" s="31" t="str">
        <f>VLOOKUP(A637,'Customer-details'!$A$1:$C$1001,2,FALSE)</f>
        <v>Member</v>
      </c>
      <c r="M637" s="31" t="str">
        <f>VLOOKUP(A637,'Customer-details'!$A$1:$C$1001,3,FALSE)</f>
        <v>Male</v>
      </c>
      <c r="N637" s="31" t="str">
        <f>VLOOKUP(A637,'Product-details'!$A$1:$B$1001,2,FALSE)</f>
        <v>Health and beauty</v>
      </c>
      <c r="O637" s="31" t="str">
        <f>VLOOKUP(A637,'City-details'!$A$1:$C$1001,3,FALSE)</f>
        <v>Mandalay</v>
      </c>
      <c r="P637" s="31" t="str">
        <f>VLOOKUP(A637,'City-details'!$A$1:$C$1001,2,FALSE)</f>
        <v>B</v>
      </c>
      <c r="Q637" s="31" t="str">
        <f t="shared" si="27"/>
        <v>Jan</v>
      </c>
      <c r="R637" s="34" t="str">
        <f t="shared" si="28"/>
        <v>Tue</v>
      </c>
      <c r="S637">
        <f t="shared" si="29"/>
        <v>0</v>
      </c>
      <c r="T637" t="str" cm="1">
        <f t="array" ref="T637">_xlfn.IFS(S637&lt;=12,"Morning",S637&lt;=16,"Afternoon",S637&lt;=21,"Evening",S637&lt;=24,"Night")</f>
        <v>Morning</v>
      </c>
    </row>
    <row r="638" spans="1:20" x14ac:dyDescent="0.25">
      <c r="A638" s="23" t="s">
        <v>672</v>
      </c>
      <c r="B638" s="19">
        <v>28.95</v>
      </c>
      <c r="C638" s="20">
        <v>7</v>
      </c>
      <c r="D638" s="19">
        <v>10.1325</v>
      </c>
      <c r="E638" s="19">
        <v>212.7825</v>
      </c>
      <c r="F638" s="21">
        <v>43527</v>
      </c>
      <c r="G638" s="22">
        <v>27.047222222222199</v>
      </c>
      <c r="H638" s="23" t="s">
        <v>33</v>
      </c>
      <c r="I638" s="19">
        <v>202.65</v>
      </c>
      <c r="J638" s="24">
        <v>4.7619047620000003</v>
      </c>
      <c r="K638" s="25">
        <v>6</v>
      </c>
      <c r="L638" s="23" t="str">
        <f>VLOOKUP(A638,'Customer-details'!$A$1:$C$1001,2,FALSE)</f>
        <v>Normal</v>
      </c>
      <c r="M638" s="23" t="str">
        <f>VLOOKUP(A638,'Customer-details'!$A$1:$C$1001,3,FALSE)</f>
        <v>Male</v>
      </c>
      <c r="N638" s="23" t="str">
        <f>VLOOKUP(A638,'Product-details'!$A$1:$B$1001,2,FALSE)</f>
        <v>Health and beauty</v>
      </c>
      <c r="O638" s="23" t="str">
        <f>VLOOKUP(A638,'City-details'!$A$1:$C$1001,3,FALSE)</f>
        <v>Yangon</v>
      </c>
      <c r="P638" s="23" t="str">
        <f>VLOOKUP(A638,'City-details'!$A$1:$C$1001,2,FALSE)</f>
        <v>A</v>
      </c>
      <c r="Q638" s="23" t="str">
        <f t="shared" si="27"/>
        <v>Mar</v>
      </c>
      <c r="R638" s="26" t="str">
        <f t="shared" si="28"/>
        <v>Sun</v>
      </c>
      <c r="S638">
        <f t="shared" si="29"/>
        <v>1</v>
      </c>
      <c r="T638" t="str" cm="1">
        <f t="array" ref="T638">_xlfn.IFS(S638&lt;=12,"Morning",S638&lt;=16,"Afternoon",S638&lt;=21,"Evening",S638&lt;=24,"Night")</f>
        <v>Morning</v>
      </c>
    </row>
    <row r="639" spans="1:20" x14ac:dyDescent="0.25">
      <c r="A639" s="31" t="s">
        <v>673</v>
      </c>
      <c r="B639" s="27">
        <v>46.2</v>
      </c>
      <c r="C639" s="28">
        <v>1</v>
      </c>
      <c r="D639" s="27">
        <v>2.31</v>
      </c>
      <c r="E639" s="27">
        <v>48.51</v>
      </c>
      <c r="F639" s="29">
        <v>43543</v>
      </c>
      <c r="G639" s="30">
        <v>27.088888888888899</v>
      </c>
      <c r="H639" s="31" t="s">
        <v>29</v>
      </c>
      <c r="I639" s="27">
        <v>46.2</v>
      </c>
      <c r="J639" s="32">
        <v>4.7619047620000003</v>
      </c>
      <c r="K639" s="33">
        <v>6.3</v>
      </c>
      <c r="L639" s="31" t="str">
        <f>VLOOKUP(A639,'Customer-details'!$A$1:$C$1001,2,FALSE)</f>
        <v>Normal</v>
      </c>
      <c r="M639" s="31" t="str">
        <f>VLOOKUP(A639,'Customer-details'!$A$1:$C$1001,3,FALSE)</f>
        <v>Female</v>
      </c>
      <c r="N639" s="31" t="str">
        <f>VLOOKUP(A639,'Product-details'!$A$1:$B$1001,2,FALSE)</f>
        <v>Electronic accessories</v>
      </c>
      <c r="O639" s="31" t="str">
        <f>VLOOKUP(A639,'City-details'!$A$1:$C$1001,3,FALSE)</f>
        <v>Naypyitaw</v>
      </c>
      <c r="P639" s="31" t="str">
        <f>VLOOKUP(A639,'City-details'!$A$1:$C$1001,2,FALSE)</f>
        <v>C</v>
      </c>
      <c r="Q639" s="31" t="str">
        <f t="shared" si="27"/>
        <v>Mar</v>
      </c>
      <c r="R639" s="34" t="str">
        <f t="shared" si="28"/>
        <v>Tue</v>
      </c>
      <c r="S639">
        <f t="shared" si="29"/>
        <v>2</v>
      </c>
      <c r="T639" t="str" cm="1">
        <f t="array" ref="T639">_xlfn.IFS(S639&lt;=12,"Morning",S639&lt;=16,"Afternoon",S639&lt;=21,"Evening",S639&lt;=24,"Night")</f>
        <v>Morning</v>
      </c>
    </row>
    <row r="640" spans="1:20" x14ac:dyDescent="0.25">
      <c r="A640" s="23" t="s">
        <v>674</v>
      </c>
      <c r="B640" s="19">
        <v>17.63</v>
      </c>
      <c r="C640" s="20">
        <v>5</v>
      </c>
      <c r="D640" s="19">
        <v>4.4074999999999998</v>
      </c>
      <c r="E640" s="19">
        <v>92.557500000000005</v>
      </c>
      <c r="F640" s="21">
        <v>43532</v>
      </c>
      <c r="G640" s="22">
        <v>27.130555555555599</v>
      </c>
      <c r="H640" s="23" t="s">
        <v>29</v>
      </c>
      <c r="I640" s="19">
        <v>88.15</v>
      </c>
      <c r="J640" s="24">
        <v>4.7619047620000003</v>
      </c>
      <c r="K640" s="25">
        <v>8.5</v>
      </c>
      <c r="L640" s="23" t="str">
        <f>VLOOKUP(A640,'Customer-details'!$A$1:$C$1001,2,FALSE)</f>
        <v>Member</v>
      </c>
      <c r="M640" s="23" t="str">
        <f>VLOOKUP(A640,'Customer-details'!$A$1:$C$1001,3,FALSE)</f>
        <v>Female</v>
      </c>
      <c r="N640" s="23" t="str">
        <f>VLOOKUP(A640,'Product-details'!$A$1:$B$1001,2,FALSE)</f>
        <v>Food and beverages</v>
      </c>
      <c r="O640" s="23" t="str">
        <f>VLOOKUP(A640,'City-details'!$A$1:$C$1001,3,FALSE)</f>
        <v>Mandalay</v>
      </c>
      <c r="P640" s="23" t="str">
        <f>VLOOKUP(A640,'City-details'!$A$1:$C$1001,2,FALSE)</f>
        <v>B</v>
      </c>
      <c r="Q640" s="23" t="str">
        <f t="shared" si="27"/>
        <v>Mar</v>
      </c>
      <c r="R640" s="26" t="str">
        <f t="shared" si="28"/>
        <v>Fri</v>
      </c>
      <c r="S640">
        <f t="shared" si="29"/>
        <v>3</v>
      </c>
      <c r="T640" t="str" cm="1">
        <f t="array" ref="T640">_xlfn.IFS(S640&lt;=12,"Morning",S640&lt;=16,"Afternoon",S640&lt;=21,"Evening",S640&lt;=24,"Night")</f>
        <v>Morning</v>
      </c>
    </row>
    <row r="641" spans="1:20" x14ac:dyDescent="0.25">
      <c r="A641" s="31" t="s">
        <v>675</v>
      </c>
      <c r="B641" s="27">
        <v>52.42</v>
      </c>
      <c r="C641" s="28">
        <v>3</v>
      </c>
      <c r="D641" s="27">
        <v>7.8630000000000004</v>
      </c>
      <c r="E641" s="27">
        <v>165.12299999999999</v>
      </c>
      <c r="F641" s="29">
        <v>43523</v>
      </c>
      <c r="G641" s="30">
        <v>27.172222222222199</v>
      </c>
      <c r="H641" s="31" t="s">
        <v>23</v>
      </c>
      <c r="I641" s="27">
        <v>157.26</v>
      </c>
      <c r="J641" s="32">
        <v>4.7619047620000003</v>
      </c>
      <c r="K641" s="33">
        <v>7.5</v>
      </c>
      <c r="L641" s="31" t="str">
        <f>VLOOKUP(A641,'Customer-details'!$A$1:$C$1001,2,FALSE)</f>
        <v>Normal</v>
      </c>
      <c r="M641" s="31" t="str">
        <f>VLOOKUP(A641,'Customer-details'!$A$1:$C$1001,3,FALSE)</f>
        <v>Male</v>
      </c>
      <c r="N641" s="31" t="str">
        <f>VLOOKUP(A641,'Product-details'!$A$1:$B$1001,2,FALSE)</f>
        <v>Fashion accessories</v>
      </c>
      <c r="O641" s="31" t="str">
        <f>VLOOKUP(A641,'City-details'!$A$1:$C$1001,3,FALSE)</f>
        <v>Mandalay</v>
      </c>
      <c r="P641" s="31" t="str">
        <f>VLOOKUP(A641,'City-details'!$A$1:$C$1001,2,FALSE)</f>
        <v>B</v>
      </c>
      <c r="Q641" s="31" t="str">
        <f t="shared" si="27"/>
        <v>Feb</v>
      </c>
      <c r="R641" s="34" t="str">
        <f t="shared" si="28"/>
        <v>Wed</v>
      </c>
      <c r="S641">
        <f t="shared" si="29"/>
        <v>4</v>
      </c>
      <c r="T641" t="str" cm="1">
        <f t="array" ref="T641">_xlfn.IFS(S641&lt;=12,"Morning",S641&lt;=16,"Afternoon",S641&lt;=21,"Evening",S641&lt;=24,"Night")</f>
        <v>Morning</v>
      </c>
    </row>
    <row r="642" spans="1:20" x14ac:dyDescent="0.25">
      <c r="A642" s="23" t="s">
        <v>676</v>
      </c>
      <c r="B642" s="19">
        <v>98.79</v>
      </c>
      <c r="C642" s="20">
        <v>3</v>
      </c>
      <c r="D642" s="19">
        <v>14.8185</v>
      </c>
      <c r="E642" s="19">
        <v>311.18849999999998</v>
      </c>
      <c r="F642" s="21">
        <v>43519</v>
      </c>
      <c r="G642" s="22">
        <v>27.213888888888899</v>
      </c>
      <c r="H642" s="23" t="s">
        <v>23</v>
      </c>
      <c r="I642" s="19">
        <v>296.37</v>
      </c>
      <c r="J642" s="24">
        <v>4.7619047620000003</v>
      </c>
      <c r="K642" s="25">
        <v>6.4</v>
      </c>
      <c r="L642" s="23" t="str">
        <f>VLOOKUP(A642,'Customer-details'!$A$1:$C$1001,2,FALSE)</f>
        <v>Member</v>
      </c>
      <c r="M642" s="23" t="str">
        <f>VLOOKUP(A642,'Customer-details'!$A$1:$C$1001,3,FALSE)</f>
        <v>Female</v>
      </c>
      <c r="N642" s="23" t="str">
        <f>VLOOKUP(A642,'Product-details'!$A$1:$B$1001,2,FALSE)</f>
        <v>Food and beverages</v>
      </c>
      <c r="O642" s="23" t="str">
        <f>VLOOKUP(A642,'City-details'!$A$1:$C$1001,3,FALSE)</f>
        <v>Mandalay</v>
      </c>
      <c r="P642" s="23" t="str">
        <f>VLOOKUP(A642,'City-details'!$A$1:$C$1001,2,FALSE)</f>
        <v>B</v>
      </c>
      <c r="Q642" s="23" t="str">
        <f t="shared" si="27"/>
        <v>Feb</v>
      </c>
      <c r="R642" s="26" t="str">
        <f t="shared" si="28"/>
        <v>Sat</v>
      </c>
      <c r="S642">
        <f t="shared" si="29"/>
        <v>5</v>
      </c>
      <c r="T642" t="str" cm="1">
        <f t="array" ref="T642">_xlfn.IFS(S642&lt;=12,"Morning",S642&lt;=16,"Afternoon",S642&lt;=21,"Evening",S642&lt;=24,"Night")</f>
        <v>Morning</v>
      </c>
    </row>
    <row r="643" spans="1:20" x14ac:dyDescent="0.25">
      <c r="A643" s="31" t="s">
        <v>677</v>
      </c>
      <c r="B643" s="27">
        <v>88.55</v>
      </c>
      <c r="C643" s="28">
        <v>8</v>
      </c>
      <c r="D643" s="27">
        <v>35.42</v>
      </c>
      <c r="E643" s="27">
        <v>743.82</v>
      </c>
      <c r="F643" s="29">
        <v>43543</v>
      </c>
      <c r="G643" s="30">
        <v>27.255555555555599</v>
      </c>
      <c r="H643" s="31" t="s">
        <v>23</v>
      </c>
      <c r="I643" s="27">
        <v>708.4</v>
      </c>
      <c r="J643" s="32">
        <v>4.7619047620000003</v>
      </c>
      <c r="K643" s="33">
        <v>4.7</v>
      </c>
      <c r="L643" s="31" t="str">
        <f>VLOOKUP(A643,'Customer-details'!$A$1:$C$1001,2,FALSE)</f>
        <v>Member</v>
      </c>
      <c r="M643" s="31" t="str">
        <f>VLOOKUP(A643,'Customer-details'!$A$1:$C$1001,3,FALSE)</f>
        <v>Female</v>
      </c>
      <c r="N643" s="31" t="str">
        <f>VLOOKUP(A643,'Product-details'!$A$1:$B$1001,2,FALSE)</f>
        <v>Electronic accessories</v>
      </c>
      <c r="O643" s="31" t="str">
        <f>VLOOKUP(A643,'City-details'!$A$1:$C$1001,3,FALSE)</f>
        <v>Naypyitaw</v>
      </c>
      <c r="P643" s="31" t="str">
        <f>VLOOKUP(A643,'City-details'!$A$1:$C$1001,2,FALSE)</f>
        <v>C</v>
      </c>
      <c r="Q643" s="31" t="str">
        <f t="shared" ref="Q643:Q706" si="30">TEXT(F643,"mmm")</f>
        <v>Mar</v>
      </c>
      <c r="R643" s="34" t="str">
        <f t="shared" ref="R643:R706" si="31">TEXT(F643,"ddd")</f>
        <v>Tue</v>
      </c>
      <c r="S643">
        <f t="shared" ref="S643:S706" si="32">HOUR(G643)</f>
        <v>6</v>
      </c>
      <c r="T643" t="str" cm="1">
        <f t="array" ref="T643">_xlfn.IFS(S643&lt;=12,"Morning",S643&lt;=16,"Afternoon",S643&lt;=21,"Evening",S643&lt;=24,"Night")</f>
        <v>Morning</v>
      </c>
    </row>
    <row r="644" spans="1:20" x14ac:dyDescent="0.25">
      <c r="A644" s="23" t="s">
        <v>678</v>
      </c>
      <c r="B644" s="19">
        <v>55.67</v>
      </c>
      <c r="C644" s="20">
        <v>2</v>
      </c>
      <c r="D644" s="19">
        <v>5.5670000000000002</v>
      </c>
      <c r="E644" s="19">
        <v>116.907</v>
      </c>
      <c r="F644" s="21">
        <v>43551</v>
      </c>
      <c r="G644" s="22">
        <v>27.297222222222199</v>
      </c>
      <c r="H644" s="23" t="s">
        <v>23</v>
      </c>
      <c r="I644" s="19">
        <v>111.34</v>
      </c>
      <c r="J644" s="24">
        <v>4.7619047620000003</v>
      </c>
      <c r="K644" s="25">
        <v>6</v>
      </c>
      <c r="L644" s="23" t="str">
        <f>VLOOKUP(A644,'Customer-details'!$A$1:$C$1001,2,FALSE)</f>
        <v>Member</v>
      </c>
      <c r="M644" s="23" t="str">
        <f>VLOOKUP(A644,'Customer-details'!$A$1:$C$1001,3,FALSE)</f>
        <v>Male</v>
      </c>
      <c r="N644" s="23" t="str">
        <f>VLOOKUP(A644,'Product-details'!$A$1:$B$1001,2,FALSE)</f>
        <v>Electronic accessories</v>
      </c>
      <c r="O644" s="23" t="str">
        <f>VLOOKUP(A644,'City-details'!$A$1:$C$1001,3,FALSE)</f>
        <v>Mandalay</v>
      </c>
      <c r="P644" s="23" t="str">
        <f>VLOOKUP(A644,'City-details'!$A$1:$C$1001,2,FALSE)</f>
        <v>B</v>
      </c>
      <c r="Q644" s="23" t="str">
        <f t="shared" si="30"/>
        <v>Mar</v>
      </c>
      <c r="R644" s="26" t="str">
        <f t="shared" si="31"/>
        <v>Wed</v>
      </c>
      <c r="S644">
        <f t="shared" si="32"/>
        <v>7</v>
      </c>
      <c r="T644" t="str" cm="1">
        <f t="array" ref="T644">_xlfn.IFS(S644&lt;=12,"Morning",S644&lt;=16,"Afternoon",S644&lt;=21,"Evening",S644&lt;=24,"Night")</f>
        <v>Morning</v>
      </c>
    </row>
    <row r="645" spans="1:20" x14ac:dyDescent="0.25">
      <c r="A645" s="31" t="s">
        <v>679</v>
      </c>
      <c r="B645" s="27">
        <v>72.52</v>
      </c>
      <c r="C645" s="28">
        <v>8</v>
      </c>
      <c r="D645" s="27">
        <v>29.007999999999999</v>
      </c>
      <c r="E645" s="27">
        <v>609.16800000000001</v>
      </c>
      <c r="F645" s="29">
        <v>43554</v>
      </c>
      <c r="G645" s="30">
        <v>27.338888888888899</v>
      </c>
      <c r="H645" s="31" t="s">
        <v>33</v>
      </c>
      <c r="I645" s="27">
        <v>580.16</v>
      </c>
      <c r="J645" s="32">
        <v>4.7619047620000003</v>
      </c>
      <c r="K645" s="33">
        <v>4</v>
      </c>
      <c r="L645" s="31" t="str">
        <f>VLOOKUP(A645,'Customer-details'!$A$1:$C$1001,2,FALSE)</f>
        <v>Member</v>
      </c>
      <c r="M645" s="31" t="str">
        <f>VLOOKUP(A645,'Customer-details'!$A$1:$C$1001,3,FALSE)</f>
        <v>Female</v>
      </c>
      <c r="N645" s="31" t="str">
        <f>VLOOKUP(A645,'Product-details'!$A$1:$B$1001,2,FALSE)</f>
        <v>Food and beverages</v>
      </c>
      <c r="O645" s="31" t="str">
        <f>VLOOKUP(A645,'City-details'!$A$1:$C$1001,3,FALSE)</f>
        <v>Naypyitaw</v>
      </c>
      <c r="P645" s="31" t="str">
        <f>VLOOKUP(A645,'City-details'!$A$1:$C$1001,2,FALSE)</f>
        <v>C</v>
      </c>
      <c r="Q645" s="31" t="str">
        <f t="shared" si="30"/>
        <v>Mar</v>
      </c>
      <c r="R645" s="34" t="str">
        <f t="shared" si="31"/>
        <v>Sat</v>
      </c>
      <c r="S645">
        <f t="shared" si="32"/>
        <v>8</v>
      </c>
      <c r="T645" t="str" cm="1">
        <f t="array" ref="T645">_xlfn.IFS(S645&lt;=12,"Morning",S645&lt;=16,"Afternoon",S645&lt;=21,"Evening",S645&lt;=24,"Night")</f>
        <v>Morning</v>
      </c>
    </row>
    <row r="646" spans="1:20" x14ac:dyDescent="0.25">
      <c r="A646" s="23" t="s">
        <v>680</v>
      </c>
      <c r="B646" s="19">
        <v>12.05</v>
      </c>
      <c r="C646" s="20">
        <v>5</v>
      </c>
      <c r="D646" s="19">
        <v>3.0125000000000002</v>
      </c>
      <c r="E646" s="19">
        <v>63.262500000000003</v>
      </c>
      <c r="F646" s="21">
        <v>43512</v>
      </c>
      <c r="G646" s="22">
        <v>27.380555555555599</v>
      </c>
      <c r="H646" s="23" t="s">
        <v>23</v>
      </c>
      <c r="I646" s="19">
        <v>60.25</v>
      </c>
      <c r="J646" s="24">
        <v>4.7619047620000003</v>
      </c>
      <c r="K646" s="25">
        <v>5.5</v>
      </c>
      <c r="L646" s="23" t="str">
        <f>VLOOKUP(A646,'Customer-details'!$A$1:$C$1001,2,FALSE)</f>
        <v>Member</v>
      </c>
      <c r="M646" s="23" t="str">
        <f>VLOOKUP(A646,'Customer-details'!$A$1:$C$1001,3,FALSE)</f>
        <v>Male</v>
      </c>
      <c r="N646" s="23" t="str">
        <f>VLOOKUP(A646,'Product-details'!$A$1:$B$1001,2,FALSE)</f>
        <v>Electronic accessories</v>
      </c>
      <c r="O646" s="23" t="str">
        <f>VLOOKUP(A646,'City-details'!$A$1:$C$1001,3,FALSE)</f>
        <v>Naypyitaw</v>
      </c>
      <c r="P646" s="23" t="str">
        <f>VLOOKUP(A646,'City-details'!$A$1:$C$1001,2,FALSE)</f>
        <v>C</v>
      </c>
      <c r="Q646" s="23" t="str">
        <f t="shared" si="30"/>
        <v>Feb</v>
      </c>
      <c r="R646" s="26" t="str">
        <f t="shared" si="31"/>
        <v>Sat</v>
      </c>
      <c r="S646">
        <f t="shared" si="32"/>
        <v>9</v>
      </c>
      <c r="T646" t="str" cm="1">
        <f t="array" ref="T646">_xlfn.IFS(S646&lt;=12,"Morning",S646&lt;=16,"Afternoon",S646&lt;=21,"Evening",S646&lt;=24,"Night")</f>
        <v>Morning</v>
      </c>
    </row>
    <row r="647" spans="1:20" x14ac:dyDescent="0.25">
      <c r="A647" s="31" t="s">
        <v>681</v>
      </c>
      <c r="B647" s="27">
        <v>19.36</v>
      </c>
      <c r="C647" s="28">
        <v>9</v>
      </c>
      <c r="D647" s="27">
        <v>8.7119999999999997</v>
      </c>
      <c r="E647" s="27">
        <v>182.952</v>
      </c>
      <c r="F647" s="29">
        <v>43483</v>
      </c>
      <c r="G647" s="30">
        <v>27.422222222222199</v>
      </c>
      <c r="H647" s="31" t="s">
        <v>23</v>
      </c>
      <c r="I647" s="27">
        <v>174.24</v>
      </c>
      <c r="J647" s="32">
        <v>4.7619047620000003</v>
      </c>
      <c r="K647" s="33">
        <v>8.6999999999999993</v>
      </c>
      <c r="L647" s="31" t="str">
        <f>VLOOKUP(A647,'Customer-details'!$A$1:$C$1001,2,FALSE)</f>
        <v>Member</v>
      </c>
      <c r="M647" s="31" t="str">
        <f>VLOOKUP(A647,'Customer-details'!$A$1:$C$1001,3,FALSE)</f>
        <v>Male</v>
      </c>
      <c r="N647" s="31" t="str">
        <f>VLOOKUP(A647,'Product-details'!$A$1:$B$1001,2,FALSE)</f>
        <v>Home and lifestyle</v>
      </c>
      <c r="O647" s="31" t="str">
        <f>VLOOKUP(A647,'City-details'!$A$1:$C$1001,3,FALSE)</f>
        <v>Yangon</v>
      </c>
      <c r="P647" s="31" t="str">
        <f>VLOOKUP(A647,'City-details'!$A$1:$C$1001,2,FALSE)</f>
        <v>A</v>
      </c>
      <c r="Q647" s="31" t="str">
        <f t="shared" si="30"/>
        <v>Jan</v>
      </c>
      <c r="R647" s="34" t="str">
        <f t="shared" si="31"/>
        <v>Fri</v>
      </c>
      <c r="S647">
        <f t="shared" si="32"/>
        <v>10</v>
      </c>
      <c r="T647" t="str" cm="1">
        <f t="array" ref="T647">_xlfn.IFS(S647&lt;=12,"Morning",S647&lt;=16,"Afternoon",S647&lt;=21,"Evening",S647&lt;=24,"Night")</f>
        <v>Morning</v>
      </c>
    </row>
    <row r="648" spans="1:20" x14ac:dyDescent="0.25">
      <c r="A648" s="23" t="s">
        <v>682</v>
      </c>
      <c r="B648" s="19">
        <v>70.209999999999994</v>
      </c>
      <c r="C648" s="20">
        <v>6</v>
      </c>
      <c r="D648" s="19">
        <v>21.062999999999999</v>
      </c>
      <c r="E648" s="19">
        <v>442.32299999999998</v>
      </c>
      <c r="F648" s="21">
        <v>43554</v>
      </c>
      <c r="G648" s="22">
        <v>27.463888888888899</v>
      </c>
      <c r="H648" s="23" t="s">
        <v>29</v>
      </c>
      <c r="I648" s="19">
        <v>421.26</v>
      </c>
      <c r="J648" s="24">
        <v>4.7619047620000003</v>
      </c>
      <c r="K648" s="25">
        <v>7.4</v>
      </c>
      <c r="L648" s="23" t="str">
        <f>VLOOKUP(A648,'Customer-details'!$A$1:$C$1001,2,FALSE)</f>
        <v>Normal</v>
      </c>
      <c r="M648" s="23" t="str">
        <f>VLOOKUP(A648,'Customer-details'!$A$1:$C$1001,3,FALSE)</f>
        <v>Male</v>
      </c>
      <c r="N648" s="23" t="str">
        <f>VLOOKUP(A648,'Product-details'!$A$1:$B$1001,2,FALSE)</f>
        <v>Health and beauty</v>
      </c>
      <c r="O648" s="23" t="str">
        <f>VLOOKUP(A648,'City-details'!$A$1:$C$1001,3,FALSE)</f>
        <v>Naypyitaw</v>
      </c>
      <c r="P648" s="23" t="str">
        <f>VLOOKUP(A648,'City-details'!$A$1:$C$1001,2,FALSE)</f>
        <v>C</v>
      </c>
      <c r="Q648" s="23" t="str">
        <f t="shared" si="30"/>
        <v>Mar</v>
      </c>
      <c r="R648" s="26" t="str">
        <f t="shared" si="31"/>
        <v>Sat</v>
      </c>
      <c r="S648">
        <f t="shared" si="32"/>
        <v>11</v>
      </c>
      <c r="T648" t="str" cm="1">
        <f t="array" ref="T648">_xlfn.IFS(S648&lt;=12,"Morning",S648&lt;=16,"Afternoon",S648&lt;=21,"Evening",S648&lt;=24,"Night")</f>
        <v>Morning</v>
      </c>
    </row>
    <row r="649" spans="1:20" x14ac:dyDescent="0.25">
      <c r="A649" s="31" t="s">
        <v>683</v>
      </c>
      <c r="B649" s="27">
        <v>33.630000000000003</v>
      </c>
      <c r="C649" s="28">
        <v>1</v>
      </c>
      <c r="D649" s="27">
        <v>1.6815</v>
      </c>
      <c r="E649" s="27">
        <v>35.311500000000002</v>
      </c>
      <c r="F649" s="29">
        <v>43544</v>
      </c>
      <c r="G649" s="30">
        <v>27.505555555555599</v>
      </c>
      <c r="H649" s="31" t="s">
        <v>29</v>
      </c>
      <c r="I649" s="27">
        <v>33.630000000000003</v>
      </c>
      <c r="J649" s="32">
        <v>4.7619047620000003</v>
      </c>
      <c r="K649" s="33">
        <v>5.6</v>
      </c>
      <c r="L649" s="31" t="str">
        <f>VLOOKUP(A649,'Customer-details'!$A$1:$C$1001,2,FALSE)</f>
        <v>Member</v>
      </c>
      <c r="M649" s="31" t="str">
        <f>VLOOKUP(A649,'Customer-details'!$A$1:$C$1001,3,FALSE)</f>
        <v>Male</v>
      </c>
      <c r="N649" s="31" t="str">
        <f>VLOOKUP(A649,'Product-details'!$A$1:$B$1001,2,FALSE)</f>
        <v>Fashion accessories</v>
      </c>
      <c r="O649" s="31" t="str">
        <f>VLOOKUP(A649,'City-details'!$A$1:$C$1001,3,FALSE)</f>
        <v>Mandalay</v>
      </c>
      <c r="P649" s="31" t="str">
        <f>VLOOKUP(A649,'City-details'!$A$1:$C$1001,2,FALSE)</f>
        <v>B</v>
      </c>
      <c r="Q649" s="31" t="str">
        <f t="shared" si="30"/>
        <v>Mar</v>
      </c>
      <c r="R649" s="34" t="str">
        <f t="shared" si="31"/>
        <v>Wed</v>
      </c>
      <c r="S649">
        <f t="shared" si="32"/>
        <v>12</v>
      </c>
      <c r="T649" t="str" cm="1">
        <f t="array" ref="T649">_xlfn.IFS(S649&lt;=12,"Morning",S649&lt;=16,"Afternoon",S649&lt;=21,"Evening",S649&lt;=24,"Night")</f>
        <v>Morning</v>
      </c>
    </row>
    <row r="650" spans="1:20" x14ac:dyDescent="0.25">
      <c r="A650" s="23" t="s">
        <v>684</v>
      </c>
      <c r="B650" s="19">
        <v>15.49</v>
      </c>
      <c r="C650" s="20">
        <v>2</v>
      </c>
      <c r="D650" s="19">
        <v>1.5489999999999999</v>
      </c>
      <c r="E650" s="19">
        <v>32.529000000000003</v>
      </c>
      <c r="F650" s="21">
        <v>43481</v>
      </c>
      <c r="G650" s="22">
        <v>27.547222222222199</v>
      </c>
      <c r="H650" s="23" t="s">
        <v>29</v>
      </c>
      <c r="I650" s="19">
        <v>30.98</v>
      </c>
      <c r="J650" s="24">
        <v>4.7619047620000003</v>
      </c>
      <c r="K650" s="25">
        <v>6.3</v>
      </c>
      <c r="L650" s="23" t="str">
        <f>VLOOKUP(A650,'Customer-details'!$A$1:$C$1001,2,FALSE)</f>
        <v>Member</v>
      </c>
      <c r="M650" s="23" t="str">
        <f>VLOOKUP(A650,'Customer-details'!$A$1:$C$1001,3,FALSE)</f>
        <v>Female</v>
      </c>
      <c r="N650" s="23" t="str">
        <f>VLOOKUP(A650,'Product-details'!$A$1:$B$1001,2,FALSE)</f>
        <v>Sports and travel</v>
      </c>
      <c r="O650" s="23" t="str">
        <f>VLOOKUP(A650,'City-details'!$A$1:$C$1001,3,FALSE)</f>
        <v>Naypyitaw</v>
      </c>
      <c r="P650" s="23" t="str">
        <f>VLOOKUP(A650,'City-details'!$A$1:$C$1001,2,FALSE)</f>
        <v>C</v>
      </c>
      <c r="Q650" s="23" t="str">
        <f t="shared" si="30"/>
        <v>Jan</v>
      </c>
      <c r="R650" s="26" t="str">
        <f t="shared" si="31"/>
        <v>Wed</v>
      </c>
      <c r="S650">
        <f t="shared" si="32"/>
        <v>13</v>
      </c>
      <c r="T650" t="str" cm="1">
        <f t="array" ref="T650">_xlfn.IFS(S650&lt;=12,"Morning",S650&lt;=16,"Afternoon",S650&lt;=21,"Evening",S650&lt;=24,"Night")</f>
        <v>Afternoon</v>
      </c>
    </row>
    <row r="651" spans="1:20" x14ac:dyDescent="0.25">
      <c r="A651" s="31" t="s">
        <v>685</v>
      </c>
      <c r="B651" s="27">
        <v>24.74</v>
      </c>
      <c r="C651" s="28">
        <v>10</v>
      </c>
      <c r="D651" s="27">
        <v>12.37</v>
      </c>
      <c r="E651" s="27">
        <v>259.77</v>
      </c>
      <c r="F651" s="29">
        <v>43520</v>
      </c>
      <c r="G651" s="30">
        <v>27.588888888888899</v>
      </c>
      <c r="H651" s="31" t="s">
        <v>29</v>
      </c>
      <c r="I651" s="27">
        <v>247.4</v>
      </c>
      <c r="J651" s="32">
        <v>4.7619047620000003</v>
      </c>
      <c r="K651" s="33">
        <v>7.1</v>
      </c>
      <c r="L651" s="31" t="str">
        <f>VLOOKUP(A651,'Customer-details'!$A$1:$C$1001,2,FALSE)</f>
        <v>Normal</v>
      </c>
      <c r="M651" s="31" t="str">
        <f>VLOOKUP(A651,'Customer-details'!$A$1:$C$1001,3,FALSE)</f>
        <v>Male</v>
      </c>
      <c r="N651" s="31" t="str">
        <f>VLOOKUP(A651,'Product-details'!$A$1:$B$1001,2,FALSE)</f>
        <v>Electronic accessories</v>
      </c>
      <c r="O651" s="31" t="str">
        <f>VLOOKUP(A651,'City-details'!$A$1:$C$1001,3,FALSE)</f>
        <v>Naypyitaw</v>
      </c>
      <c r="P651" s="31" t="str">
        <f>VLOOKUP(A651,'City-details'!$A$1:$C$1001,2,FALSE)</f>
        <v>C</v>
      </c>
      <c r="Q651" s="31" t="str">
        <f t="shared" si="30"/>
        <v>Feb</v>
      </c>
      <c r="R651" s="34" t="str">
        <f t="shared" si="31"/>
        <v>Sun</v>
      </c>
      <c r="S651">
        <f t="shared" si="32"/>
        <v>14</v>
      </c>
      <c r="T651" t="str" cm="1">
        <f t="array" ref="T651">_xlfn.IFS(S651&lt;=12,"Morning",S651&lt;=16,"Afternoon",S651&lt;=21,"Evening",S651&lt;=24,"Night")</f>
        <v>Afternoon</v>
      </c>
    </row>
    <row r="652" spans="1:20" x14ac:dyDescent="0.25">
      <c r="A652" s="23" t="s">
        <v>686</v>
      </c>
      <c r="B652" s="19">
        <v>75.66</v>
      </c>
      <c r="C652" s="20">
        <v>5</v>
      </c>
      <c r="D652" s="19">
        <v>18.914999999999999</v>
      </c>
      <c r="E652" s="19">
        <v>397.21499999999997</v>
      </c>
      <c r="F652" s="21">
        <v>43480</v>
      </c>
      <c r="G652" s="22">
        <v>27.630555555555599</v>
      </c>
      <c r="H652" s="23" t="s">
        <v>23</v>
      </c>
      <c r="I652" s="19">
        <v>378.3</v>
      </c>
      <c r="J652" s="24">
        <v>4.7619047620000003</v>
      </c>
      <c r="K652" s="25">
        <v>7.8</v>
      </c>
      <c r="L652" s="23" t="str">
        <f>VLOOKUP(A652,'Customer-details'!$A$1:$C$1001,2,FALSE)</f>
        <v>Normal</v>
      </c>
      <c r="M652" s="23" t="str">
        <f>VLOOKUP(A652,'Customer-details'!$A$1:$C$1001,3,FALSE)</f>
        <v>Male</v>
      </c>
      <c r="N652" s="23" t="str">
        <f>VLOOKUP(A652,'Product-details'!$A$1:$B$1001,2,FALSE)</f>
        <v>Electronic accessories</v>
      </c>
      <c r="O652" s="23" t="str">
        <f>VLOOKUP(A652,'City-details'!$A$1:$C$1001,3,FALSE)</f>
        <v>Mandalay</v>
      </c>
      <c r="P652" s="23" t="str">
        <f>VLOOKUP(A652,'City-details'!$A$1:$C$1001,2,FALSE)</f>
        <v>B</v>
      </c>
      <c r="Q652" s="23" t="str">
        <f t="shared" si="30"/>
        <v>Jan</v>
      </c>
      <c r="R652" s="26" t="str">
        <f t="shared" si="31"/>
        <v>Tue</v>
      </c>
      <c r="S652">
        <f t="shared" si="32"/>
        <v>15</v>
      </c>
      <c r="T652" t="str" cm="1">
        <f t="array" ref="T652">_xlfn.IFS(S652&lt;=12,"Morning",S652&lt;=16,"Afternoon",S652&lt;=21,"Evening",S652&lt;=24,"Night")</f>
        <v>Afternoon</v>
      </c>
    </row>
    <row r="653" spans="1:20" x14ac:dyDescent="0.25">
      <c r="A653" s="31" t="s">
        <v>687</v>
      </c>
      <c r="B653" s="27">
        <v>55.81</v>
      </c>
      <c r="C653" s="28">
        <v>6</v>
      </c>
      <c r="D653" s="27">
        <v>16.742999999999999</v>
      </c>
      <c r="E653" s="27">
        <v>351.60300000000001</v>
      </c>
      <c r="F653" s="29">
        <v>43487</v>
      </c>
      <c r="G653" s="30">
        <v>27.672222222222199</v>
      </c>
      <c r="H653" s="31" t="s">
        <v>29</v>
      </c>
      <c r="I653" s="27">
        <v>334.86</v>
      </c>
      <c r="J653" s="32">
        <v>4.7619047620000003</v>
      </c>
      <c r="K653" s="33">
        <v>9.9</v>
      </c>
      <c r="L653" s="31" t="str">
        <f>VLOOKUP(A653,'Customer-details'!$A$1:$C$1001,2,FALSE)</f>
        <v>Normal</v>
      </c>
      <c r="M653" s="31" t="str">
        <f>VLOOKUP(A653,'Customer-details'!$A$1:$C$1001,3,FALSE)</f>
        <v>Female</v>
      </c>
      <c r="N653" s="31" t="str">
        <f>VLOOKUP(A653,'Product-details'!$A$1:$B$1001,2,FALSE)</f>
        <v>Health and beauty</v>
      </c>
      <c r="O653" s="31" t="str">
        <f>VLOOKUP(A653,'City-details'!$A$1:$C$1001,3,FALSE)</f>
        <v>Mandalay</v>
      </c>
      <c r="P653" s="31" t="str">
        <f>VLOOKUP(A653,'City-details'!$A$1:$C$1001,2,FALSE)</f>
        <v>B</v>
      </c>
      <c r="Q653" s="31" t="str">
        <f t="shared" si="30"/>
        <v>Jan</v>
      </c>
      <c r="R653" s="34" t="str">
        <f t="shared" si="31"/>
        <v>Tue</v>
      </c>
      <c r="S653">
        <f t="shared" si="32"/>
        <v>16</v>
      </c>
      <c r="T653" t="str" cm="1">
        <f t="array" ref="T653">_xlfn.IFS(S653&lt;=12,"Morning",S653&lt;=16,"Afternoon",S653&lt;=21,"Evening",S653&lt;=24,"Night")</f>
        <v>Afternoon</v>
      </c>
    </row>
    <row r="654" spans="1:20" x14ac:dyDescent="0.25">
      <c r="A654" s="23" t="s">
        <v>688</v>
      </c>
      <c r="B654" s="19">
        <v>72.78</v>
      </c>
      <c r="C654" s="20">
        <v>10</v>
      </c>
      <c r="D654" s="19">
        <v>36.39</v>
      </c>
      <c r="E654" s="19">
        <v>764.19</v>
      </c>
      <c r="F654" s="21">
        <v>43499</v>
      </c>
      <c r="G654" s="22">
        <v>27.713888888888899</v>
      </c>
      <c r="H654" s="23" t="s">
        <v>29</v>
      </c>
      <c r="I654" s="19">
        <v>727.8</v>
      </c>
      <c r="J654" s="24">
        <v>4.7619047620000003</v>
      </c>
      <c r="K654" s="25">
        <v>7.3</v>
      </c>
      <c r="L654" s="23" t="str">
        <f>VLOOKUP(A654,'Customer-details'!$A$1:$C$1001,2,FALSE)</f>
        <v>Member</v>
      </c>
      <c r="M654" s="23" t="str">
        <f>VLOOKUP(A654,'Customer-details'!$A$1:$C$1001,3,FALSE)</f>
        <v>Male</v>
      </c>
      <c r="N654" s="23" t="str">
        <f>VLOOKUP(A654,'Product-details'!$A$1:$B$1001,2,FALSE)</f>
        <v>Home and lifestyle</v>
      </c>
      <c r="O654" s="23" t="str">
        <f>VLOOKUP(A654,'City-details'!$A$1:$C$1001,3,FALSE)</f>
        <v>Yangon</v>
      </c>
      <c r="P654" s="23" t="str">
        <f>VLOOKUP(A654,'City-details'!$A$1:$C$1001,2,FALSE)</f>
        <v>A</v>
      </c>
      <c r="Q654" s="23" t="str">
        <f t="shared" si="30"/>
        <v>Feb</v>
      </c>
      <c r="R654" s="26" t="str">
        <f t="shared" si="31"/>
        <v>Sun</v>
      </c>
      <c r="S654">
        <f t="shared" si="32"/>
        <v>17</v>
      </c>
      <c r="T654" t="str" cm="1">
        <f t="array" ref="T654">_xlfn.IFS(S654&lt;=12,"Morning",S654&lt;=16,"Afternoon",S654&lt;=21,"Evening",S654&lt;=24,"Night")</f>
        <v>Evening</v>
      </c>
    </row>
    <row r="655" spans="1:20" x14ac:dyDescent="0.25">
      <c r="A655" s="31" t="s">
        <v>689</v>
      </c>
      <c r="B655" s="27">
        <v>37.32</v>
      </c>
      <c r="C655" s="28">
        <v>9</v>
      </c>
      <c r="D655" s="27">
        <v>16.794</v>
      </c>
      <c r="E655" s="27">
        <v>352.67399999999998</v>
      </c>
      <c r="F655" s="29">
        <v>43530</v>
      </c>
      <c r="G655" s="30">
        <v>27.755555555555599</v>
      </c>
      <c r="H655" s="31" t="s">
        <v>23</v>
      </c>
      <c r="I655" s="27">
        <v>335.88</v>
      </c>
      <c r="J655" s="32">
        <v>4.7619047620000003</v>
      </c>
      <c r="K655" s="33">
        <v>5.0999999999999996</v>
      </c>
      <c r="L655" s="31" t="str">
        <f>VLOOKUP(A655,'Customer-details'!$A$1:$C$1001,2,FALSE)</f>
        <v>Member</v>
      </c>
      <c r="M655" s="31" t="str">
        <f>VLOOKUP(A655,'Customer-details'!$A$1:$C$1001,3,FALSE)</f>
        <v>Male</v>
      </c>
      <c r="N655" s="31" t="str">
        <f>VLOOKUP(A655,'Product-details'!$A$1:$B$1001,2,FALSE)</f>
        <v>Sports and travel</v>
      </c>
      <c r="O655" s="31" t="str">
        <f>VLOOKUP(A655,'City-details'!$A$1:$C$1001,3,FALSE)</f>
        <v>Mandalay</v>
      </c>
      <c r="P655" s="31" t="str">
        <f>VLOOKUP(A655,'City-details'!$A$1:$C$1001,2,FALSE)</f>
        <v>B</v>
      </c>
      <c r="Q655" s="31" t="str">
        <f t="shared" si="30"/>
        <v>Mar</v>
      </c>
      <c r="R655" s="34" t="str">
        <f t="shared" si="31"/>
        <v>Wed</v>
      </c>
      <c r="S655">
        <f t="shared" si="32"/>
        <v>18</v>
      </c>
      <c r="T655" t="str" cm="1">
        <f t="array" ref="T655">_xlfn.IFS(S655&lt;=12,"Morning",S655&lt;=16,"Afternoon",S655&lt;=21,"Evening",S655&lt;=24,"Night")</f>
        <v>Evening</v>
      </c>
    </row>
    <row r="656" spans="1:20" x14ac:dyDescent="0.25">
      <c r="A656" s="23" t="s">
        <v>690</v>
      </c>
      <c r="B656" s="19">
        <v>60.18</v>
      </c>
      <c r="C656" s="20">
        <v>4</v>
      </c>
      <c r="D656" s="19">
        <v>12.036</v>
      </c>
      <c r="E656" s="19">
        <v>252.756</v>
      </c>
      <c r="F656" s="21">
        <v>43512</v>
      </c>
      <c r="G656" s="22">
        <v>27.797222222222199</v>
      </c>
      <c r="H656" s="23" t="s">
        <v>33</v>
      </c>
      <c r="I656" s="19">
        <v>240.72</v>
      </c>
      <c r="J656" s="24">
        <v>4.7619047620000003</v>
      </c>
      <c r="K656" s="25">
        <v>9.4</v>
      </c>
      <c r="L656" s="23" t="str">
        <f>VLOOKUP(A656,'Customer-details'!$A$1:$C$1001,2,FALSE)</f>
        <v>Member</v>
      </c>
      <c r="M656" s="23" t="str">
        <f>VLOOKUP(A656,'Customer-details'!$A$1:$C$1001,3,FALSE)</f>
        <v>Male</v>
      </c>
      <c r="N656" s="23" t="str">
        <f>VLOOKUP(A656,'Product-details'!$A$1:$B$1001,2,FALSE)</f>
        <v>Fashion accessories</v>
      </c>
      <c r="O656" s="23" t="str">
        <f>VLOOKUP(A656,'City-details'!$A$1:$C$1001,3,FALSE)</f>
        <v>Mandalay</v>
      </c>
      <c r="P656" s="23" t="str">
        <f>VLOOKUP(A656,'City-details'!$A$1:$C$1001,2,FALSE)</f>
        <v>B</v>
      </c>
      <c r="Q656" s="23" t="str">
        <f t="shared" si="30"/>
        <v>Feb</v>
      </c>
      <c r="R656" s="26" t="str">
        <f t="shared" si="31"/>
        <v>Sat</v>
      </c>
      <c r="S656">
        <f t="shared" si="32"/>
        <v>19</v>
      </c>
      <c r="T656" t="str" cm="1">
        <f t="array" ref="T656">_xlfn.IFS(S656&lt;=12,"Morning",S656&lt;=16,"Afternoon",S656&lt;=21,"Evening",S656&lt;=24,"Night")</f>
        <v>Evening</v>
      </c>
    </row>
    <row r="657" spans="1:20" x14ac:dyDescent="0.25">
      <c r="A657" s="31" t="s">
        <v>691</v>
      </c>
      <c r="B657" s="27">
        <v>15.69</v>
      </c>
      <c r="C657" s="28">
        <v>3</v>
      </c>
      <c r="D657" s="27">
        <v>2.3534999999999999</v>
      </c>
      <c r="E657" s="27">
        <v>49.423499999999997</v>
      </c>
      <c r="F657" s="29">
        <v>43538</v>
      </c>
      <c r="G657" s="30">
        <v>27.838888888888899</v>
      </c>
      <c r="H657" s="31" t="s">
        <v>33</v>
      </c>
      <c r="I657" s="27">
        <v>47.07</v>
      </c>
      <c r="J657" s="32">
        <v>4.7619047620000003</v>
      </c>
      <c r="K657" s="33">
        <v>5.8</v>
      </c>
      <c r="L657" s="31" t="str">
        <f>VLOOKUP(A657,'Customer-details'!$A$1:$C$1001,2,FALSE)</f>
        <v>Normal</v>
      </c>
      <c r="M657" s="31" t="str">
        <f>VLOOKUP(A657,'Customer-details'!$A$1:$C$1001,3,FALSE)</f>
        <v>Female</v>
      </c>
      <c r="N657" s="31" t="str">
        <f>VLOOKUP(A657,'Product-details'!$A$1:$B$1001,2,FALSE)</f>
        <v>Electronic accessories</v>
      </c>
      <c r="O657" s="31" t="str">
        <f>VLOOKUP(A657,'City-details'!$A$1:$C$1001,3,FALSE)</f>
        <v>Yangon</v>
      </c>
      <c r="P657" s="31" t="str">
        <f>VLOOKUP(A657,'City-details'!$A$1:$C$1001,2,FALSE)</f>
        <v>A</v>
      </c>
      <c r="Q657" s="31" t="str">
        <f t="shared" si="30"/>
        <v>Mar</v>
      </c>
      <c r="R657" s="34" t="str">
        <f t="shared" si="31"/>
        <v>Thu</v>
      </c>
      <c r="S657">
        <f t="shared" si="32"/>
        <v>20</v>
      </c>
      <c r="T657" t="str" cm="1">
        <f t="array" ref="T657">_xlfn.IFS(S657&lt;=12,"Morning",S657&lt;=16,"Afternoon",S657&lt;=21,"Evening",S657&lt;=24,"Night")</f>
        <v>Evening</v>
      </c>
    </row>
    <row r="658" spans="1:20" x14ac:dyDescent="0.25">
      <c r="A658" s="23" t="s">
        <v>692</v>
      </c>
      <c r="B658" s="19">
        <v>99.69</v>
      </c>
      <c r="C658" s="20">
        <v>1</v>
      </c>
      <c r="D658" s="19">
        <v>4.9844999999999997</v>
      </c>
      <c r="E658" s="19">
        <v>104.67449999999999</v>
      </c>
      <c r="F658" s="21">
        <v>43523</v>
      </c>
      <c r="G658" s="22">
        <v>27.880555555555599</v>
      </c>
      <c r="H658" s="23" t="s">
        <v>33</v>
      </c>
      <c r="I658" s="19">
        <v>99.69</v>
      </c>
      <c r="J658" s="24">
        <v>4.7619047620000003</v>
      </c>
      <c r="K658" s="25">
        <v>8</v>
      </c>
      <c r="L658" s="23" t="str">
        <f>VLOOKUP(A658,'Customer-details'!$A$1:$C$1001,2,FALSE)</f>
        <v>Normal</v>
      </c>
      <c r="M658" s="23" t="str">
        <f>VLOOKUP(A658,'Customer-details'!$A$1:$C$1001,3,FALSE)</f>
        <v>Female</v>
      </c>
      <c r="N658" s="23" t="str">
        <f>VLOOKUP(A658,'Product-details'!$A$1:$B$1001,2,FALSE)</f>
        <v>Electronic accessories</v>
      </c>
      <c r="O658" s="23" t="str">
        <f>VLOOKUP(A658,'City-details'!$A$1:$C$1001,3,FALSE)</f>
        <v>Naypyitaw</v>
      </c>
      <c r="P658" s="23" t="str">
        <f>VLOOKUP(A658,'City-details'!$A$1:$C$1001,2,FALSE)</f>
        <v>C</v>
      </c>
      <c r="Q658" s="23" t="str">
        <f t="shared" si="30"/>
        <v>Feb</v>
      </c>
      <c r="R658" s="26" t="str">
        <f t="shared" si="31"/>
        <v>Wed</v>
      </c>
      <c r="S658">
        <f t="shared" si="32"/>
        <v>21</v>
      </c>
      <c r="T658" t="str" cm="1">
        <f t="array" ref="T658">_xlfn.IFS(S658&lt;=12,"Morning",S658&lt;=16,"Afternoon",S658&lt;=21,"Evening",S658&lt;=24,"Night")</f>
        <v>Evening</v>
      </c>
    </row>
    <row r="659" spans="1:20" x14ac:dyDescent="0.25">
      <c r="A659" s="31" t="s">
        <v>693</v>
      </c>
      <c r="B659" s="27">
        <v>88.15</v>
      </c>
      <c r="C659" s="28">
        <v>3</v>
      </c>
      <c r="D659" s="27">
        <v>13.2225</v>
      </c>
      <c r="E659" s="27">
        <v>277.67250000000001</v>
      </c>
      <c r="F659" s="29">
        <v>43483</v>
      </c>
      <c r="G659" s="30">
        <v>27.922222222222199</v>
      </c>
      <c r="H659" s="31" t="s">
        <v>23</v>
      </c>
      <c r="I659" s="27">
        <v>264.45</v>
      </c>
      <c r="J659" s="32">
        <v>4.7619047620000003</v>
      </c>
      <c r="K659" s="33">
        <v>7.9</v>
      </c>
      <c r="L659" s="31" t="str">
        <f>VLOOKUP(A659,'Customer-details'!$A$1:$C$1001,2,FALSE)</f>
        <v>Member</v>
      </c>
      <c r="M659" s="31" t="str">
        <f>VLOOKUP(A659,'Customer-details'!$A$1:$C$1001,3,FALSE)</f>
        <v>Female</v>
      </c>
      <c r="N659" s="31" t="str">
        <f>VLOOKUP(A659,'Product-details'!$A$1:$B$1001,2,FALSE)</f>
        <v>Fashion accessories</v>
      </c>
      <c r="O659" s="31" t="str">
        <f>VLOOKUP(A659,'City-details'!$A$1:$C$1001,3,FALSE)</f>
        <v>Yangon</v>
      </c>
      <c r="P659" s="31" t="str">
        <f>VLOOKUP(A659,'City-details'!$A$1:$C$1001,2,FALSE)</f>
        <v>A</v>
      </c>
      <c r="Q659" s="31" t="str">
        <f t="shared" si="30"/>
        <v>Jan</v>
      </c>
      <c r="R659" s="34" t="str">
        <f t="shared" si="31"/>
        <v>Fri</v>
      </c>
      <c r="S659">
        <f t="shared" si="32"/>
        <v>22</v>
      </c>
      <c r="T659" t="str" cm="1">
        <f t="array" ref="T659">_xlfn.IFS(S659&lt;=12,"Morning",S659&lt;=16,"Afternoon",S659&lt;=21,"Evening",S659&lt;=24,"Night")</f>
        <v>Night</v>
      </c>
    </row>
    <row r="660" spans="1:20" x14ac:dyDescent="0.25">
      <c r="A660" s="23" t="s">
        <v>694</v>
      </c>
      <c r="B660" s="19">
        <v>27.93</v>
      </c>
      <c r="C660" s="20">
        <v>5</v>
      </c>
      <c r="D660" s="19">
        <v>6.9824999999999999</v>
      </c>
      <c r="E660" s="19">
        <v>146.63249999999999</v>
      </c>
      <c r="F660" s="21">
        <v>43494</v>
      </c>
      <c r="G660" s="22">
        <v>27.963888888888899</v>
      </c>
      <c r="H660" s="23" t="s">
        <v>29</v>
      </c>
      <c r="I660" s="19">
        <v>139.65</v>
      </c>
      <c r="J660" s="24">
        <v>4.7619047620000003</v>
      </c>
      <c r="K660" s="25">
        <v>5.9</v>
      </c>
      <c r="L660" s="23" t="str">
        <f>VLOOKUP(A660,'Customer-details'!$A$1:$C$1001,2,FALSE)</f>
        <v>Member</v>
      </c>
      <c r="M660" s="23" t="str">
        <f>VLOOKUP(A660,'Customer-details'!$A$1:$C$1001,3,FALSE)</f>
        <v>Female</v>
      </c>
      <c r="N660" s="23" t="str">
        <f>VLOOKUP(A660,'Product-details'!$A$1:$B$1001,2,FALSE)</f>
        <v>Sports and travel</v>
      </c>
      <c r="O660" s="23" t="str">
        <f>VLOOKUP(A660,'City-details'!$A$1:$C$1001,3,FALSE)</f>
        <v>Yangon</v>
      </c>
      <c r="P660" s="23" t="str">
        <f>VLOOKUP(A660,'City-details'!$A$1:$C$1001,2,FALSE)</f>
        <v>A</v>
      </c>
      <c r="Q660" s="23" t="str">
        <f t="shared" si="30"/>
        <v>Jan</v>
      </c>
      <c r="R660" s="26" t="str">
        <f t="shared" si="31"/>
        <v>Tue</v>
      </c>
      <c r="S660">
        <f t="shared" si="32"/>
        <v>23</v>
      </c>
      <c r="T660" t="str" cm="1">
        <f t="array" ref="T660">_xlfn.IFS(S660&lt;=12,"Morning",S660&lt;=16,"Afternoon",S660&lt;=21,"Evening",S660&lt;=24,"Night")</f>
        <v>Night</v>
      </c>
    </row>
    <row r="661" spans="1:20" x14ac:dyDescent="0.25">
      <c r="A661" s="31" t="s">
        <v>695</v>
      </c>
      <c r="B661" s="27">
        <v>55.45</v>
      </c>
      <c r="C661" s="28">
        <v>1</v>
      </c>
      <c r="D661" s="27">
        <v>2.7725</v>
      </c>
      <c r="E661" s="27">
        <v>58.222499999999997</v>
      </c>
      <c r="F661" s="29">
        <v>43522</v>
      </c>
      <c r="G661" s="30">
        <v>28.005555555555599</v>
      </c>
      <c r="H661" s="31" t="s">
        <v>33</v>
      </c>
      <c r="I661" s="27">
        <v>55.45</v>
      </c>
      <c r="J661" s="32">
        <v>4.7619047620000003</v>
      </c>
      <c r="K661" s="33">
        <v>4.9000000000000004</v>
      </c>
      <c r="L661" s="31" t="str">
        <f>VLOOKUP(A661,'Customer-details'!$A$1:$C$1001,2,FALSE)</f>
        <v>Member</v>
      </c>
      <c r="M661" s="31" t="str">
        <f>VLOOKUP(A661,'Customer-details'!$A$1:$C$1001,3,FALSE)</f>
        <v>Male</v>
      </c>
      <c r="N661" s="31" t="str">
        <f>VLOOKUP(A661,'Product-details'!$A$1:$B$1001,2,FALSE)</f>
        <v>Fashion accessories</v>
      </c>
      <c r="O661" s="31" t="str">
        <f>VLOOKUP(A661,'City-details'!$A$1:$C$1001,3,FALSE)</f>
        <v>Yangon</v>
      </c>
      <c r="P661" s="31" t="str">
        <f>VLOOKUP(A661,'City-details'!$A$1:$C$1001,2,FALSE)</f>
        <v>A</v>
      </c>
      <c r="Q661" s="31" t="str">
        <f t="shared" si="30"/>
        <v>Feb</v>
      </c>
      <c r="R661" s="34" t="str">
        <f t="shared" si="31"/>
        <v>Tue</v>
      </c>
      <c r="S661">
        <f t="shared" si="32"/>
        <v>0</v>
      </c>
      <c r="T661" t="str" cm="1">
        <f t="array" ref="T661">_xlfn.IFS(S661&lt;=12,"Morning",S661&lt;=16,"Afternoon",S661&lt;=21,"Evening",S661&lt;=24,"Night")</f>
        <v>Morning</v>
      </c>
    </row>
    <row r="662" spans="1:20" x14ac:dyDescent="0.25">
      <c r="A662" s="23" t="s">
        <v>696</v>
      </c>
      <c r="B662" s="19">
        <v>42.97</v>
      </c>
      <c r="C662" s="20">
        <v>3</v>
      </c>
      <c r="D662" s="19">
        <v>6.4455</v>
      </c>
      <c r="E662" s="19">
        <v>135.35550000000001</v>
      </c>
      <c r="F662" s="21">
        <v>43499</v>
      </c>
      <c r="G662" s="22">
        <v>28.047222222222199</v>
      </c>
      <c r="H662" s="23" t="s">
        <v>29</v>
      </c>
      <c r="I662" s="19">
        <v>128.91</v>
      </c>
      <c r="J662" s="24">
        <v>4.7619047620000003</v>
      </c>
      <c r="K662" s="25">
        <v>9.3000000000000007</v>
      </c>
      <c r="L662" s="23" t="str">
        <f>VLOOKUP(A662,'Customer-details'!$A$1:$C$1001,2,FALSE)</f>
        <v>Normal</v>
      </c>
      <c r="M662" s="23" t="str">
        <f>VLOOKUP(A662,'Customer-details'!$A$1:$C$1001,3,FALSE)</f>
        <v>Female</v>
      </c>
      <c r="N662" s="23" t="str">
        <f>VLOOKUP(A662,'Product-details'!$A$1:$B$1001,2,FALSE)</f>
        <v>Sports and travel</v>
      </c>
      <c r="O662" s="23" t="str">
        <f>VLOOKUP(A662,'City-details'!$A$1:$C$1001,3,FALSE)</f>
        <v>Mandalay</v>
      </c>
      <c r="P662" s="23" t="str">
        <f>VLOOKUP(A662,'City-details'!$A$1:$C$1001,2,FALSE)</f>
        <v>B</v>
      </c>
      <c r="Q662" s="23" t="str">
        <f t="shared" si="30"/>
        <v>Feb</v>
      </c>
      <c r="R662" s="26" t="str">
        <f t="shared" si="31"/>
        <v>Sun</v>
      </c>
      <c r="S662">
        <f t="shared" si="32"/>
        <v>1</v>
      </c>
      <c r="T662" t="str" cm="1">
        <f t="array" ref="T662">_xlfn.IFS(S662&lt;=12,"Morning",S662&lt;=16,"Afternoon",S662&lt;=21,"Evening",S662&lt;=24,"Night")</f>
        <v>Morning</v>
      </c>
    </row>
    <row r="663" spans="1:20" x14ac:dyDescent="0.25">
      <c r="A663" s="31" t="s">
        <v>697</v>
      </c>
      <c r="B663" s="27">
        <v>17.14</v>
      </c>
      <c r="C663" s="28">
        <v>7</v>
      </c>
      <c r="D663" s="27">
        <v>5.9989999999999997</v>
      </c>
      <c r="E663" s="27">
        <v>125.979</v>
      </c>
      <c r="F663" s="29">
        <v>43481</v>
      </c>
      <c r="G663" s="30">
        <v>28.088888888888899</v>
      </c>
      <c r="H663" s="31" t="s">
        <v>33</v>
      </c>
      <c r="I663" s="27">
        <v>119.98</v>
      </c>
      <c r="J663" s="32">
        <v>4.7619047620000003</v>
      </c>
      <c r="K663" s="33">
        <v>7.9</v>
      </c>
      <c r="L663" s="31" t="str">
        <f>VLOOKUP(A663,'Customer-details'!$A$1:$C$1001,2,FALSE)</f>
        <v>Member</v>
      </c>
      <c r="M663" s="31" t="str">
        <f>VLOOKUP(A663,'Customer-details'!$A$1:$C$1001,3,FALSE)</f>
        <v>Male</v>
      </c>
      <c r="N663" s="31" t="str">
        <f>VLOOKUP(A663,'Product-details'!$A$1:$B$1001,2,FALSE)</f>
        <v>Sports and travel</v>
      </c>
      <c r="O663" s="31" t="str">
        <f>VLOOKUP(A663,'City-details'!$A$1:$C$1001,3,FALSE)</f>
        <v>Naypyitaw</v>
      </c>
      <c r="P663" s="31" t="str">
        <f>VLOOKUP(A663,'City-details'!$A$1:$C$1001,2,FALSE)</f>
        <v>C</v>
      </c>
      <c r="Q663" s="31" t="str">
        <f t="shared" si="30"/>
        <v>Jan</v>
      </c>
      <c r="R663" s="34" t="str">
        <f t="shared" si="31"/>
        <v>Wed</v>
      </c>
      <c r="S663">
        <f t="shared" si="32"/>
        <v>2</v>
      </c>
      <c r="T663" t="str" cm="1">
        <f t="array" ref="T663">_xlfn.IFS(S663&lt;=12,"Morning",S663&lt;=16,"Afternoon",S663&lt;=21,"Evening",S663&lt;=24,"Night")</f>
        <v>Morning</v>
      </c>
    </row>
    <row r="664" spans="1:20" x14ac:dyDescent="0.25">
      <c r="A664" s="23" t="s">
        <v>698</v>
      </c>
      <c r="B664" s="19">
        <v>58.75</v>
      </c>
      <c r="C664" s="20">
        <v>6</v>
      </c>
      <c r="D664" s="19">
        <v>17.625</v>
      </c>
      <c r="E664" s="19">
        <v>370.125</v>
      </c>
      <c r="F664" s="21">
        <v>43548</v>
      </c>
      <c r="G664" s="22">
        <v>28.130555555555599</v>
      </c>
      <c r="H664" s="23" t="s">
        <v>33</v>
      </c>
      <c r="I664" s="19">
        <v>352.5</v>
      </c>
      <c r="J664" s="24">
        <v>4.7619047620000003</v>
      </c>
      <c r="K664" s="25">
        <v>5.9</v>
      </c>
      <c r="L664" s="23" t="str">
        <f>VLOOKUP(A664,'Customer-details'!$A$1:$C$1001,2,FALSE)</f>
        <v>Member</v>
      </c>
      <c r="M664" s="23" t="str">
        <f>VLOOKUP(A664,'Customer-details'!$A$1:$C$1001,3,FALSE)</f>
        <v>Female</v>
      </c>
      <c r="N664" s="23" t="str">
        <f>VLOOKUP(A664,'Product-details'!$A$1:$B$1001,2,FALSE)</f>
        <v>Fashion accessories</v>
      </c>
      <c r="O664" s="23" t="str">
        <f>VLOOKUP(A664,'City-details'!$A$1:$C$1001,3,FALSE)</f>
        <v>Mandalay</v>
      </c>
      <c r="P664" s="23" t="str">
        <f>VLOOKUP(A664,'City-details'!$A$1:$C$1001,2,FALSE)</f>
        <v>B</v>
      </c>
      <c r="Q664" s="23" t="str">
        <f t="shared" si="30"/>
        <v>Mar</v>
      </c>
      <c r="R664" s="26" t="str">
        <f t="shared" si="31"/>
        <v>Sun</v>
      </c>
      <c r="S664">
        <f t="shared" si="32"/>
        <v>3</v>
      </c>
      <c r="T664" t="str" cm="1">
        <f t="array" ref="T664">_xlfn.IFS(S664&lt;=12,"Morning",S664&lt;=16,"Afternoon",S664&lt;=21,"Evening",S664&lt;=24,"Night")</f>
        <v>Morning</v>
      </c>
    </row>
    <row r="665" spans="1:20" x14ac:dyDescent="0.25">
      <c r="A665" s="31" t="s">
        <v>699</v>
      </c>
      <c r="B665" s="27">
        <v>87.1</v>
      </c>
      <c r="C665" s="28">
        <v>10</v>
      </c>
      <c r="D665" s="27">
        <v>43.55</v>
      </c>
      <c r="E665" s="27">
        <v>914.55</v>
      </c>
      <c r="F665" s="29">
        <v>43508</v>
      </c>
      <c r="G665" s="30">
        <v>28.172222222222199</v>
      </c>
      <c r="H665" s="31" t="s">
        <v>33</v>
      </c>
      <c r="I665" s="27">
        <v>871</v>
      </c>
      <c r="J665" s="32">
        <v>4.7619047620000003</v>
      </c>
      <c r="K665" s="33">
        <v>9.9</v>
      </c>
      <c r="L665" s="31" t="str">
        <f>VLOOKUP(A665,'Customer-details'!$A$1:$C$1001,2,FALSE)</f>
        <v>Member</v>
      </c>
      <c r="M665" s="31" t="str">
        <f>VLOOKUP(A665,'Customer-details'!$A$1:$C$1001,3,FALSE)</f>
        <v>Female</v>
      </c>
      <c r="N665" s="31" t="str">
        <f>VLOOKUP(A665,'Product-details'!$A$1:$B$1001,2,FALSE)</f>
        <v>Food and beverages</v>
      </c>
      <c r="O665" s="31" t="str">
        <f>VLOOKUP(A665,'City-details'!$A$1:$C$1001,3,FALSE)</f>
        <v>Naypyitaw</v>
      </c>
      <c r="P665" s="31" t="str">
        <f>VLOOKUP(A665,'City-details'!$A$1:$C$1001,2,FALSE)</f>
        <v>C</v>
      </c>
      <c r="Q665" s="31" t="str">
        <f t="shared" si="30"/>
        <v>Feb</v>
      </c>
      <c r="R665" s="34" t="str">
        <f t="shared" si="31"/>
        <v>Tue</v>
      </c>
      <c r="S665">
        <f t="shared" si="32"/>
        <v>4</v>
      </c>
      <c r="T665" t="str" cm="1">
        <f t="array" ref="T665">_xlfn.IFS(S665&lt;=12,"Morning",S665&lt;=16,"Afternoon",S665&lt;=21,"Evening",S665&lt;=24,"Night")</f>
        <v>Morning</v>
      </c>
    </row>
    <row r="666" spans="1:20" x14ac:dyDescent="0.25">
      <c r="A666" s="23" t="s">
        <v>700</v>
      </c>
      <c r="B666" s="19">
        <v>98.8</v>
      </c>
      <c r="C666" s="20">
        <v>2</v>
      </c>
      <c r="D666" s="19">
        <v>9.8800000000000008</v>
      </c>
      <c r="E666" s="19">
        <v>207.48</v>
      </c>
      <c r="F666" s="21">
        <v>43517</v>
      </c>
      <c r="G666" s="22">
        <v>28.213888888888899</v>
      </c>
      <c r="H666" s="23" t="s">
        <v>29</v>
      </c>
      <c r="I666" s="19">
        <v>197.6</v>
      </c>
      <c r="J666" s="24">
        <v>4.7619047620000003</v>
      </c>
      <c r="K666" s="25">
        <v>7.7</v>
      </c>
      <c r="L666" s="23" t="str">
        <f>VLOOKUP(A666,'Customer-details'!$A$1:$C$1001,2,FALSE)</f>
        <v>Normal</v>
      </c>
      <c r="M666" s="23" t="str">
        <f>VLOOKUP(A666,'Customer-details'!$A$1:$C$1001,3,FALSE)</f>
        <v>Female</v>
      </c>
      <c r="N666" s="23" t="str">
        <f>VLOOKUP(A666,'Product-details'!$A$1:$B$1001,2,FALSE)</f>
        <v>Sports and travel</v>
      </c>
      <c r="O666" s="23" t="str">
        <f>VLOOKUP(A666,'City-details'!$A$1:$C$1001,3,FALSE)</f>
        <v>Naypyitaw</v>
      </c>
      <c r="P666" s="23" t="str">
        <f>VLOOKUP(A666,'City-details'!$A$1:$C$1001,2,FALSE)</f>
        <v>C</v>
      </c>
      <c r="Q666" s="23" t="str">
        <f t="shared" si="30"/>
        <v>Feb</v>
      </c>
      <c r="R666" s="26" t="str">
        <f t="shared" si="31"/>
        <v>Thu</v>
      </c>
      <c r="S666">
        <f t="shared" si="32"/>
        <v>5</v>
      </c>
      <c r="T666" t="str" cm="1">
        <f t="array" ref="T666">_xlfn.IFS(S666&lt;=12,"Morning",S666&lt;=16,"Afternoon",S666&lt;=21,"Evening",S666&lt;=24,"Night")</f>
        <v>Morning</v>
      </c>
    </row>
    <row r="667" spans="1:20" x14ac:dyDescent="0.25">
      <c r="A667" s="31" t="s">
        <v>701</v>
      </c>
      <c r="B667" s="27">
        <v>48.63</v>
      </c>
      <c r="C667" s="28">
        <v>4</v>
      </c>
      <c r="D667" s="27">
        <v>9.7260000000000009</v>
      </c>
      <c r="E667" s="27">
        <v>204.24600000000001</v>
      </c>
      <c r="F667" s="29">
        <v>43500</v>
      </c>
      <c r="G667" s="30">
        <v>28.255555555555599</v>
      </c>
      <c r="H667" s="31" t="s">
        <v>23</v>
      </c>
      <c r="I667" s="27">
        <v>194.52</v>
      </c>
      <c r="J667" s="32">
        <v>4.7619047620000003</v>
      </c>
      <c r="K667" s="33">
        <v>7.6</v>
      </c>
      <c r="L667" s="31" t="str">
        <f>VLOOKUP(A667,'Customer-details'!$A$1:$C$1001,2,FALSE)</f>
        <v>Normal</v>
      </c>
      <c r="M667" s="31" t="str">
        <f>VLOOKUP(A667,'Customer-details'!$A$1:$C$1001,3,FALSE)</f>
        <v>Female</v>
      </c>
      <c r="N667" s="31" t="str">
        <f>VLOOKUP(A667,'Product-details'!$A$1:$B$1001,2,FALSE)</f>
        <v>Fashion accessories</v>
      </c>
      <c r="O667" s="31" t="str">
        <f>VLOOKUP(A667,'City-details'!$A$1:$C$1001,3,FALSE)</f>
        <v>Yangon</v>
      </c>
      <c r="P667" s="31" t="str">
        <f>VLOOKUP(A667,'City-details'!$A$1:$C$1001,2,FALSE)</f>
        <v>A</v>
      </c>
      <c r="Q667" s="31" t="str">
        <f t="shared" si="30"/>
        <v>Feb</v>
      </c>
      <c r="R667" s="34" t="str">
        <f t="shared" si="31"/>
        <v>Mon</v>
      </c>
      <c r="S667">
        <f t="shared" si="32"/>
        <v>6</v>
      </c>
      <c r="T667" t="str" cm="1">
        <f t="array" ref="T667">_xlfn.IFS(S667&lt;=12,"Morning",S667&lt;=16,"Afternoon",S667&lt;=21,"Evening",S667&lt;=24,"Night")</f>
        <v>Morning</v>
      </c>
    </row>
    <row r="668" spans="1:20" x14ac:dyDescent="0.25">
      <c r="A668" s="23" t="s">
        <v>702</v>
      </c>
      <c r="B668" s="19">
        <v>57.74</v>
      </c>
      <c r="C668" s="20">
        <v>3</v>
      </c>
      <c r="D668" s="19">
        <v>8.6609999999999996</v>
      </c>
      <c r="E668" s="19">
        <v>181.881</v>
      </c>
      <c r="F668" s="21">
        <v>43516</v>
      </c>
      <c r="G668" s="22">
        <v>28.297222222222199</v>
      </c>
      <c r="H668" s="23" t="s">
        <v>23</v>
      </c>
      <c r="I668" s="19">
        <v>173.22</v>
      </c>
      <c r="J668" s="24">
        <v>4.7619047620000003</v>
      </c>
      <c r="K668" s="25">
        <v>7.7</v>
      </c>
      <c r="L668" s="23" t="str">
        <f>VLOOKUP(A668,'Customer-details'!$A$1:$C$1001,2,FALSE)</f>
        <v>Member</v>
      </c>
      <c r="M668" s="23" t="str">
        <f>VLOOKUP(A668,'Customer-details'!$A$1:$C$1001,3,FALSE)</f>
        <v>Male</v>
      </c>
      <c r="N668" s="23" t="str">
        <f>VLOOKUP(A668,'Product-details'!$A$1:$B$1001,2,FALSE)</f>
        <v>Food and beverages</v>
      </c>
      <c r="O668" s="23" t="str">
        <f>VLOOKUP(A668,'City-details'!$A$1:$C$1001,3,FALSE)</f>
        <v>Mandalay</v>
      </c>
      <c r="P668" s="23" t="str">
        <f>VLOOKUP(A668,'City-details'!$A$1:$C$1001,2,FALSE)</f>
        <v>B</v>
      </c>
      <c r="Q668" s="23" t="str">
        <f t="shared" si="30"/>
        <v>Feb</v>
      </c>
      <c r="R668" s="26" t="str">
        <f t="shared" si="31"/>
        <v>Wed</v>
      </c>
      <c r="S668">
        <f t="shared" si="32"/>
        <v>7</v>
      </c>
      <c r="T668" t="str" cm="1">
        <f t="array" ref="T668">_xlfn.IFS(S668&lt;=12,"Morning",S668&lt;=16,"Afternoon",S668&lt;=21,"Evening",S668&lt;=24,"Night")</f>
        <v>Morning</v>
      </c>
    </row>
    <row r="669" spans="1:20" x14ac:dyDescent="0.25">
      <c r="A669" s="31" t="s">
        <v>703</v>
      </c>
      <c r="B669" s="27">
        <v>17.97</v>
      </c>
      <c r="C669" s="28">
        <v>4</v>
      </c>
      <c r="D669" s="27">
        <v>3.5939999999999999</v>
      </c>
      <c r="E669" s="27">
        <v>75.474000000000004</v>
      </c>
      <c r="F669" s="29">
        <v>43519</v>
      </c>
      <c r="G669" s="30">
        <v>28.338888888888899</v>
      </c>
      <c r="H669" s="31" t="s">
        <v>23</v>
      </c>
      <c r="I669" s="27">
        <v>71.88</v>
      </c>
      <c r="J669" s="32">
        <v>4.7619047620000003</v>
      </c>
      <c r="K669" s="33">
        <v>6.4</v>
      </c>
      <c r="L669" s="31" t="str">
        <f>VLOOKUP(A669,'Customer-details'!$A$1:$C$1001,2,FALSE)</f>
        <v>Normal</v>
      </c>
      <c r="M669" s="31" t="str">
        <f>VLOOKUP(A669,'Customer-details'!$A$1:$C$1001,3,FALSE)</f>
        <v>Female</v>
      </c>
      <c r="N669" s="31" t="str">
        <f>VLOOKUP(A669,'Product-details'!$A$1:$B$1001,2,FALSE)</f>
        <v>Health and beauty</v>
      </c>
      <c r="O669" s="31" t="str">
        <f>VLOOKUP(A669,'City-details'!$A$1:$C$1001,3,FALSE)</f>
        <v>Mandalay</v>
      </c>
      <c r="P669" s="31" t="str">
        <f>VLOOKUP(A669,'City-details'!$A$1:$C$1001,2,FALSE)</f>
        <v>B</v>
      </c>
      <c r="Q669" s="31" t="str">
        <f t="shared" si="30"/>
        <v>Feb</v>
      </c>
      <c r="R669" s="34" t="str">
        <f t="shared" si="31"/>
        <v>Sat</v>
      </c>
      <c r="S669">
        <f t="shared" si="32"/>
        <v>8</v>
      </c>
      <c r="T669" t="str" cm="1">
        <f t="array" ref="T669">_xlfn.IFS(S669&lt;=12,"Morning",S669&lt;=16,"Afternoon",S669&lt;=21,"Evening",S669&lt;=24,"Night")</f>
        <v>Morning</v>
      </c>
    </row>
    <row r="670" spans="1:20" x14ac:dyDescent="0.25">
      <c r="A670" s="23" t="s">
        <v>704</v>
      </c>
      <c r="B670" s="19">
        <v>47.71</v>
      </c>
      <c r="C670" s="20">
        <v>6</v>
      </c>
      <c r="D670" s="19">
        <v>14.313000000000001</v>
      </c>
      <c r="E670" s="19">
        <v>300.57299999999998</v>
      </c>
      <c r="F670" s="21">
        <v>43512</v>
      </c>
      <c r="G670" s="22">
        <v>28.380555555555599</v>
      </c>
      <c r="H670" s="23" t="s">
        <v>23</v>
      </c>
      <c r="I670" s="19">
        <v>286.26</v>
      </c>
      <c r="J670" s="24">
        <v>4.7619047620000003</v>
      </c>
      <c r="K670" s="25">
        <v>4.4000000000000004</v>
      </c>
      <c r="L670" s="23" t="str">
        <f>VLOOKUP(A670,'Customer-details'!$A$1:$C$1001,2,FALSE)</f>
        <v>Member</v>
      </c>
      <c r="M670" s="23" t="str">
        <f>VLOOKUP(A670,'Customer-details'!$A$1:$C$1001,3,FALSE)</f>
        <v>Female</v>
      </c>
      <c r="N670" s="23" t="str">
        <f>VLOOKUP(A670,'Product-details'!$A$1:$B$1001,2,FALSE)</f>
        <v>Health and beauty</v>
      </c>
      <c r="O670" s="23" t="str">
        <f>VLOOKUP(A670,'City-details'!$A$1:$C$1001,3,FALSE)</f>
        <v>Naypyitaw</v>
      </c>
      <c r="P670" s="23" t="str">
        <f>VLOOKUP(A670,'City-details'!$A$1:$C$1001,2,FALSE)</f>
        <v>C</v>
      </c>
      <c r="Q670" s="23" t="str">
        <f t="shared" si="30"/>
        <v>Feb</v>
      </c>
      <c r="R670" s="26" t="str">
        <f t="shared" si="31"/>
        <v>Sat</v>
      </c>
      <c r="S670">
        <f t="shared" si="32"/>
        <v>9</v>
      </c>
      <c r="T670" t="str" cm="1">
        <f t="array" ref="T670">_xlfn.IFS(S670&lt;=12,"Morning",S670&lt;=16,"Afternoon",S670&lt;=21,"Evening",S670&lt;=24,"Night")</f>
        <v>Morning</v>
      </c>
    </row>
    <row r="671" spans="1:20" x14ac:dyDescent="0.25">
      <c r="A671" s="31" t="s">
        <v>705</v>
      </c>
      <c r="B671" s="27">
        <v>40.619999999999997</v>
      </c>
      <c r="C671" s="28">
        <v>2</v>
      </c>
      <c r="D671" s="27">
        <v>4.0620000000000003</v>
      </c>
      <c r="E671" s="27">
        <v>85.302000000000007</v>
      </c>
      <c r="F671" s="29">
        <v>43482</v>
      </c>
      <c r="G671" s="30">
        <v>28.422222222222199</v>
      </c>
      <c r="H671" s="31" t="s">
        <v>33</v>
      </c>
      <c r="I671" s="27">
        <v>81.239999999999995</v>
      </c>
      <c r="J671" s="32">
        <v>4.7619047620000003</v>
      </c>
      <c r="K671" s="33">
        <v>4.0999999999999996</v>
      </c>
      <c r="L671" s="31" t="str">
        <f>VLOOKUP(A671,'Customer-details'!$A$1:$C$1001,2,FALSE)</f>
        <v>Normal</v>
      </c>
      <c r="M671" s="31" t="str">
        <f>VLOOKUP(A671,'Customer-details'!$A$1:$C$1001,3,FALSE)</f>
        <v>Female</v>
      </c>
      <c r="N671" s="31" t="str">
        <f>VLOOKUP(A671,'Product-details'!$A$1:$B$1001,2,FALSE)</f>
        <v>Sports and travel</v>
      </c>
      <c r="O671" s="31" t="str">
        <f>VLOOKUP(A671,'City-details'!$A$1:$C$1001,3,FALSE)</f>
        <v>Mandalay</v>
      </c>
      <c r="P671" s="31" t="str">
        <f>VLOOKUP(A671,'City-details'!$A$1:$C$1001,2,FALSE)</f>
        <v>B</v>
      </c>
      <c r="Q671" s="31" t="str">
        <f t="shared" si="30"/>
        <v>Jan</v>
      </c>
      <c r="R671" s="34" t="str">
        <f t="shared" si="31"/>
        <v>Thu</v>
      </c>
      <c r="S671">
        <f t="shared" si="32"/>
        <v>10</v>
      </c>
      <c r="T671" t="str" cm="1">
        <f t="array" ref="T671">_xlfn.IFS(S671&lt;=12,"Morning",S671&lt;=16,"Afternoon",S671&lt;=21,"Evening",S671&lt;=24,"Night")</f>
        <v>Morning</v>
      </c>
    </row>
    <row r="672" spans="1:20" x14ac:dyDescent="0.25">
      <c r="A672" s="23" t="s">
        <v>706</v>
      </c>
      <c r="B672" s="19">
        <v>56.04</v>
      </c>
      <c r="C672" s="20">
        <v>10</v>
      </c>
      <c r="D672" s="19">
        <v>28.02</v>
      </c>
      <c r="E672" s="19">
        <v>588.41999999999996</v>
      </c>
      <c r="F672" s="21">
        <v>43479</v>
      </c>
      <c r="G672" s="22">
        <v>28.463888888888899</v>
      </c>
      <c r="H672" s="23" t="s">
        <v>23</v>
      </c>
      <c r="I672" s="19">
        <v>560.4</v>
      </c>
      <c r="J672" s="24">
        <v>4.7619047620000003</v>
      </c>
      <c r="K672" s="25">
        <v>4.4000000000000004</v>
      </c>
      <c r="L672" s="23" t="str">
        <f>VLOOKUP(A672,'Customer-details'!$A$1:$C$1001,2,FALSE)</f>
        <v>Member</v>
      </c>
      <c r="M672" s="23" t="str">
        <f>VLOOKUP(A672,'Customer-details'!$A$1:$C$1001,3,FALSE)</f>
        <v>Male</v>
      </c>
      <c r="N672" s="23" t="str">
        <f>VLOOKUP(A672,'Product-details'!$A$1:$B$1001,2,FALSE)</f>
        <v>Fashion accessories</v>
      </c>
      <c r="O672" s="23" t="str">
        <f>VLOOKUP(A672,'City-details'!$A$1:$C$1001,3,FALSE)</f>
        <v>Yangon</v>
      </c>
      <c r="P672" s="23" t="str">
        <f>VLOOKUP(A672,'City-details'!$A$1:$C$1001,2,FALSE)</f>
        <v>A</v>
      </c>
      <c r="Q672" s="23" t="str">
        <f t="shared" si="30"/>
        <v>Jan</v>
      </c>
      <c r="R672" s="26" t="str">
        <f t="shared" si="31"/>
        <v>Mon</v>
      </c>
      <c r="S672">
        <f t="shared" si="32"/>
        <v>11</v>
      </c>
      <c r="T672" t="str" cm="1">
        <f t="array" ref="T672">_xlfn.IFS(S672&lt;=12,"Morning",S672&lt;=16,"Afternoon",S672&lt;=21,"Evening",S672&lt;=24,"Night")</f>
        <v>Morning</v>
      </c>
    </row>
    <row r="673" spans="1:20" x14ac:dyDescent="0.25">
      <c r="A673" s="31" t="s">
        <v>707</v>
      </c>
      <c r="B673" s="27">
        <v>93.4</v>
      </c>
      <c r="C673" s="28">
        <v>2</v>
      </c>
      <c r="D673" s="27">
        <v>9.34</v>
      </c>
      <c r="E673" s="27">
        <v>196.14</v>
      </c>
      <c r="F673" s="29">
        <v>43554</v>
      </c>
      <c r="G673" s="30">
        <v>28.505555555555599</v>
      </c>
      <c r="H673" s="31" t="s">
        <v>29</v>
      </c>
      <c r="I673" s="27">
        <v>186.8</v>
      </c>
      <c r="J673" s="32">
        <v>4.7619047620000003</v>
      </c>
      <c r="K673" s="33">
        <v>5.5</v>
      </c>
      <c r="L673" s="31" t="str">
        <f>VLOOKUP(A673,'Customer-details'!$A$1:$C$1001,2,FALSE)</f>
        <v>Member</v>
      </c>
      <c r="M673" s="31" t="str">
        <f>VLOOKUP(A673,'Customer-details'!$A$1:$C$1001,3,FALSE)</f>
        <v>Male</v>
      </c>
      <c r="N673" s="31" t="str">
        <f>VLOOKUP(A673,'Product-details'!$A$1:$B$1001,2,FALSE)</f>
        <v>Food and beverages</v>
      </c>
      <c r="O673" s="31" t="str">
        <f>VLOOKUP(A673,'City-details'!$A$1:$C$1001,3,FALSE)</f>
        <v>Mandalay</v>
      </c>
      <c r="P673" s="31" t="str">
        <f>VLOOKUP(A673,'City-details'!$A$1:$C$1001,2,FALSE)</f>
        <v>B</v>
      </c>
      <c r="Q673" s="31" t="str">
        <f t="shared" si="30"/>
        <v>Mar</v>
      </c>
      <c r="R673" s="34" t="str">
        <f t="shared" si="31"/>
        <v>Sat</v>
      </c>
      <c r="S673">
        <f t="shared" si="32"/>
        <v>12</v>
      </c>
      <c r="T673" t="str" cm="1">
        <f t="array" ref="T673">_xlfn.IFS(S673&lt;=12,"Morning",S673&lt;=16,"Afternoon",S673&lt;=21,"Evening",S673&lt;=24,"Night")</f>
        <v>Morning</v>
      </c>
    </row>
    <row r="674" spans="1:20" x14ac:dyDescent="0.25">
      <c r="A674" s="23" t="s">
        <v>708</v>
      </c>
      <c r="B674" s="19">
        <v>73.41</v>
      </c>
      <c r="C674" s="20">
        <v>3</v>
      </c>
      <c r="D674" s="19">
        <v>11.0115</v>
      </c>
      <c r="E674" s="19">
        <v>231.2415</v>
      </c>
      <c r="F674" s="21">
        <v>43526</v>
      </c>
      <c r="G674" s="22">
        <v>28.547222222222199</v>
      </c>
      <c r="H674" s="23" t="s">
        <v>23</v>
      </c>
      <c r="I674" s="19">
        <v>220.23</v>
      </c>
      <c r="J674" s="24">
        <v>4.7619047620000003</v>
      </c>
      <c r="K674" s="25">
        <v>4</v>
      </c>
      <c r="L674" s="23" t="str">
        <f>VLOOKUP(A674,'Customer-details'!$A$1:$C$1001,2,FALSE)</f>
        <v>Normal</v>
      </c>
      <c r="M674" s="23" t="str">
        <f>VLOOKUP(A674,'Customer-details'!$A$1:$C$1001,3,FALSE)</f>
        <v>Female</v>
      </c>
      <c r="N674" s="23" t="str">
        <f>VLOOKUP(A674,'Product-details'!$A$1:$B$1001,2,FALSE)</f>
        <v>Health and beauty</v>
      </c>
      <c r="O674" s="23" t="str">
        <f>VLOOKUP(A674,'City-details'!$A$1:$C$1001,3,FALSE)</f>
        <v>Mandalay</v>
      </c>
      <c r="P674" s="23" t="str">
        <f>VLOOKUP(A674,'City-details'!$A$1:$C$1001,2,FALSE)</f>
        <v>B</v>
      </c>
      <c r="Q674" s="23" t="str">
        <f t="shared" si="30"/>
        <v>Mar</v>
      </c>
      <c r="R674" s="26" t="str">
        <f t="shared" si="31"/>
        <v>Sat</v>
      </c>
      <c r="S674">
        <f t="shared" si="32"/>
        <v>13</v>
      </c>
      <c r="T674" t="str" cm="1">
        <f t="array" ref="T674">_xlfn.IFS(S674&lt;=12,"Morning",S674&lt;=16,"Afternoon",S674&lt;=21,"Evening",S674&lt;=24,"Night")</f>
        <v>Afternoon</v>
      </c>
    </row>
    <row r="675" spans="1:20" x14ac:dyDescent="0.25">
      <c r="A675" s="31" t="s">
        <v>709</v>
      </c>
      <c r="B675" s="27">
        <v>33.64</v>
      </c>
      <c r="C675" s="28">
        <v>8</v>
      </c>
      <c r="D675" s="27">
        <v>13.456</v>
      </c>
      <c r="E675" s="27">
        <v>282.57600000000002</v>
      </c>
      <c r="F675" s="29">
        <v>43511</v>
      </c>
      <c r="G675" s="30">
        <v>28.588888888888899</v>
      </c>
      <c r="H675" s="31" t="s">
        <v>33</v>
      </c>
      <c r="I675" s="27">
        <v>269.12</v>
      </c>
      <c r="J675" s="32">
        <v>4.7619047620000003</v>
      </c>
      <c r="K675" s="33">
        <v>9.3000000000000007</v>
      </c>
      <c r="L675" s="31" t="str">
        <f>VLOOKUP(A675,'Customer-details'!$A$1:$C$1001,2,FALSE)</f>
        <v>Normal</v>
      </c>
      <c r="M675" s="31" t="str">
        <f>VLOOKUP(A675,'Customer-details'!$A$1:$C$1001,3,FALSE)</f>
        <v>Male</v>
      </c>
      <c r="N675" s="31" t="str">
        <f>VLOOKUP(A675,'Product-details'!$A$1:$B$1001,2,FALSE)</f>
        <v>Health and beauty</v>
      </c>
      <c r="O675" s="31" t="str">
        <f>VLOOKUP(A675,'City-details'!$A$1:$C$1001,3,FALSE)</f>
        <v>Naypyitaw</v>
      </c>
      <c r="P675" s="31" t="str">
        <f>VLOOKUP(A675,'City-details'!$A$1:$C$1001,2,FALSE)</f>
        <v>C</v>
      </c>
      <c r="Q675" s="31" t="str">
        <f t="shared" si="30"/>
        <v>Feb</v>
      </c>
      <c r="R675" s="34" t="str">
        <f t="shared" si="31"/>
        <v>Fri</v>
      </c>
      <c r="S675">
        <f t="shared" si="32"/>
        <v>14</v>
      </c>
      <c r="T675" t="str" cm="1">
        <f t="array" ref="T675">_xlfn.IFS(S675&lt;=12,"Morning",S675&lt;=16,"Afternoon",S675&lt;=21,"Evening",S675&lt;=24,"Night")</f>
        <v>Afternoon</v>
      </c>
    </row>
    <row r="676" spans="1:20" x14ac:dyDescent="0.25">
      <c r="A676" s="23" t="s">
        <v>710</v>
      </c>
      <c r="B676" s="19">
        <v>45.48</v>
      </c>
      <c r="C676" s="20">
        <v>10</v>
      </c>
      <c r="D676" s="19">
        <v>22.74</v>
      </c>
      <c r="E676" s="19">
        <v>477.54</v>
      </c>
      <c r="F676" s="21">
        <v>43525</v>
      </c>
      <c r="G676" s="22">
        <v>28.630555555555599</v>
      </c>
      <c r="H676" s="23" t="s">
        <v>33</v>
      </c>
      <c r="I676" s="19">
        <v>454.8</v>
      </c>
      <c r="J676" s="24">
        <v>4.7619047620000003</v>
      </c>
      <c r="K676" s="25">
        <v>4.8</v>
      </c>
      <c r="L676" s="23" t="str">
        <f>VLOOKUP(A676,'Customer-details'!$A$1:$C$1001,2,FALSE)</f>
        <v>Normal</v>
      </c>
      <c r="M676" s="23" t="str">
        <f>VLOOKUP(A676,'Customer-details'!$A$1:$C$1001,3,FALSE)</f>
        <v>Female</v>
      </c>
      <c r="N676" s="23" t="str">
        <f>VLOOKUP(A676,'Product-details'!$A$1:$B$1001,2,FALSE)</f>
        <v>Electronic accessories</v>
      </c>
      <c r="O676" s="23" t="str">
        <f>VLOOKUP(A676,'City-details'!$A$1:$C$1001,3,FALSE)</f>
        <v>Yangon</v>
      </c>
      <c r="P676" s="23" t="str">
        <f>VLOOKUP(A676,'City-details'!$A$1:$C$1001,2,FALSE)</f>
        <v>A</v>
      </c>
      <c r="Q676" s="23" t="str">
        <f t="shared" si="30"/>
        <v>Mar</v>
      </c>
      <c r="R676" s="26" t="str">
        <f t="shared" si="31"/>
        <v>Fri</v>
      </c>
      <c r="S676">
        <f t="shared" si="32"/>
        <v>15</v>
      </c>
      <c r="T676" t="str" cm="1">
        <f t="array" ref="T676">_xlfn.IFS(S676&lt;=12,"Morning",S676&lt;=16,"Afternoon",S676&lt;=21,"Evening",S676&lt;=24,"Night")</f>
        <v>Afternoon</v>
      </c>
    </row>
    <row r="677" spans="1:20" x14ac:dyDescent="0.25">
      <c r="A677" s="31" t="s">
        <v>711</v>
      </c>
      <c r="B677" s="27">
        <v>83.77</v>
      </c>
      <c r="C677" s="28">
        <v>2</v>
      </c>
      <c r="D677" s="27">
        <v>8.3770000000000007</v>
      </c>
      <c r="E677" s="27">
        <v>175.917</v>
      </c>
      <c r="F677" s="29">
        <v>43520</v>
      </c>
      <c r="G677" s="30">
        <v>28.672222222222199</v>
      </c>
      <c r="H677" s="31" t="s">
        <v>29</v>
      </c>
      <c r="I677" s="27">
        <v>167.54</v>
      </c>
      <c r="J677" s="32">
        <v>4.7619047620000003</v>
      </c>
      <c r="K677" s="33">
        <v>4.5999999999999996</v>
      </c>
      <c r="L677" s="31" t="str">
        <f>VLOOKUP(A677,'Customer-details'!$A$1:$C$1001,2,FALSE)</f>
        <v>Member</v>
      </c>
      <c r="M677" s="31" t="str">
        <f>VLOOKUP(A677,'Customer-details'!$A$1:$C$1001,3,FALSE)</f>
        <v>Male</v>
      </c>
      <c r="N677" s="31" t="str">
        <f>VLOOKUP(A677,'Product-details'!$A$1:$B$1001,2,FALSE)</f>
        <v>Fashion accessories</v>
      </c>
      <c r="O677" s="31" t="str">
        <f>VLOOKUP(A677,'City-details'!$A$1:$C$1001,3,FALSE)</f>
        <v>Mandalay</v>
      </c>
      <c r="P677" s="31" t="str">
        <f>VLOOKUP(A677,'City-details'!$A$1:$C$1001,2,FALSE)</f>
        <v>B</v>
      </c>
      <c r="Q677" s="31" t="str">
        <f t="shared" si="30"/>
        <v>Feb</v>
      </c>
      <c r="R677" s="34" t="str">
        <f t="shared" si="31"/>
        <v>Sun</v>
      </c>
      <c r="S677">
        <f t="shared" si="32"/>
        <v>16</v>
      </c>
      <c r="T677" t="str" cm="1">
        <f t="array" ref="T677">_xlfn.IFS(S677&lt;=12,"Morning",S677&lt;=16,"Afternoon",S677&lt;=21,"Evening",S677&lt;=24,"Night")</f>
        <v>Afternoon</v>
      </c>
    </row>
    <row r="678" spans="1:20" x14ac:dyDescent="0.25">
      <c r="A678" s="23" t="s">
        <v>712</v>
      </c>
      <c r="B678" s="19">
        <v>64.08</v>
      </c>
      <c r="C678" s="20">
        <v>7</v>
      </c>
      <c r="D678" s="19">
        <v>22.428000000000001</v>
      </c>
      <c r="E678" s="19">
        <v>470.988</v>
      </c>
      <c r="F678" s="21">
        <v>43515</v>
      </c>
      <c r="G678" s="22">
        <v>28.713888888888899</v>
      </c>
      <c r="H678" s="23" t="s">
        <v>33</v>
      </c>
      <c r="I678" s="19">
        <v>448.56</v>
      </c>
      <c r="J678" s="24">
        <v>4.7619047620000003</v>
      </c>
      <c r="K678" s="25">
        <v>7.3</v>
      </c>
      <c r="L678" s="23" t="str">
        <f>VLOOKUP(A678,'Customer-details'!$A$1:$C$1001,2,FALSE)</f>
        <v>Member</v>
      </c>
      <c r="M678" s="23" t="str">
        <f>VLOOKUP(A678,'Customer-details'!$A$1:$C$1001,3,FALSE)</f>
        <v>Female</v>
      </c>
      <c r="N678" s="23" t="str">
        <f>VLOOKUP(A678,'Product-details'!$A$1:$B$1001,2,FALSE)</f>
        <v>Sports and travel</v>
      </c>
      <c r="O678" s="23" t="str">
        <f>VLOOKUP(A678,'City-details'!$A$1:$C$1001,3,FALSE)</f>
        <v>Mandalay</v>
      </c>
      <c r="P678" s="23" t="str">
        <f>VLOOKUP(A678,'City-details'!$A$1:$C$1001,2,FALSE)</f>
        <v>B</v>
      </c>
      <c r="Q678" s="23" t="str">
        <f t="shared" si="30"/>
        <v>Feb</v>
      </c>
      <c r="R678" s="26" t="str">
        <f t="shared" si="31"/>
        <v>Tue</v>
      </c>
      <c r="S678">
        <f t="shared" si="32"/>
        <v>17</v>
      </c>
      <c r="T678" t="str" cm="1">
        <f t="array" ref="T678">_xlfn.IFS(S678&lt;=12,"Morning",S678&lt;=16,"Afternoon",S678&lt;=21,"Evening",S678&lt;=24,"Night")</f>
        <v>Evening</v>
      </c>
    </row>
    <row r="679" spans="1:20" x14ac:dyDescent="0.25">
      <c r="A679" s="31" t="s">
        <v>713</v>
      </c>
      <c r="B679" s="27">
        <v>73.47</v>
      </c>
      <c r="C679" s="28">
        <v>4</v>
      </c>
      <c r="D679" s="27">
        <v>14.694000000000001</v>
      </c>
      <c r="E679" s="27">
        <v>308.57400000000001</v>
      </c>
      <c r="F679" s="29">
        <v>43519</v>
      </c>
      <c r="G679" s="30">
        <v>28.755555555555599</v>
      </c>
      <c r="H679" s="31" t="s">
        <v>29</v>
      </c>
      <c r="I679" s="27">
        <v>293.88</v>
      </c>
      <c r="J679" s="32">
        <v>4.7619047620000003</v>
      </c>
      <c r="K679" s="33">
        <v>6</v>
      </c>
      <c r="L679" s="31" t="str">
        <f>VLOOKUP(A679,'Customer-details'!$A$1:$C$1001,2,FALSE)</f>
        <v>Member</v>
      </c>
      <c r="M679" s="31" t="str">
        <f>VLOOKUP(A679,'Customer-details'!$A$1:$C$1001,3,FALSE)</f>
        <v>Female</v>
      </c>
      <c r="N679" s="31" t="str">
        <f>VLOOKUP(A679,'Product-details'!$A$1:$B$1001,2,FALSE)</f>
        <v>Food and beverages</v>
      </c>
      <c r="O679" s="31" t="str">
        <f>VLOOKUP(A679,'City-details'!$A$1:$C$1001,3,FALSE)</f>
        <v>Yangon</v>
      </c>
      <c r="P679" s="31" t="str">
        <f>VLOOKUP(A679,'City-details'!$A$1:$C$1001,2,FALSE)</f>
        <v>A</v>
      </c>
      <c r="Q679" s="31" t="str">
        <f t="shared" si="30"/>
        <v>Feb</v>
      </c>
      <c r="R679" s="34" t="str">
        <f t="shared" si="31"/>
        <v>Sat</v>
      </c>
      <c r="S679">
        <f t="shared" si="32"/>
        <v>18</v>
      </c>
      <c r="T679" t="str" cm="1">
        <f t="array" ref="T679">_xlfn.IFS(S679&lt;=12,"Morning",S679&lt;=16,"Afternoon",S679&lt;=21,"Evening",S679&lt;=24,"Night")</f>
        <v>Evening</v>
      </c>
    </row>
    <row r="680" spans="1:20" x14ac:dyDescent="0.25">
      <c r="A680" s="23" t="s">
        <v>714</v>
      </c>
      <c r="B680" s="19">
        <v>58.95</v>
      </c>
      <c r="C680" s="20">
        <v>10</v>
      </c>
      <c r="D680" s="19">
        <v>29.475000000000001</v>
      </c>
      <c r="E680" s="19">
        <v>618.97500000000002</v>
      </c>
      <c r="F680" s="21">
        <v>43503</v>
      </c>
      <c r="G680" s="22">
        <v>28.797222222222199</v>
      </c>
      <c r="H680" s="23" t="s">
        <v>23</v>
      </c>
      <c r="I680" s="19">
        <v>589.5</v>
      </c>
      <c r="J680" s="24">
        <v>4.7619047620000003</v>
      </c>
      <c r="K680" s="25">
        <v>8.1</v>
      </c>
      <c r="L680" s="23" t="str">
        <f>VLOOKUP(A680,'Customer-details'!$A$1:$C$1001,2,FALSE)</f>
        <v>Normal</v>
      </c>
      <c r="M680" s="23" t="str">
        <f>VLOOKUP(A680,'Customer-details'!$A$1:$C$1001,3,FALSE)</f>
        <v>Male</v>
      </c>
      <c r="N680" s="23" t="str">
        <f>VLOOKUP(A680,'Product-details'!$A$1:$B$1001,2,FALSE)</f>
        <v>Health and beauty</v>
      </c>
      <c r="O680" s="23" t="str">
        <f>VLOOKUP(A680,'City-details'!$A$1:$C$1001,3,FALSE)</f>
        <v>Naypyitaw</v>
      </c>
      <c r="P680" s="23" t="str">
        <f>VLOOKUP(A680,'City-details'!$A$1:$C$1001,2,FALSE)</f>
        <v>C</v>
      </c>
      <c r="Q680" s="23" t="str">
        <f t="shared" si="30"/>
        <v>Feb</v>
      </c>
      <c r="R680" s="26" t="str">
        <f t="shared" si="31"/>
        <v>Thu</v>
      </c>
      <c r="S680">
        <f t="shared" si="32"/>
        <v>19</v>
      </c>
      <c r="T680" t="str" cm="1">
        <f t="array" ref="T680">_xlfn.IFS(S680&lt;=12,"Morning",S680&lt;=16,"Afternoon",S680&lt;=21,"Evening",S680&lt;=24,"Night")</f>
        <v>Evening</v>
      </c>
    </row>
    <row r="681" spans="1:20" x14ac:dyDescent="0.25">
      <c r="A681" s="31" t="s">
        <v>715</v>
      </c>
      <c r="B681" s="27">
        <v>48.5</v>
      </c>
      <c r="C681" s="28">
        <v>6</v>
      </c>
      <c r="D681" s="27">
        <v>14.55</v>
      </c>
      <c r="E681" s="27">
        <v>305.55</v>
      </c>
      <c r="F681" s="29">
        <v>43476</v>
      </c>
      <c r="G681" s="30">
        <v>28.838888888888899</v>
      </c>
      <c r="H681" s="31" t="s">
        <v>23</v>
      </c>
      <c r="I681" s="27">
        <v>291</v>
      </c>
      <c r="J681" s="32">
        <v>4.7619047620000003</v>
      </c>
      <c r="K681" s="33">
        <v>9.4</v>
      </c>
      <c r="L681" s="31" t="str">
        <f>VLOOKUP(A681,'Customer-details'!$A$1:$C$1001,2,FALSE)</f>
        <v>Member</v>
      </c>
      <c r="M681" s="31" t="str">
        <f>VLOOKUP(A681,'Customer-details'!$A$1:$C$1001,3,FALSE)</f>
        <v>Male</v>
      </c>
      <c r="N681" s="31" t="str">
        <f>VLOOKUP(A681,'Product-details'!$A$1:$B$1001,2,FALSE)</f>
        <v>Food and beverages</v>
      </c>
      <c r="O681" s="31" t="str">
        <f>VLOOKUP(A681,'City-details'!$A$1:$C$1001,3,FALSE)</f>
        <v>Yangon</v>
      </c>
      <c r="P681" s="31" t="str">
        <f>VLOOKUP(A681,'City-details'!$A$1:$C$1001,2,FALSE)</f>
        <v>A</v>
      </c>
      <c r="Q681" s="31" t="str">
        <f t="shared" si="30"/>
        <v>Jan</v>
      </c>
      <c r="R681" s="34" t="str">
        <f t="shared" si="31"/>
        <v>Fri</v>
      </c>
      <c r="S681">
        <f t="shared" si="32"/>
        <v>20</v>
      </c>
      <c r="T681" t="str" cm="1">
        <f t="array" ref="T681">_xlfn.IFS(S681&lt;=12,"Morning",S681&lt;=16,"Afternoon",S681&lt;=21,"Evening",S681&lt;=24,"Night")</f>
        <v>Evening</v>
      </c>
    </row>
    <row r="682" spans="1:20" x14ac:dyDescent="0.25">
      <c r="A682" s="23" t="s">
        <v>716</v>
      </c>
      <c r="B682" s="19">
        <v>39.479999999999997</v>
      </c>
      <c r="C682" s="20">
        <v>1</v>
      </c>
      <c r="D682" s="19">
        <v>1.974</v>
      </c>
      <c r="E682" s="19">
        <v>41.454000000000001</v>
      </c>
      <c r="F682" s="21">
        <v>43508</v>
      </c>
      <c r="G682" s="22">
        <v>28.880555555555599</v>
      </c>
      <c r="H682" s="23" t="s">
        <v>29</v>
      </c>
      <c r="I682" s="19">
        <v>39.479999999999997</v>
      </c>
      <c r="J682" s="24">
        <v>4.7619047620000003</v>
      </c>
      <c r="K682" s="25">
        <v>6.5</v>
      </c>
      <c r="L682" s="23" t="str">
        <f>VLOOKUP(A682,'Customer-details'!$A$1:$C$1001,2,FALSE)</f>
        <v>Member</v>
      </c>
      <c r="M682" s="23" t="str">
        <f>VLOOKUP(A682,'Customer-details'!$A$1:$C$1001,3,FALSE)</f>
        <v>Female</v>
      </c>
      <c r="N682" s="23" t="str">
        <f>VLOOKUP(A682,'Product-details'!$A$1:$B$1001,2,FALSE)</f>
        <v>Electronic accessories</v>
      </c>
      <c r="O682" s="23" t="str">
        <f>VLOOKUP(A682,'City-details'!$A$1:$C$1001,3,FALSE)</f>
        <v>Mandalay</v>
      </c>
      <c r="P682" s="23" t="str">
        <f>VLOOKUP(A682,'City-details'!$A$1:$C$1001,2,FALSE)</f>
        <v>B</v>
      </c>
      <c r="Q682" s="23" t="str">
        <f t="shared" si="30"/>
        <v>Feb</v>
      </c>
      <c r="R682" s="26" t="str">
        <f t="shared" si="31"/>
        <v>Tue</v>
      </c>
      <c r="S682">
        <f t="shared" si="32"/>
        <v>21</v>
      </c>
      <c r="T682" t="str" cm="1">
        <f t="array" ref="T682">_xlfn.IFS(S682&lt;=12,"Morning",S682&lt;=16,"Afternoon",S682&lt;=21,"Evening",S682&lt;=24,"Night")</f>
        <v>Evening</v>
      </c>
    </row>
    <row r="683" spans="1:20" x14ac:dyDescent="0.25">
      <c r="A683" s="31" t="s">
        <v>717</v>
      </c>
      <c r="B683" s="27">
        <v>34.81</v>
      </c>
      <c r="C683" s="28">
        <v>1</v>
      </c>
      <c r="D683" s="27">
        <v>1.7404999999999999</v>
      </c>
      <c r="E683" s="27">
        <v>36.5505</v>
      </c>
      <c r="F683" s="29">
        <v>43479</v>
      </c>
      <c r="G683" s="30">
        <v>28.922222222222199</v>
      </c>
      <c r="H683" s="31" t="s">
        <v>33</v>
      </c>
      <c r="I683" s="27">
        <v>34.81</v>
      </c>
      <c r="J683" s="32">
        <v>4.7619047620000003</v>
      </c>
      <c r="K683" s="33">
        <v>7</v>
      </c>
      <c r="L683" s="31" t="str">
        <f>VLOOKUP(A683,'Customer-details'!$A$1:$C$1001,2,FALSE)</f>
        <v>Normal</v>
      </c>
      <c r="M683" s="31" t="str">
        <f>VLOOKUP(A683,'Customer-details'!$A$1:$C$1001,3,FALSE)</f>
        <v>Female</v>
      </c>
      <c r="N683" s="31" t="str">
        <f>VLOOKUP(A683,'Product-details'!$A$1:$B$1001,2,FALSE)</f>
        <v>Sports and travel</v>
      </c>
      <c r="O683" s="31" t="str">
        <f>VLOOKUP(A683,'City-details'!$A$1:$C$1001,3,FALSE)</f>
        <v>Mandalay</v>
      </c>
      <c r="P683" s="31" t="str">
        <f>VLOOKUP(A683,'City-details'!$A$1:$C$1001,2,FALSE)</f>
        <v>B</v>
      </c>
      <c r="Q683" s="31" t="str">
        <f t="shared" si="30"/>
        <v>Jan</v>
      </c>
      <c r="R683" s="34" t="str">
        <f t="shared" si="31"/>
        <v>Mon</v>
      </c>
      <c r="S683">
        <f t="shared" si="32"/>
        <v>22</v>
      </c>
      <c r="T683" t="str" cm="1">
        <f t="array" ref="T683">_xlfn.IFS(S683&lt;=12,"Morning",S683&lt;=16,"Afternoon",S683&lt;=21,"Evening",S683&lt;=24,"Night")</f>
        <v>Night</v>
      </c>
    </row>
    <row r="684" spans="1:20" x14ac:dyDescent="0.25">
      <c r="A684" s="23" t="s">
        <v>718</v>
      </c>
      <c r="B684" s="19">
        <v>49.32</v>
      </c>
      <c r="C684" s="20">
        <v>6</v>
      </c>
      <c r="D684" s="19">
        <v>14.795999999999999</v>
      </c>
      <c r="E684" s="19">
        <v>310.71600000000001</v>
      </c>
      <c r="F684" s="21">
        <v>43474</v>
      </c>
      <c r="G684" s="22">
        <v>28.963888888888899</v>
      </c>
      <c r="H684" s="23" t="s">
        <v>23</v>
      </c>
      <c r="I684" s="19">
        <v>295.92</v>
      </c>
      <c r="J684" s="24">
        <v>4.7619047620000003</v>
      </c>
      <c r="K684" s="25">
        <v>7.1</v>
      </c>
      <c r="L684" s="23" t="str">
        <f>VLOOKUP(A684,'Customer-details'!$A$1:$C$1001,2,FALSE)</f>
        <v>Normal</v>
      </c>
      <c r="M684" s="23" t="str">
        <f>VLOOKUP(A684,'Customer-details'!$A$1:$C$1001,3,FALSE)</f>
        <v>Female</v>
      </c>
      <c r="N684" s="23" t="str">
        <f>VLOOKUP(A684,'Product-details'!$A$1:$B$1001,2,FALSE)</f>
        <v>Fashion accessories</v>
      </c>
      <c r="O684" s="23" t="str">
        <f>VLOOKUP(A684,'City-details'!$A$1:$C$1001,3,FALSE)</f>
        <v>Naypyitaw</v>
      </c>
      <c r="P684" s="23" t="str">
        <f>VLOOKUP(A684,'City-details'!$A$1:$C$1001,2,FALSE)</f>
        <v>C</v>
      </c>
      <c r="Q684" s="23" t="str">
        <f t="shared" si="30"/>
        <v>Jan</v>
      </c>
      <c r="R684" s="26" t="str">
        <f t="shared" si="31"/>
        <v>Wed</v>
      </c>
      <c r="S684">
        <f t="shared" si="32"/>
        <v>23</v>
      </c>
      <c r="T684" t="str" cm="1">
        <f t="array" ref="T684">_xlfn.IFS(S684&lt;=12,"Morning",S684&lt;=16,"Afternoon",S684&lt;=21,"Evening",S684&lt;=24,"Night")</f>
        <v>Night</v>
      </c>
    </row>
    <row r="685" spans="1:20" x14ac:dyDescent="0.25">
      <c r="A685" s="31" t="s">
        <v>719</v>
      </c>
      <c r="B685" s="27">
        <v>21.48</v>
      </c>
      <c r="C685" s="28">
        <v>2</v>
      </c>
      <c r="D685" s="27">
        <v>2.1480000000000001</v>
      </c>
      <c r="E685" s="27">
        <v>45.107999999999997</v>
      </c>
      <c r="F685" s="29">
        <v>43523</v>
      </c>
      <c r="G685" s="30">
        <v>29.005555555555599</v>
      </c>
      <c r="H685" s="31" t="s">
        <v>23</v>
      </c>
      <c r="I685" s="27">
        <v>42.96</v>
      </c>
      <c r="J685" s="32">
        <v>4.7619047620000003</v>
      </c>
      <c r="K685" s="33">
        <v>6.6</v>
      </c>
      <c r="L685" s="31" t="str">
        <f>VLOOKUP(A685,'Customer-details'!$A$1:$C$1001,2,FALSE)</f>
        <v>Member</v>
      </c>
      <c r="M685" s="31" t="str">
        <f>VLOOKUP(A685,'Customer-details'!$A$1:$C$1001,3,FALSE)</f>
        <v>Male</v>
      </c>
      <c r="N685" s="31" t="str">
        <f>VLOOKUP(A685,'Product-details'!$A$1:$B$1001,2,FALSE)</f>
        <v>Fashion accessories</v>
      </c>
      <c r="O685" s="31" t="str">
        <f>VLOOKUP(A685,'City-details'!$A$1:$C$1001,3,FALSE)</f>
        <v>Yangon</v>
      </c>
      <c r="P685" s="31" t="str">
        <f>VLOOKUP(A685,'City-details'!$A$1:$C$1001,2,FALSE)</f>
        <v>A</v>
      </c>
      <c r="Q685" s="31" t="str">
        <f t="shared" si="30"/>
        <v>Feb</v>
      </c>
      <c r="R685" s="34" t="str">
        <f t="shared" si="31"/>
        <v>Wed</v>
      </c>
      <c r="S685">
        <f t="shared" si="32"/>
        <v>0</v>
      </c>
      <c r="T685" t="str" cm="1">
        <f t="array" ref="T685">_xlfn.IFS(S685&lt;=12,"Morning",S685&lt;=16,"Afternoon",S685&lt;=21,"Evening",S685&lt;=24,"Night")</f>
        <v>Morning</v>
      </c>
    </row>
    <row r="686" spans="1:20" x14ac:dyDescent="0.25">
      <c r="A686" s="23" t="s">
        <v>720</v>
      </c>
      <c r="B686" s="19">
        <v>23.08</v>
      </c>
      <c r="C686" s="20">
        <v>6</v>
      </c>
      <c r="D686" s="19">
        <v>6.9240000000000004</v>
      </c>
      <c r="E686" s="19">
        <v>145.404</v>
      </c>
      <c r="F686" s="21">
        <v>43489</v>
      </c>
      <c r="G686" s="22">
        <v>29.047222222222199</v>
      </c>
      <c r="H686" s="23" t="s">
        <v>23</v>
      </c>
      <c r="I686" s="19">
        <v>138.47999999999999</v>
      </c>
      <c r="J686" s="24">
        <v>4.7619047620000003</v>
      </c>
      <c r="K686" s="25">
        <v>4.9000000000000004</v>
      </c>
      <c r="L686" s="23" t="str">
        <f>VLOOKUP(A686,'Customer-details'!$A$1:$C$1001,2,FALSE)</f>
        <v>Member</v>
      </c>
      <c r="M686" s="23" t="str">
        <f>VLOOKUP(A686,'Customer-details'!$A$1:$C$1001,3,FALSE)</f>
        <v>Female</v>
      </c>
      <c r="N686" s="23" t="str">
        <f>VLOOKUP(A686,'Product-details'!$A$1:$B$1001,2,FALSE)</f>
        <v>Sports and travel</v>
      </c>
      <c r="O686" s="23" t="str">
        <f>VLOOKUP(A686,'City-details'!$A$1:$C$1001,3,FALSE)</f>
        <v>Mandalay</v>
      </c>
      <c r="P686" s="23" t="str">
        <f>VLOOKUP(A686,'City-details'!$A$1:$C$1001,2,FALSE)</f>
        <v>B</v>
      </c>
      <c r="Q686" s="23" t="str">
        <f t="shared" si="30"/>
        <v>Jan</v>
      </c>
      <c r="R686" s="26" t="str">
        <f t="shared" si="31"/>
        <v>Thu</v>
      </c>
      <c r="S686">
        <f t="shared" si="32"/>
        <v>1</v>
      </c>
      <c r="T686" t="str" cm="1">
        <f t="array" ref="T686">_xlfn.IFS(S686&lt;=12,"Morning",S686&lt;=16,"Afternoon",S686&lt;=21,"Evening",S686&lt;=24,"Night")</f>
        <v>Morning</v>
      </c>
    </row>
    <row r="687" spans="1:20" x14ac:dyDescent="0.25">
      <c r="A687" s="31" t="s">
        <v>721</v>
      </c>
      <c r="B687" s="27">
        <v>49.1</v>
      </c>
      <c r="C687" s="28">
        <v>2</v>
      </c>
      <c r="D687" s="27">
        <v>4.91</v>
      </c>
      <c r="E687" s="27">
        <v>103.11</v>
      </c>
      <c r="F687" s="29">
        <v>43473</v>
      </c>
      <c r="G687" s="30">
        <v>29.088888888888899</v>
      </c>
      <c r="H687" s="31" t="s">
        <v>33</v>
      </c>
      <c r="I687" s="27">
        <v>98.2</v>
      </c>
      <c r="J687" s="32">
        <v>4.7619047620000003</v>
      </c>
      <c r="K687" s="33">
        <v>6.4</v>
      </c>
      <c r="L687" s="31" t="str">
        <f>VLOOKUP(A687,'Customer-details'!$A$1:$C$1001,2,FALSE)</f>
        <v>Member</v>
      </c>
      <c r="M687" s="31" t="str">
        <f>VLOOKUP(A687,'Customer-details'!$A$1:$C$1001,3,FALSE)</f>
        <v>Female</v>
      </c>
      <c r="N687" s="31" t="str">
        <f>VLOOKUP(A687,'Product-details'!$A$1:$B$1001,2,FALSE)</f>
        <v>Home and lifestyle</v>
      </c>
      <c r="O687" s="31" t="str">
        <f>VLOOKUP(A687,'City-details'!$A$1:$C$1001,3,FALSE)</f>
        <v>Mandalay</v>
      </c>
      <c r="P687" s="31" t="str">
        <f>VLOOKUP(A687,'City-details'!$A$1:$C$1001,2,FALSE)</f>
        <v>B</v>
      </c>
      <c r="Q687" s="31" t="str">
        <f t="shared" si="30"/>
        <v>Jan</v>
      </c>
      <c r="R687" s="34" t="str">
        <f t="shared" si="31"/>
        <v>Tue</v>
      </c>
      <c r="S687">
        <f t="shared" si="32"/>
        <v>2</v>
      </c>
      <c r="T687" t="str" cm="1">
        <f t="array" ref="T687">_xlfn.IFS(S687&lt;=12,"Morning",S687&lt;=16,"Afternoon",S687&lt;=21,"Evening",S687&lt;=24,"Night")</f>
        <v>Morning</v>
      </c>
    </row>
    <row r="688" spans="1:20" x14ac:dyDescent="0.25">
      <c r="A688" s="23" t="s">
        <v>722</v>
      </c>
      <c r="B688" s="19">
        <v>64.83</v>
      </c>
      <c r="C688" s="20">
        <v>2</v>
      </c>
      <c r="D688" s="19">
        <v>6.4829999999999997</v>
      </c>
      <c r="E688" s="19">
        <v>136.143</v>
      </c>
      <c r="F688" s="21">
        <v>43473</v>
      </c>
      <c r="G688" s="22">
        <v>29.130555555555599</v>
      </c>
      <c r="H688" s="23" t="s">
        <v>33</v>
      </c>
      <c r="I688" s="19">
        <v>129.66</v>
      </c>
      <c r="J688" s="24">
        <v>4.7619047620000003</v>
      </c>
      <c r="K688" s="25">
        <v>8</v>
      </c>
      <c r="L688" s="23" t="str">
        <f>VLOOKUP(A688,'Customer-details'!$A$1:$C$1001,2,FALSE)</f>
        <v>Member</v>
      </c>
      <c r="M688" s="23" t="str">
        <f>VLOOKUP(A688,'Customer-details'!$A$1:$C$1001,3,FALSE)</f>
        <v>Female</v>
      </c>
      <c r="N688" s="23" t="str">
        <f>VLOOKUP(A688,'Product-details'!$A$1:$B$1001,2,FALSE)</f>
        <v>Sports and travel</v>
      </c>
      <c r="O688" s="23" t="str">
        <f>VLOOKUP(A688,'City-details'!$A$1:$C$1001,3,FALSE)</f>
        <v>Mandalay</v>
      </c>
      <c r="P688" s="23" t="str">
        <f>VLOOKUP(A688,'City-details'!$A$1:$C$1001,2,FALSE)</f>
        <v>B</v>
      </c>
      <c r="Q688" s="23" t="str">
        <f t="shared" si="30"/>
        <v>Jan</v>
      </c>
      <c r="R688" s="26" t="str">
        <f t="shared" si="31"/>
        <v>Tue</v>
      </c>
      <c r="S688">
        <f t="shared" si="32"/>
        <v>3</v>
      </c>
      <c r="T688" t="str" cm="1">
        <f t="array" ref="T688">_xlfn.IFS(S688&lt;=12,"Morning",S688&lt;=16,"Afternoon",S688&lt;=21,"Evening",S688&lt;=24,"Night")</f>
        <v>Morning</v>
      </c>
    </row>
    <row r="689" spans="1:20" x14ac:dyDescent="0.25">
      <c r="A689" s="31" t="s">
        <v>723</v>
      </c>
      <c r="B689" s="27">
        <v>63.56</v>
      </c>
      <c r="C689" s="28">
        <v>10</v>
      </c>
      <c r="D689" s="27">
        <v>31.78</v>
      </c>
      <c r="E689" s="27">
        <v>667.38</v>
      </c>
      <c r="F689" s="29">
        <v>43481</v>
      </c>
      <c r="G689" s="30">
        <v>29.172222222222199</v>
      </c>
      <c r="H689" s="31" t="s">
        <v>29</v>
      </c>
      <c r="I689" s="27">
        <v>635.6</v>
      </c>
      <c r="J689" s="32">
        <v>4.7619047620000003</v>
      </c>
      <c r="K689" s="33">
        <v>4.3</v>
      </c>
      <c r="L689" s="31" t="str">
        <f>VLOOKUP(A689,'Customer-details'!$A$1:$C$1001,2,FALSE)</f>
        <v>Member</v>
      </c>
      <c r="M689" s="31" t="str">
        <f>VLOOKUP(A689,'Customer-details'!$A$1:$C$1001,3,FALSE)</f>
        <v>Male</v>
      </c>
      <c r="N689" s="31" t="str">
        <f>VLOOKUP(A689,'Product-details'!$A$1:$B$1001,2,FALSE)</f>
        <v>Home and lifestyle</v>
      </c>
      <c r="O689" s="31" t="str">
        <f>VLOOKUP(A689,'City-details'!$A$1:$C$1001,3,FALSE)</f>
        <v>Yangon</v>
      </c>
      <c r="P689" s="31" t="str">
        <f>VLOOKUP(A689,'City-details'!$A$1:$C$1001,2,FALSE)</f>
        <v>A</v>
      </c>
      <c r="Q689" s="31" t="str">
        <f t="shared" si="30"/>
        <v>Jan</v>
      </c>
      <c r="R689" s="34" t="str">
        <f t="shared" si="31"/>
        <v>Wed</v>
      </c>
      <c r="S689">
        <f t="shared" si="32"/>
        <v>4</v>
      </c>
      <c r="T689" t="str" cm="1">
        <f t="array" ref="T689">_xlfn.IFS(S689&lt;=12,"Morning",S689&lt;=16,"Afternoon",S689&lt;=21,"Evening",S689&lt;=24,"Night")</f>
        <v>Morning</v>
      </c>
    </row>
    <row r="690" spans="1:20" x14ac:dyDescent="0.25">
      <c r="A690" s="23" t="s">
        <v>724</v>
      </c>
      <c r="B690" s="19">
        <v>72.88</v>
      </c>
      <c r="C690" s="20">
        <v>2</v>
      </c>
      <c r="D690" s="19">
        <v>7.2880000000000003</v>
      </c>
      <c r="E690" s="19">
        <v>153.048</v>
      </c>
      <c r="F690" s="21">
        <v>43537</v>
      </c>
      <c r="G690" s="22">
        <v>29.213888888888899</v>
      </c>
      <c r="H690" s="23" t="s">
        <v>29</v>
      </c>
      <c r="I690" s="19">
        <v>145.76</v>
      </c>
      <c r="J690" s="24">
        <v>4.7619047620000003</v>
      </c>
      <c r="K690" s="25">
        <v>6.1</v>
      </c>
      <c r="L690" s="23" t="str">
        <f>VLOOKUP(A690,'Customer-details'!$A$1:$C$1001,2,FALSE)</f>
        <v>Member</v>
      </c>
      <c r="M690" s="23" t="str">
        <f>VLOOKUP(A690,'Customer-details'!$A$1:$C$1001,3,FALSE)</f>
        <v>Male</v>
      </c>
      <c r="N690" s="23" t="str">
        <f>VLOOKUP(A690,'Product-details'!$A$1:$B$1001,2,FALSE)</f>
        <v>Sports and travel</v>
      </c>
      <c r="O690" s="23" t="str">
        <f>VLOOKUP(A690,'City-details'!$A$1:$C$1001,3,FALSE)</f>
        <v>Naypyitaw</v>
      </c>
      <c r="P690" s="23" t="str">
        <f>VLOOKUP(A690,'City-details'!$A$1:$C$1001,2,FALSE)</f>
        <v>C</v>
      </c>
      <c r="Q690" s="23" t="str">
        <f t="shared" si="30"/>
        <v>Mar</v>
      </c>
      <c r="R690" s="26" t="str">
        <f t="shared" si="31"/>
        <v>Wed</v>
      </c>
      <c r="S690">
        <f t="shared" si="32"/>
        <v>5</v>
      </c>
      <c r="T690" t="str" cm="1">
        <f t="array" ref="T690">_xlfn.IFS(S690&lt;=12,"Morning",S690&lt;=16,"Afternoon",S690&lt;=21,"Evening",S690&lt;=24,"Night")</f>
        <v>Morning</v>
      </c>
    </row>
    <row r="691" spans="1:20" x14ac:dyDescent="0.25">
      <c r="A691" s="31" t="s">
        <v>725</v>
      </c>
      <c r="B691" s="27">
        <v>67.099999999999994</v>
      </c>
      <c r="C691" s="28">
        <v>3</v>
      </c>
      <c r="D691" s="27">
        <v>10.065</v>
      </c>
      <c r="E691" s="27">
        <v>211.36500000000001</v>
      </c>
      <c r="F691" s="29">
        <v>43511</v>
      </c>
      <c r="G691" s="30">
        <v>29.255555555555599</v>
      </c>
      <c r="H691" s="31" t="s">
        <v>29</v>
      </c>
      <c r="I691" s="27">
        <v>201.3</v>
      </c>
      <c r="J691" s="32">
        <v>4.7619047620000003</v>
      </c>
      <c r="K691" s="33">
        <v>7.5</v>
      </c>
      <c r="L691" s="31" t="str">
        <f>VLOOKUP(A691,'Customer-details'!$A$1:$C$1001,2,FALSE)</f>
        <v>Normal</v>
      </c>
      <c r="M691" s="31" t="str">
        <f>VLOOKUP(A691,'Customer-details'!$A$1:$C$1001,3,FALSE)</f>
        <v>Female</v>
      </c>
      <c r="N691" s="31" t="str">
        <f>VLOOKUP(A691,'Product-details'!$A$1:$B$1001,2,FALSE)</f>
        <v>Food and beverages</v>
      </c>
      <c r="O691" s="31" t="str">
        <f>VLOOKUP(A691,'City-details'!$A$1:$C$1001,3,FALSE)</f>
        <v>Yangon</v>
      </c>
      <c r="P691" s="31" t="str">
        <f>VLOOKUP(A691,'City-details'!$A$1:$C$1001,2,FALSE)</f>
        <v>A</v>
      </c>
      <c r="Q691" s="31" t="str">
        <f t="shared" si="30"/>
        <v>Feb</v>
      </c>
      <c r="R691" s="34" t="str">
        <f t="shared" si="31"/>
        <v>Fri</v>
      </c>
      <c r="S691">
        <f t="shared" si="32"/>
        <v>6</v>
      </c>
      <c r="T691" t="str" cm="1">
        <f t="array" ref="T691">_xlfn.IFS(S691&lt;=12,"Morning",S691&lt;=16,"Afternoon",S691&lt;=21,"Evening",S691&lt;=24,"Night")</f>
        <v>Morning</v>
      </c>
    </row>
    <row r="692" spans="1:20" x14ac:dyDescent="0.25">
      <c r="A692" s="23" t="s">
        <v>726</v>
      </c>
      <c r="B692" s="19">
        <v>70.19</v>
      </c>
      <c r="C692" s="20">
        <v>9</v>
      </c>
      <c r="D692" s="19">
        <v>31.5855</v>
      </c>
      <c r="E692" s="19">
        <v>663.29549999999995</v>
      </c>
      <c r="F692" s="21">
        <v>43490</v>
      </c>
      <c r="G692" s="22">
        <v>29.297222222222199</v>
      </c>
      <c r="H692" s="23" t="s">
        <v>29</v>
      </c>
      <c r="I692" s="19">
        <v>631.71</v>
      </c>
      <c r="J692" s="24">
        <v>4.7619047620000003</v>
      </c>
      <c r="K692" s="25">
        <v>6.7</v>
      </c>
      <c r="L692" s="23" t="str">
        <f>VLOOKUP(A692,'Customer-details'!$A$1:$C$1001,2,FALSE)</f>
        <v>Member</v>
      </c>
      <c r="M692" s="23" t="str">
        <f>VLOOKUP(A692,'Customer-details'!$A$1:$C$1001,3,FALSE)</f>
        <v>Female</v>
      </c>
      <c r="N692" s="23" t="str">
        <f>VLOOKUP(A692,'Product-details'!$A$1:$B$1001,2,FALSE)</f>
        <v>Sports and travel</v>
      </c>
      <c r="O692" s="23" t="str">
        <f>VLOOKUP(A692,'City-details'!$A$1:$C$1001,3,FALSE)</f>
        <v>Naypyitaw</v>
      </c>
      <c r="P692" s="23" t="str">
        <f>VLOOKUP(A692,'City-details'!$A$1:$C$1001,2,FALSE)</f>
        <v>C</v>
      </c>
      <c r="Q692" s="23" t="str">
        <f t="shared" si="30"/>
        <v>Jan</v>
      </c>
      <c r="R692" s="26" t="str">
        <f t="shared" si="31"/>
        <v>Fri</v>
      </c>
      <c r="S692">
        <f t="shared" si="32"/>
        <v>7</v>
      </c>
      <c r="T692" t="str" cm="1">
        <f t="array" ref="T692">_xlfn.IFS(S692&lt;=12,"Morning",S692&lt;=16,"Afternoon",S692&lt;=21,"Evening",S692&lt;=24,"Night")</f>
        <v>Morning</v>
      </c>
    </row>
    <row r="693" spans="1:20" x14ac:dyDescent="0.25">
      <c r="A693" s="31" t="s">
        <v>727</v>
      </c>
      <c r="B693" s="27">
        <v>55.04</v>
      </c>
      <c r="C693" s="28">
        <v>7</v>
      </c>
      <c r="D693" s="27">
        <v>19.263999999999999</v>
      </c>
      <c r="E693" s="27">
        <v>404.54399999999998</v>
      </c>
      <c r="F693" s="29">
        <v>43536</v>
      </c>
      <c r="G693" s="30">
        <v>29.338888888888899</v>
      </c>
      <c r="H693" s="31" t="s">
        <v>23</v>
      </c>
      <c r="I693" s="27">
        <v>385.28</v>
      </c>
      <c r="J693" s="32">
        <v>4.7619047620000003</v>
      </c>
      <c r="K693" s="33">
        <v>5.2</v>
      </c>
      <c r="L693" s="31" t="str">
        <f>VLOOKUP(A693,'Customer-details'!$A$1:$C$1001,2,FALSE)</f>
        <v>Member</v>
      </c>
      <c r="M693" s="31" t="str">
        <f>VLOOKUP(A693,'Customer-details'!$A$1:$C$1001,3,FALSE)</f>
        <v>Male</v>
      </c>
      <c r="N693" s="31" t="str">
        <f>VLOOKUP(A693,'Product-details'!$A$1:$B$1001,2,FALSE)</f>
        <v>Food and beverages</v>
      </c>
      <c r="O693" s="31" t="str">
        <f>VLOOKUP(A693,'City-details'!$A$1:$C$1001,3,FALSE)</f>
        <v>Naypyitaw</v>
      </c>
      <c r="P693" s="31" t="str">
        <f>VLOOKUP(A693,'City-details'!$A$1:$C$1001,2,FALSE)</f>
        <v>C</v>
      </c>
      <c r="Q693" s="31" t="str">
        <f t="shared" si="30"/>
        <v>Mar</v>
      </c>
      <c r="R693" s="34" t="str">
        <f t="shared" si="31"/>
        <v>Tue</v>
      </c>
      <c r="S693">
        <f t="shared" si="32"/>
        <v>8</v>
      </c>
      <c r="T693" t="str" cm="1">
        <f t="array" ref="T693">_xlfn.IFS(S693&lt;=12,"Morning",S693&lt;=16,"Afternoon",S693&lt;=21,"Evening",S693&lt;=24,"Night")</f>
        <v>Morning</v>
      </c>
    </row>
    <row r="694" spans="1:20" x14ac:dyDescent="0.25">
      <c r="A694" s="23" t="s">
        <v>728</v>
      </c>
      <c r="B694" s="19">
        <v>48.63</v>
      </c>
      <c r="C694" s="20">
        <v>10</v>
      </c>
      <c r="D694" s="19">
        <v>24.315000000000001</v>
      </c>
      <c r="E694" s="19">
        <v>510.61500000000001</v>
      </c>
      <c r="F694" s="21">
        <v>43528</v>
      </c>
      <c r="G694" s="22">
        <v>29.380555555555599</v>
      </c>
      <c r="H694" s="23" t="s">
        <v>29</v>
      </c>
      <c r="I694" s="19">
        <v>486.3</v>
      </c>
      <c r="J694" s="24">
        <v>4.7619047620000003</v>
      </c>
      <c r="K694" s="25">
        <v>8.8000000000000007</v>
      </c>
      <c r="L694" s="23" t="str">
        <f>VLOOKUP(A694,'Customer-details'!$A$1:$C$1001,2,FALSE)</f>
        <v>Member</v>
      </c>
      <c r="M694" s="23" t="str">
        <f>VLOOKUP(A694,'Customer-details'!$A$1:$C$1001,3,FALSE)</f>
        <v>Male</v>
      </c>
      <c r="N694" s="23" t="str">
        <f>VLOOKUP(A694,'Product-details'!$A$1:$B$1001,2,FALSE)</f>
        <v>Health and beauty</v>
      </c>
      <c r="O694" s="23" t="str">
        <f>VLOOKUP(A694,'City-details'!$A$1:$C$1001,3,FALSE)</f>
        <v>Yangon</v>
      </c>
      <c r="P694" s="23" t="str">
        <f>VLOOKUP(A694,'City-details'!$A$1:$C$1001,2,FALSE)</f>
        <v>A</v>
      </c>
      <c r="Q694" s="23" t="str">
        <f t="shared" si="30"/>
        <v>Mar</v>
      </c>
      <c r="R694" s="26" t="str">
        <f t="shared" si="31"/>
        <v>Mon</v>
      </c>
      <c r="S694">
        <f t="shared" si="32"/>
        <v>9</v>
      </c>
      <c r="T694" t="str" cm="1">
        <f t="array" ref="T694">_xlfn.IFS(S694&lt;=12,"Morning",S694&lt;=16,"Afternoon",S694&lt;=21,"Evening",S694&lt;=24,"Night")</f>
        <v>Morning</v>
      </c>
    </row>
    <row r="695" spans="1:20" x14ac:dyDescent="0.25">
      <c r="A695" s="31" t="s">
        <v>729</v>
      </c>
      <c r="B695" s="27">
        <v>73.38</v>
      </c>
      <c r="C695" s="28">
        <v>7</v>
      </c>
      <c r="D695" s="27">
        <v>25.683</v>
      </c>
      <c r="E695" s="27">
        <v>539.34299999999996</v>
      </c>
      <c r="F695" s="29">
        <v>43506</v>
      </c>
      <c r="G695" s="30">
        <v>29.422222222222199</v>
      </c>
      <c r="H695" s="31" t="s">
        <v>29</v>
      </c>
      <c r="I695" s="27">
        <v>513.66</v>
      </c>
      <c r="J695" s="32">
        <v>4.7619047620000003</v>
      </c>
      <c r="K695" s="33">
        <v>9.5</v>
      </c>
      <c r="L695" s="31" t="str">
        <f>VLOOKUP(A695,'Customer-details'!$A$1:$C$1001,2,FALSE)</f>
        <v>Member</v>
      </c>
      <c r="M695" s="31" t="str">
        <f>VLOOKUP(A695,'Customer-details'!$A$1:$C$1001,3,FALSE)</f>
        <v>Female</v>
      </c>
      <c r="N695" s="31" t="str">
        <f>VLOOKUP(A695,'Product-details'!$A$1:$B$1001,2,FALSE)</f>
        <v>Fashion accessories</v>
      </c>
      <c r="O695" s="31" t="str">
        <f>VLOOKUP(A695,'City-details'!$A$1:$C$1001,3,FALSE)</f>
        <v>Naypyitaw</v>
      </c>
      <c r="P695" s="31" t="str">
        <f>VLOOKUP(A695,'City-details'!$A$1:$C$1001,2,FALSE)</f>
        <v>C</v>
      </c>
      <c r="Q695" s="31" t="str">
        <f t="shared" si="30"/>
        <v>Feb</v>
      </c>
      <c r="R695" s="34" t="str">
        <f t="shared" si="31"/>
        <v>Sun</v>
      </c>
      <c r="S695">
        <f t="shared" si="32"/>
        <v>10</v>
      </c>
      <c r="T695" t="str" cm="1">
        <f t="array" ref="T695">_xlfn.IFS(S695&lt;=12,"Morning",S695&lt;=16,"Afternoon",S695&lt;=21,"Evening",S695&lt;=24,"Night")</f>
        <v>Morning</v>
      </c>
    </row>
    <row r="696" spans="1:20" x14ac:dyDescent="0.25">
      <c r="A696" s="23" t="s">
        <v>730</v>
      </c>
      <c r="B696" s="19">
        <v>52.6</v>
      </c>
      <c r="C696" s="20">
        <v>9</v>
      </c>
      <c r="D696" s="19">
        <v>23.67</v>
      </c>
      <c r="E696" s="19">
        <v>497.07</v>
      </c>
      <c r="F696" s="21">
        <v>43481</v>
      </c>
      <c r="G696" s="22">
        <v>29.463888888888899</v>
      </c>
      <c r="H696" s="23" t="s">
        <v>29</v>
      </c>
      <c r="I696" s="19">
        <v>473.4</v>
      </c>
      <c r="J696" s="24">
        <v>4.7619047620000003</v>
      </c>
      <c r="K696" s="25">
        <v>7.6</v>
      </c>
      <c r="L696" s="23" t="str">
        <f>VLOOKUP(A696,'Customer-details'!$A$1:$C$1001,2,FALSE)</f>
        <v>Normal</v>
      </c>
      <c r="M696" s="23" t="str">
        <f>VLOOKUP(A696,'Customer-details'!$A$1:$C$1001,3,FALSE)</f>
        <v>Female</v>
      </c>
      <c r="N696" s="23" t="str">
        <f>VLOOKUP(A696,'Product-details'!$A$1:$B$1001,2,FALSE)</f>
        <v>Food and beverages</v>
      </c>
      <c r="O696" s="23" t="str">
        <f>VLOOKUP(A696,'City-details'!$A$1:$C$1001,3,FALSE)</f>
        <v>Naypyitaw</v>
      </c>
      <c r="P696" s="23" t="str">
        <f>VLOOKUP(A696,'City-details'!$A$1:$C$1001,2,FALSE)</f>
        <v>C</v>
      </c>
      <c r="Q696" s="23" t="str">
        <f t="shared" si="30"/>
        <v>Jan</v>
      </c>
      <c r="R696" s="26" t="str">
        <f t="shared" si="31"/>
        <v>Wed</v>
      </c>
      <c r="S696">
        <f t="shared" si="32"/>
        <v>11</v>
      </c>
      <c r="T696" t="str" cm="1">
        <f t="array" ref="T696">_xlfn.IFS(S696&lt;=12,"Morning",S696&lt;=16,"Afternoon",S696&lt;=21,"Evening",S696&lt;=24,"Night")</f>
        <v>Morning</v>
      </c>
    </row>
    <row r="697" spans="1:20" x14ac:dyDescent="0.25">
      <c r="A697" s="31" t="s">
        <v>731</v>
      </c>
      <c r="B697" s="27">
        <v>87.37</v>
      </c>
      <c r="C697" s="28">
        <v>5</v>
      </c>
      <c r="D697" s="27">
        <v>21.842500000000001</v>
      </c>
      <c r="E697" s="27">
        <v>458.6925</v>
      </c>
      <c r="F697" s="29">
        <v>43494</v>
      </c>
      <c r="G697" s="30">
        <v>29.505555555555599</v>
      </c>
      <c r="H697" s="31" t="s">
        <v>29</v>
      </c>
      <c r="I697" s="27">
        <v>436.85</v>
      </c>
      <c r="J697" s="32">
        <v>4.7619047620000003</v>
      </c>
      <c r="K697" s="33">
        <v>6.6</v>
      </c>
      <c r="L697" s="31" t="str">
        <f>VLOOKUP(A697,'Customer-details'!$A$1:$C$1001,2,FALSE)</f>
        <v>Member</v>
      </c>
      <c r="M697" s="31" t="str">
        <f>VLOOKUP(A697,'Customer-details'!$A$1:$C$1001,3,FALSE)</f>
        <v>Female</v>
      </c>
      <c r="N697" s="31" t="str">
        <f>VLOOKUP(A697,'Product-details'!$A$1:$B$1001,2,FALSE)</f>
        <v>Home and lifestyle</v>
      </c>
      <c r="O697" s="31" t="str">
        <f>VLOOKUP(A697,'City-details'!$A$1:$C$1001,3,FALSE)</f>
        <v>Yangon</v>
      </c>
      <c r="P697" s="31" t="str">
        <f>VLOOKUP(A697,'City-details'!$A$1:$C$1001,2,FALSE)</f>
        <v>A</v>
      </c>
      <c r="Q697" s="31" t="str">
        <f t="shared" si="30"/>
        <v>Jan</v>
      </c>
      <c r="R697" s="34" t="str">
        <f t="shared" si="31"/>
        <v>Tue</v>
      </c>
      <c r="S697">
        <f t="shared" si="32"/>
        <v>12</v>
      </c>
      <c r="T697" t="str" cm="1">
        <f t="array" ref="T697">_xlfn.IFS(S697&lt;=12,"Morning",S697&lt;=16,"Afternoon",S697&lt;=21,"Evening",S697&lt;=24,"Night")</f>
        <v>Morning</v>
      </c>
    </row>
    <row r="698" spans="1:20" x14ac:dyDescent="0.25">
      <c r="A698" s="23" t="s">
        <v>732</v>
      </c>
      <c r="B698" s="19">
        <v>27.04</v>
      </c>
      <c r="C698" s="20">
        <v>4</v>
      </c>
      <c r="D698" s="19">
        <v>5.4080000000000004</v>
      </c>
      <c r="E698" s="19">
        <v>113.568</v>
      </c>
      <c r="F698" s="21">
        <v>43466</v>
      </c>
      <c r="G698" s="22">
        <v>29.547222222222199</v>
      </c>
      <c r="H698" s="23" t="s">
        <v>23</v>
      </c>
      <c r="I698" s="19">
        <v>108.16</v>
      </c>
      <c r="J698" s="24">
        <v>4.7619047620000003</v>
      </c>
      <c r="K698" s="25">
        <v>6.9</v>
      </c>
      <c r="L698" s="23" t="str">
        <f>VLOOKUP(A698,'Customer-details'!$A$1:$C$1001,2,FALSE)</f>
        <v>Member</v>
      </c>
      <c r="M698" s="23" t="str">
        <f>VLOOKUP(A698,'Customer-details'!$A$1:$C$1001,3,FALSE)</f>
        <v>Female</v>
      </c>
      <c r="N698" s="23" t="str">
        <f>VLOOKUP(A698,'Product-details'!$A$1:$B$1001,2,FALSE)</f>
        <v>Sports and travel</v>
      </c>
      <c r="O698" s="23" t="str">
        <f>VLOOKUP(A698,'City-details'!$A$1:$C$1001,3,FALSE)</f>
        <v>Yangon</v>
      </c>
      <c r="P698" s="23" t="str">
        <f>VLOOKUP(A698,'City-details'!$A$1:$C$1001,2,FALSE)</f>
        <v>A</v>
      </c>
      <c r="Q698" s="23" t="str">
        <f t="shared" si="30"/>
        <v>Jan</v>
      </c>
      <c r="R698" s="26" t="str">
        <f t="shared" si="31"/>
        <v>Tue</v>
      </c>
      <c r="S698">
        <f t="shared" si="32"/>
        <v>13</v>
      </c>
      <c r="T698" t="str" cm="1">
        <f t="array" ref="T698">_xlfn.IFS(S698&lt;=12,"Morning",S698&lt;=16,"Afternoon",S698&lt;=21,"Evening",S698&lt;=24,"Night")</f>
        <v>Afternoon</v>
      </c>
    </row>
    <row r="699" spans="1:20" x14ac:dyDescent="0.25">
      <c r="A699" s="31" t="s">
        <v>733</v>
      </c>
      <c r="B699" s="27">
        <v>62.19</v>
      </c>
      <c r="C699" s="28">
        <v>4</v>
      </c>
      <c r="D699" s="27">
        <v>12.438000000000001</v>
      </c>
      <c r="E699" s="27">
        <v>261.19799999999998</v>
      </c>
      <c r="F699" s="29">
        <v>43471</v>
      </c>
      <c r="G699" s="30">
        <v>29.588888888888899</v>
      </c>
      <c r="H699" s="31" t="s">
        <v>23</v>
      </c>
      <c r="I699" s="27">
        <v>248.76</v>
      </c>
      <c r="J699" s="32">
        <v>4.7619047620000003</v>
      </c>
      <c r="K699" s="33">
        <v>4.3</v>
      </c>
      <c r="L699" s="31" t="str">
        <f>VLOOKUP(A699,'Customer-details'!$A$1:$C$1001,2,FALSE)</f>
        <v>Normal</v>
      </c>
      <c r="M699" s="31" t="str">
        <f>VLOOKUP(A699,'Customer-details'!$A$1:$C$1001,3,FALSE)</f>
        <v>Male</v>
      </c>
      <c r="N699" s="31" t="str">
        <f>VLOOKUP(A699,'Product-details'!$A$1:$B$1001,2,FALSE)</f>
        <v>Home and lifestyle</v>
      </c>
      <c r="O699" s="31" t="str">
        <f>VLOOKUP(A699,'City-details'!$A$1:$C$1001,3,FALSE)</f>
        <v>Mandalay</v>
      </c>
      <c r="P699" s="31" t="str">
        <f>VLOOKUP(A699,'City-details'!$A$1:$C$1001,2,FALSE)</f>
        <v>B</v>
      </c>
      <c r="Q699" s="31" t="str">
        <f t="shared" si="30"/>
        <v>Jan</v>
      </c>
      <c r="R699" s="34" t="str">
        <f t="shared" si="31"/>
        <v>Sun</v>
      </c>
      <c r="S699">
        <f t="shared" si="32"/>
        <v>14</v>
      </c>
      <c r="T699" t="str" cm="1">
        <f t="array" ref="T699">_xlfn.IFS(S699&lt;=12,"Morning",S699&lt;=16,"Afternoon",S699&lt;=21,"Evening",S699&lt;=24,"Night")</f>
        <v>Afternoon</v>
      </c>
    </row>
    <row r="700" spans="1:20" x14ac:dyDescent="0.25">
      <c r="A700" s="23" t="s">
        <v>734</v>
      </c>
      <c r="B700" s="19">
        <v>69.58</v>
      </c>
      <c r="C700" s="20">
        <v>9</v>
      </c>
      <c r="D700" s="19">
        <v>31.311</v>
      </c>
      <c r="E700" s="19">
        <v>657.53099999999995</v>
      </c>
      <c r="F700" s="21">
        <v>43515</v>
      </c>
      <c r="G700" s="22">
        <v>29.630555555555599</v>
      </c>
      <c r="H700" s="23" t="s">
        <v>33</v>
      </c>
      <c r="I700" s="19">
        <v>626.22</v>
      </c>
      <c r="J700" s="24">
        <v>4.7619047620000003</v>
      </c>
      <c r="K700" s="25">
        <v>7.8</v>
      </c>
      <c r="L700" s="23" t="str">
        <f>VLOOKUP(A700,'Customer-details'!$A$1:$C$1001,2,FALSE)</f>
        <v>Member</v>
      </c>
      <c r="M700" s="23" t="str">
        <f>VLOOKUP(A700,'Customer-details'!$A$1:$C$1001,3,FALSE)</f>
        <v>Male</v>
      </c>
      <c r="N700" s="23" t="str">
        <f>VLOOKUP(A700,'Product-details'!$A$1:$B$1001,2,FALSE)</f>
        <v>Electronic accessories</v>
      </c>
      <c r="O700" s="23" t="str">
        <f>VLOOKUP(A700,'City-details'!$A$1:$C$1001,3,FALSE)</f>
        <v>Yangon</v>
      </c>
      <c r="P700" s="23" t="str">
        <f>VLOOKUP(A700,'City-details'!$A$1:$C$1001,2,FALSE)</f>
        <v>A</v>
      </c>
      <c r="Q700" s="23" t="str">
        <f t="shared" si="30"/>
        <v>Feb</v>
      </c>
      <c r="R700" s="26" t="str">
        <f t="shared" si="31"/>
        <v>Tue</v>
      </c>
      <c r="S700">
        <f t="shared" si="32"/>
        <v>15</v>
      </c>
      <c r="T700" t="str" cm="1">
        <f t="array" ref="T700">_xlfn.IFS(S700&lt;=12,"Morning",S700&lt;=16,"Afternoon",S700&lt;=21,"Evening",S700&lt;=24,"Night")</f>
        <v>Afternoon</v>
      </c>
    </row>
    <row r="701" spans="1:20" x14ac:dyDescent="0.25">
      <c r="A701" s="31" t="s">
        <v>735</v>
      </c>
      <c r="B701" s="27">
        <v>97.5</v>
      </c>
      <c r="C701" s="28">
        <v>10</v>
      </c>
      <c r="D701" s="27">
        <v>48.75</v>
      </c>
      <c r="E701" s="27">
        <v>1023.75</v>
      </c>
      <c r="F701" s="29">
        <v>43477</v>
      </c>
      <c r="G701" s="30">
        <v>29.672222222222199</v>
      </c>
      <c r="H701" s="31" t="s">
        <v>23</v>
      </c>
      <c r="I701" s="27">
        <v>975</v>
      </c>
      <c r="J701" s="32">
        <v>4.7619047620000003</v>
      </c>
      <c r="K701" s="33">
        <v>8</v>
      </c>
      <c r="L701" s="31" t="str">
        <f>VLOOKUP(A701,'Customer-details'!$A$1:$C$1001,2,FALSE)</f>
        <v>Normal</v>
      </c>
      <c r="M701" s="31" t="str">
        <f>VLOOKUP(A701,'Customer-details'!$A$1:$C$1001,3,FALSE)</f>
        <v>Male</v>
      </c>
      <c r="N701" s="31" t="str">
        <f>VLOOKUP(A701,'Product-details'!$A$1:$B$1001,2,FALSE)</f>
        <v>Home and lifestyle</v>
      </c>
      <c r="O701" s="31" t="str">
        <f>VLOOKUP(A701,'City-details'!$A$1:$C$1001,3,FALSE)</f>
        <v>Naypyitaw</v>
      </c>
      <c r="P701" s="31" t="str">
        <f>VLOOKUP(A701,'City-details'!$A$1:$C$1001,2,FALSE)</f>
        <v>C</v>
      </c>
      <c r="Q701" s="31" t="str">
        <f t="shared" si="30"/>
        <v>Jan</v>
      </c>
      <c r="R701" s="34" t="str">
        <f t="shared" si="31"/>
        <v>Sat</v>
      </c>
      <c r="S701">
        <f t="shared" si="32"/>
        <v>16</v>
      </c>
      <c r="T701" t="str" cm="1">
        <f t="array" ref="T701">_xlfn.IFS(S701&lt;=12,"Morning",S701&lt;=16,"Afternoon",S701&lt;=21,"Evening",S701&lt;=24,"Night")</f>
        <v>Afternoon</v>
      </c>
    </row>
    <row r="702" spans="1:20" x14ac:dyDescent="0.25">
      <c r="A702" s="23" t="s">
        <v>736</v>
      </c>
      <c r="B702" s="19">
        <v>60.41</v>
      </c>
      <c r="C702" s="20">
        <v>8</v>
      </c>
      <c r="D702" s="19">
        <v>24.164000000000001</v>
      </c>
      <c r="E702" s="19">
        <v>507.44400000000002</v>
      </c>
      <c r="F702" s="21">
        <v>43503</v>
      </c>
      <c r="G702" s="22">
        <v>29.713888888888899</v>
      </c>
      <c r="H702" s="23" t="s">
        <v>23</v>
      </c>
      <c r="I702" s="19">
        <v>483.28</v>
      </c>
      <c r="J702" s="24">
        <v>4.7619047620000003</v>
      </c>
      <c r="K702" s="25">
        <v>9.6</v>
      </c>
      <c r="L702" s="23" t="str">
        <f>VLOOKUP(A702,'Customer-details'!$A$1:$C$1001,2,FALSE)</f>
        <v>Normal</v>
      </c>
      <c r="M702" s="23" t="str">
        <f>VLOOKUP(A702,'Customer-details'!$A$1:$C$1001,3,FALSE)</f>
        <v>Female</v>
      </c>
      <c r="N702" s="23" t="str">
        <f>VLOOKUP(A702,'Product-details'!$A$1:$B$1001,2,FALSE)</f>
        <v>Fashion accessories</v>
      </c>
      <c r="O702" s="23" t="str">
        <f>VLOOKUP(A702,'City-details'!$A$1:$C$1001,3,FALSE)</f>
        <v>Naypyitaw</v>
      </c>
      <c r="P702" s="23" t="str">
        <f>VLOOKUP(A702,'City-details'!$A$1:$C$1001,2,FALSE)</f>
        <v>C</v>
      </c>
      <c r="Q702" s="23" t="str">
        <f t="shared" si="30"/>
        <v>Feb</v>
      </c>
      <c r="R702" s="26" t="str">
        <f t="shared" si="31"/>
        <v>Thu</v>
      </c>
      <c r="S702">
        <f t="shared" si="32"/>
        <v>17</v>
      </c>
      <c r="T702" t="str" cm="1">
        <f t="array" ref="T702">_xlfn.IFS(S702&lt;=12,"Morning",S702&lt;=16,"Afternoon",S702&lt;=21,"Evening",S702&lt;=24,"Night")</f>
        <v>Evening</v>
      </c>
    </row>
    <row r="703" spans="1:20" x14ac:dyDescent="0.25">
      <c r="A703" s="31" t="s">
        <v>737</v>
      </c>
      <c r="B703" s="27">
        <v>32.32</v>
      </c>
      <c r="C703" s="28">
        <v>3</v>
      </c>
      <c r="D703" s="27">
        <v>4.8479999999999999</v>
      </c>
      <c r="E703" s="27">
        <v>101.80800000000001</v>
      </c>
      <c r="F703" s="29">
        <v>43551</v>
      </c>
      <c r="G703" s="30">
        <v>29.755555555555599</v>
      </c>
      <c r="H703" s="31" t="s">
        <v>33</v>
      </c>
      <c r="I703" s="27">
        <v>96.96</v>
      </c>
      <c r="J703" s="32">
        <v>4.7619047620000003</v>
      </c>
      <c r="K703" s="33">
        <v>4.3</v>
      </c>
      <c r="L703" s="31" t="str">
        <f>VLOOKUP(A703,'Customer-details'!$A$1:$C$1001,2,FALSE)</f>
        <v>Normal</v>
      </c>
      <c r="M703" s="31" t="str">
        <f>VLOOKUP(A703,'Customer-details'!$A$1:$C$1001,3,FALSE)</f>
        <v>Male</v>
      </c>
      <c r="N703" s="31" t="str">
        <f>VLOOKUP(A703,'Product-details'!$A$1:$B$1001,2,FALSE)</f>
        <v>Food and beverages</v>
      </c>
      <c r="O703" s="31" t="str">
        <f>VLOOKUP(A703,'City-details'!$A$1:$C$1001,3,FALSE)</f>
        <v>Mandalay</v>
      </c>
      <c r="P703" s="31" t="str">
        <f>VLOOKUP(A703,'City-details'!$A$1:$C$1001,2,FALSE)</f>
        <v>B</v>
      </c>
      <c r="Q703" s="31" t="str">
        <f t="shared" si="30"/>
        <v>Mar</v>
      </c>
      <c r="R703" s="34" t="str">
        <f t="shared" si="31"/>
        <v>Wed</v>
      </c>
      <c r="S703">
        <f t="shared" si="32"/>
        <v>18</v>
      </c>
      <c r="T703" t="str" cm="1">
        <f t="array" ref="T703">_xlfn.IFS(S703&lt;=12,"Morning",S703&lt;=16,"Afternoon",S703&lt;=21,"Evening",S703&lt;=24,"Night")</f>
        <v>Evening</v>
      </c>
    </row>
    <row r="704" spans="1:20" x14ac:dyDescent="0.25">
      <c r="A704" s="23" t="s">
        <v>738</v>
      </c>
      <c r="B704" s="19">
        <v>19.77</v>
      </c>
      <c r="C704" s="20">
        <v>10</v>
      </c>
      <c r="D704" s="19">
        <v>9.8849999999999998</v>
      </c>
      <c r="E704" s="19">
        <v>207.58500000000001</v>
      </c>
      <c r="F704" s="21">
        <v>43523</v>
      </c>
      <c r="G704" s="22">
        <v>29.797222222222199</v>
      </c>
      <c r="H704" s="23" t="s">
        <v>33</v>
      </c>
      <c r="I704" s="19">
        <v>197.7</v>
      </c>
      <c r="J704" s="24">
        <v>4.7619047620000003</v>
      </c>
      <c r="K704" s="25">
        <v>5</v>
      </c>
      <c r="L704" s="23" t="str">
        <f>VLOOKUP(A704,'Customer-details'!$A$1:$C$1001,2,FALSE)</f>
        <v>Member</v>
      </c>
      <c r="M704" s="23" t="str">
        <f>VLOOKUP(A704,'Customer-details'!$A$1:$C$1001,3,FALSE)</f>
        <v>Female</v>
      </c>
      <c r="N704" s="23" t="str">
        <f>VLOOKUP(A704,'Product-details'!$A$1:$B$1001,2,FALSE)</f>
        <v>Fashion accessories</v>
      </c>
      <c r="O704" s="23" t="str">
        <f>VLOOKUP(A704,'City-details'!$A$1:$C$1001,3,FALSE)</f>
        <v>Mandalay</v>
      </c>
      <c r="P704" s="23" t="str">
        <f>VLOOKUP(A704,'City-details'!$A$1:$C$1001,2,FALSE)</f>
        <v>B</v>
      </c>
      <c r="Q704" s="23" t="str">
        <f t="shared" si="30"/>
        <v>Feb</v>
      </c>
      <c r="R704" s="26" t="str">
        <f t="shared" si="31"/>
        <v>Wed</v>
      </c>
      <c r="S704">
        <f t="shared" si="32"/>
        <v>19</v>
      </c>
      <c r="T704" t="str" cm="1">
        <f t="array" ref="T704">_xlfn.IFS(S704&lt;=12,"Morning",S704&lt;=16,"Afternoon",S704&lt;=21,"Evening",S704&lt;=24,"Night")</f>
        <v>Evening</v>
      </c>
    </row>
    <row r="705" spans="1:20" x14ac:dyDescent="0.25">
      <c r="A705" s="31" t="s">
        <v>739</v>
      </c>
      <c r="B705" s="27">
        <v>80.47</v>
      </c>
      <c r="C705" s="28">
        <v>9</v>
      </c>
      <c r="D705" s="27">
        <v>36.211500000000001</v>
      </c>
      <c r="E705" s="27">
        <v>760.44150000000002</v>
      </c>
      <c r="F705" s="29">
        <v>43471</v>
      </c>
      <c r="G705" s="30">
        <v>29.838888888888899</v>
      </c>
      <c r="H705" s="31" t="s">
        <v>29</v>
      </c>
      <c r="I705" s="27">
        <v>724.23</v>
      </c>
      <c r="J705" s="32">
        <v>4.7619047620000003</v>
      </c>
      <c r="K705" s="33">
        <v>9.1999999999999993</v>
      </c>
      <c r="L705" s="31" t="str">
        <f>VLOOKUP(A705,'Customer-details'!$A$1:$C$1001,2,FALSE)</f>
        <v>Member</v>
      </c>
      <c r="M705" s="31" t="str">
        <f>VLOOKUP(A705,'Customer-details'!$A$1:$C$1001,3,FALSE)</f>
        <v>Male</v>
      </c>
      <c r="N705" s="31" t="str">
        <f>VLOOKUP(A705,'Product-details'!$A$1:$B$1001,2,FALSE)</f>
        <v>Health and beauty</v>
      </c>
      <c r="O705" s="31" t="str">
        <f>VLOOKUP(A705,'City-details'!$A$1:$C$1001,3,FALSE)</f>
        <v>Mandalay</v>
      </c>
      <c r="P705" s="31" t="str">
        <f>VLOOKUP(A705,'City-details'!$A$1:$C$1001,2,FALSE)</f>
        <v>B</v>
      </c>
      <c r="Q705" s="31" t="str">
        <f t="shared" si="30"/>
        <v>Jan</v>
      </c>
      <c r="R705" s="34" t="str">
        <f t="shared" si="31"/>
        <v>Sun</v>
      </c>
      <c r="S705">
        <f t="shared" si="32"/>
        <v>20</v>
      </c>
      <c r="T705" t="str" cm="1">
        <f t="array" ref="T705">_xlfn.IFS(S705&lt;=12,"Morning",S705&lt;=16,"Afternoon",S705&lt;=21,"Evening",S705&lt;=24,"Night")</f>
        <v>Evening</v>
      </c>
    </row>
    <row r="706" spans="1:20" x14ac:dyDescent="0.25">
      <c r="A706" s="23" t="s">
        <v>740</v>
      </c>
      <c r="B706" s="19">
        <v>88.39</v>
      </c>
      <c r="C706" s="20">
        <v>9</v>
      </c>
      <c r="D706" s="19">
        <v>39.775500000000001</v>
      </c>
      <c r="E706" s="19">
        <v>835.28549999999996</v>
      </c>
      <c r="F706" s="21">
        <v>43526</v>
      </c>
      <c r="G706" s="22">
        <v>29.880555555555599</v>
      </c>
      <c r="H706" s="23" t="s">
        <v>29</v>
      </c>
      <c r="I706" s="19">
        <v>795.51</v>
      </c>
      <c r="J706" s="24">
        <v>4.7619047620000003</v>
      </c>
      <c r="K706" s="25">
        <v>6.3</v>
      </c>
      <c r="L706" s="23" t="str">
        <f>VLOOKUP(A706,'Customer-details'!$A$1:$C$1001,2,FALSE)</f>
        <v>Member</v>
      </c>
      <c r="M706" s="23" t="str">
        <f>VLOOKUP(A706,'Customer-details'!$A$1:$C$1001,3,FALSE)</f>
        <v>Female</v>
      </c>
      <c r="N706" s="23" t="str">
        <f>VLOOKUP(A706,'Product-details'!$A$1:$B$1001,2,FALSE)</f>
        <v>Home and lifestyle</v>
      </c>
      <c r="O706" s="23" t="str">
        <f>VLOOKUP(A706,'City-details'!$A$1:$C$1001,3,FALSE)</f>
        <v>Mandalay</v>
      </c>
      <c r="P706" s="23" t="str">
        <f>VLOOKUP(A706,'City-details'!$A$1:$C$1001,2,FALSE)</f>
        <v>B</v>
      </c>
      <c r="Q706" s="23" t="str">
        <f t="shared" si="30"/>
        <v>Mar</v>
      </c>
      <c r="R706" s="26" t="str">
        <f t="shared" si="31"/>
        <v>Sat</v>
      </c>
      <c r="S706">
        <f t="shared" si="32"/>
        <v>21</v>
      </c>
      <c r="T706" t="str" cm="1">
        <f t="array" ref="T706">_xlfn.IFS(S706&lt;=12,"Morning",S706&lt;=16,"Afternoon",S706&lt;=21,"Evening",S706&lt;=24,"Night")</f>
        <v>Evening</v>
      </c>
    </row>
    <row r="707" spans="1:20" x14ac:dyDescent="0.25">
      <c r="A707" s="31" t="s">
        <v>741</v>
      </c>
      <c r="B707" s="27">
        <v>71.77</v>
      </c>
      <c r="C707" s="28">
        <v>7</v>
      </c>
      <c r="D707" s="27">
        <v>25.119499999999999</v>
      </c>
      <c r="E707" s="27">
        <v>527.5095</v>
      </c>
      <c r="F707" s="29">
        <v>43553</v>
      </c>
      <c r="G707" s="30">
        <v>29.922222222222199</v>
      </c>
      <c r="H707" s="31" t="s">
        <v>29</v>
      </c>
      <c r="I707" s="27">
        <v>502.39</v>
      </c>
      <c r="J707" s="32">
        <v>4.7619047620000003</v>
      </c>
      <c r="K707" s="33">
        <v>8.9</v>
      </c>
      <c r="L707" s="31" t="str">
        <f>VLOOKUP(A707,'Customer-details'!$A$1:$C$1001,2,FALSE)</f>
        <v>Normal</v>
      </c>
      <c r="M707" s="31" t="str">
        <f>VLOOKUP(A707,'Customer-details'!$A$1:$C$1001,3,FALSE)</f>
        <v>Male</v>
      </c>
      <c r="N707" s="31" t="str">
        <f>VLOOKUP(A707,'Product-details'!$A$1:$B$1001,2,FALSE)</f>
        <v>Health and beauty</v>
      </c>
      <c r="O707" s="31" t="str">
        <f>VLOOKUP(A707,'City-details'!$A$1:$C$1001,3,FALSE)</f>
        <v>Mandalay</v>
      </c>
      <c r="P707" s="31" t="str">
        <f>VLOOKUP(A707,'City-details'!$A$1:$C$1001,2,FALSE)</f>
        <v>B</v>
      </c>
      <c r="Q707" s="31" t="str">
        <f t="shared" ref="Q707:Q770" si="33">TEXT(F707,"mmm")</f>
        <v>Mar</v>
      </c>
      <c r="R707" s="34" t="str">
        <f t="shared" ref="R707:R770" si="34">TEXT(F707,"ddd")</f>
        <v>Fri</v>
      </c>
      <c r="S707">
        <f t="shared" ref="S707:S770" si="35">HOUR(G707)</f>
        <v>22</v>
      </c>
      <c r="T707" t="str" cm="1">
        <f t="array" ref="T707">_xlfn.IFS(S707&lt;=12,"Morning",S707&lt;=16,"Afternoon",S707&lt;=21,"Evening",S707&lt;=24,"Night")</f>
        <v>Night</v>
      </c>
    </row>
    <row r="708" spans="1:20" x14ac:dyDescent="0.25">
      <c r="A708" s="23" t="s">
        <v>742</v>
      </c>
      <c r="B708" s="19">
        <v>43</v>
      </c>
      <c r="C708" s="20">
        <v>4</v>
      </c>
      <c r="D708" s="19">
        <v>8.6</v>
      </c>
      <c r="E708" s="19">
        <v>180.6</v>
      </c>
      <c r="F708" s="21">
        <v>43496</v>
      </c>
      <c r="G708" s="22">
        <v>29.963888888888899</v>
      </c>
      <c r="H708" s="23" t="s">
        <v>23</v>
      </c>
      <c r="I708" s="19">
        <v>172</v>
      </c>
      <c r="J708" s="24">
        <v>4.7619047620000003</v>
      </c>
      <c r="K708" s="25">
        <v>7.6</v>
      </c>
      <c r="L708" s="23" t="str">
        <f>VLOOKUP(A708,'Customer-details'!$A$1:$C$1001,2,FALSE)</f>
        <v>Normal</v>
      </c>
      <c r="M708" s="23" t="str">
        <f>VLOOKUP(A708,'Customer-details'!$A$1:$C$1001,3,FALSE)</f>
        <v>Female</v>
      </c>
      <c r="N708" s="23" t="str">
        <f>VLOOKUP(A708,'Product-details'!$A$1:$B$1001,2,FALSE)</f>
        <v>Electronic accessories</v>
      </c>
      <c r="O708" s="23" t="str">
        <f>VLOOKUP(A708,'City-details'!$A$1:$C$1001,3,FALSE)</f>
        <v>Mandalay</v>
      </c>
      <c r="P708" s="23" t="str">
        <f>VLOOKUP(A708,'City-details'!$A$1:$C$1001,2,FALSE)</f>
        <v>B</v>
      </c>
      <c r="Q708" s="23" t="str">
        <f t="shared" si="33"/>
        <v>Jan</v>
      </c>
      <c r="R708" s="26" t="str">
        <f t="shared" si="34"/>
        <v>Thu</v>
      </c>
      <c r="S708">
        <f t="shared" si="35"/>
        <v>23</v>
      </c>
      <c r="T708" t="str" cm="1">
        <f t="array" ref="T708">_xlfn.IFS(S708&lt;=12,"Morning",S708&lt;=16,"Afternoon",S708&lt;=21,"Evening",S708&lt;=24,"Night")</f>
        <v>Night</v>
      </c>
    </row>
    <row r="709" spans="1:20" x14ac:dyDescent="0.25">
      <c r="A709" s="31" t="s">
        <v>743</v>
      </c>
      <c r="B709" s="27">
        <v>68.98</v>
      </c>
      <c r="C709" s="28">
        <v>1</v>
      </c>
      <c r="D709" s="27">
        <v>3.4489999999999998</v>
      </c>
      <c r="E709" s="27">
        <v>72.429000000000002</v>
      </c>
      <c r="F709" s="29">
        <v>43486</v>
      </c>
      <c r="G709" s="30">
        <v>30.005555555555599</v>
      </c>
      <c r="H709" s="31" t="s">
        <v>29</v>
      </c>
      <c r="I709" s="27">
        <v>68.98</v>
      </c>
      <c r="J709" s="32">
        <v>4.7619047620000003</v>
      </c>
      <c r="K709" s="33">
        <v>4.8</v>
      </c>
      <c r="L709" s="31" t="str">
        <f>VLOOKUP(A709,'Customer-details'!$A$1:$C$1001,2,FALSE)</f>
        <v>Member</v>
      </c>
      <c r="M709" s="31" t="str">
        <f>VLOOKUP(A709,'Customer-details'!$A$1:$C$1001,3,FALSE)</f>
        <v>Male</v>
      </c>
      <c r="N709" s="31" t="str">
        <f>VLOOKUP(A709,'Product-details'!$A$1:$B$1001,2,FALSE)</f>
        <v>Food and beverages</v>
      </c>
      <c r="O709" s="31" t="str">
        <f>VLOOKUP(A709,'City-details'!$A$1:$C$1001,3,FALSE)</f>
        <v>Naypyitaw</v>
      </c>
      <c r="P709" s="31" t="str">
        <f>VLOOKUP(A709,'City-details'!$A$1:$C$1001,2,FALSE)</f>
        <v>C</v>
      </c>
      <c r="Q709" s="31" t="str">
        <f t="shared" si="33"/>
        <v>Jan</v>
      </c>
      <c r="R709" s="34" t="str">
        <f t="shared" si="34"/>
        <v>Mon</v>
      </c>
      <c r="S709">
        <f t="shared" si="35"/>
        <v>0</v>
      </c>
      <c r="T709" t="str" cm="1">
        <f t="array" ref="T709">_xlfn.IFS(S709&lt;=12,"Morning",S709&lt;=16,"Afternoon",S709&lt;=21,"Evening",S709&lt;=24,"Night")</f>
        <v>Morning</v>
      </c>
    </row>
    <row r="710" spans="1:20" x14ac:dyDescent="0.25">
      <c r="A710" s="23" t="s">
        <v>744</v>
      </c>
      <c r="B710" s="19">
        <v>15.62</v>
      </c>
      <c r="C710" s="20">
        <v>8</v>
      </c>
      <c r="D710" s="19">
        <v>6.2480000000000002</v>
      </c>
      <c r="E710" s="19">
        <v>131.208</v>
      </c>
      <c r="F710" s="21">
        <v>43485</v>
      </c>
      <c r="G710" s="22">
        <v>30.047222222222199</v>
      </c>
      <c r="H710" s="23" t="s">
        <v>23</v>
      </c>
      <c r="I710" s="19">
        <v>124.96</v>
      </c>
      <c r="J710" s="24">
        <v>4.7619047620000003</v>
      </c>
      <c r="K710" s="25">
        <v>9.1</v>
      </c>
      <c r="L710" s="23" t="str">
        <f>VLOOKUP(A710,'Customer-details'!$A$1:$C$1001,2,FALSE)</f>
        <v>Normal</v>
      </c>
      <c r="M710" s="23" t="str">
        <f>VLOOKUP(A710,'Customer-details'!$A$1:$C$1001,3,FALSE)</f>
        <v>Male</v>
      </c>
      <c r="N710" s="23" t="str">
        <f>VLOOKUP(A710,'Product-details'!$A$1:$B$1001,2,FALSE)</f>
        <v>Fashion accessories</v>
      </c>
      <c r="O710" s="23" t="str">
        <f>VLOOKUP(A710,'City-details'!$A$1:$C$1001,3,FALSE)</f>
        <v>Naypyitaw</v>
      </c>
      <c r="P710" s="23" t="str">
        <f>VLOOKUP(A710,'City-details'!$A$1:$C$1001,2,FALSE)</f>
        <v>C</v>
      </c>
      <c r="Q710" s="23" t="str">
        <f t="shared" si="33"/>
        <v>Jan</v>
      </c>
      <c r="R710" s="26" t="str">
        <f t="shared" si="34"/>
        <v>Sun</v>
      </c>
      <c r="S710">
        <f t="shared" si="35"/>
        <v>1</v>
      </c>
      <c r="T710" t="str" cm="1">
        <f t="array" ref="T710">_xlfn.IFS(S710&lt;=12,"Morning",S710&lt;=16,"Afternoon",S710&lt;=21,"Evening",S710&lt;=24,"Night")</f>
        <v>Morning</v>
      </c>
    </row>
    <row r="711" spans="1:20" x14ac:dyDescent="0.25">
      <c r="A711" s="31" t="s">
        <v>745</v>
      </c>
      <c r="B711" s="27">
        <v>25.7</v>
      </c>
      <c r="C711" s="28">
        <v>3</v>
      </c>
      <c r="D711" s="27">
        <v>3.855</v>
      </c>
      <c r="E711" s="27">
        <v>80.954999999999998</v>
      </c>
      <c r="F711" s="29">
        <v>43482</v>
      </c>
      <c r="G711" s="30">
        <v>30.088888888888899</v>
      </c>
      <c r="H711" s="31" t="s">
        <v>23</v>
      </c>
      <c r="I711" s="27">
        <v>77.099999999999994</v>
      </c>
      <c r="J711" s="32">
        <v>4.7619047620000003</v>
      </c>
      <c r="K711" s="33">
        <v>6.1</v>
      </c>
      <c r="L711" s="31" t="str">
        <f>VLOOKUP(A711,'Customer-details'!$A$1:$C$1001,2,FALSE)</f>
        <v>Normal</v>
      </c>
      <c r="M711" s="31" t="str">
        <f>VLOOKUP(A711,'Customer-details'!$A$1:$C$1001,3,FALSE)</f>
        <v>Male</v>
      </c>
      <c r="N711" s="31" t="str">
        <f>VLOOKUP(A711,'Product-details'!$A$1:$B$1001,2,FALSE)</f>
        <v>Sports and travel</v>
      </c>
      <c r="O711" s="31" t="str">
        <f>VLOOKUP(A711,'City-details'!$A$1:$C$1001,3,FALSE)</f>
        <v>Yangon</v>
      </c>
      <c r="P711" s="31" t="str">
        <f>VLOOKUP(A711,'City-details'!$A$1:$C$1001,2,FALSE)</f>
        <v>A</v>
      </c>
      <c r="Q711" s="31" t="str">
        <f t="shared" si="33"/>
        <v>Jan</v>
      </c>
      <c r="R711" s="34" t="str">
        <f t="shared" si="34"/>
        <v>Thu</v>
      </c>
      <c r="S711">
        <f t="shared" si="35"/>
        <v>2</v>
      </c>
      <c r="T711" t="str" cm="1">
        <f t="array" ref="T711">_xlfn.IFS(S711&lt;=12,"Morning",S711&lt;=16,"Afternoon",S711&lt;=21,"Evening",S711&lt;=24,"Night")</f>
        <v>Morning</v>
      </c>
    </row>
    <row r="712" spans="1:20" x14ac:dyDescent="0.25">
      <c r="A712" s="23" t="s">
        <v>746</v>
      </c>
      <c r="B712" s="19">
        <v>80.62</v>
      </c>
      <c r="C712" s="20">
        <v>6</v>
      </c>
      <c r="D712" s="19">
        <v>24.186</v>
      </c>
      <c r="E712" s="19">
        <v>507.90600000000001</v>
      </c>
      <c r="F712" s="21">
        <v>43524</v>
      </c>
      <c r="G712" s="22">
        <v>30.130555555555599</v>
      </c>
      <c r="H712" s="23" t="s">
        <v>29</v>
      </c>
      <c r="I712" s="19">
        <v>483.72</v>
      </c>
      <c r="J712" s="24">
        <v>4.7619047620000003</v>
      </c>
      <c r="K712" s="25">
        <v>9.1</v>
      </c>
      <c r="L712" s="23" t="str">
        <f>VLOOKUP(A712,'Customer-details'!$A$1:$C$1001,2,FALSE)</f>
        <v>Member</v>
      </c>
      <c r="M712" s="23" t="str">
        <f>VLOOKUP(A712,'Customer-details'!$A$1:$C$1001,3,FALSE)</f>
        <v>Male</v>
      </c>
      <c r="N712" s="23" t="str">
        <f>VLOOKUP(A712,'Product-details'!$A$1:$B$1001,2,FALSE)</f>
        <v>Food and beverages</v>
      </c>
      <c r="O712" s="23" t="str">
        <f>VLOOKUP(A712,'City-details'!$A$1:$C$1001,3,FALSE)</f>
        <v>Yangon</v>
      </c>
      <c r="P712" s="23" t="str">
        <f>VLOOKUP(A712,'City-details'!$A$1:$C$1001,2,FALSE)</f>
        <v>A</v>
      </c>
      <c r="Q712" s="23" t="str">
        <f t="shared" si="33"/>
        <v>Feb</v>
      </c>
      <c r="R712" s="26" t="str">
        <f t="shared" si="34"/>
        <v>Thu</v>
      </c>
      <c r="S712">
        <f t="shared" si="35"/>
        <v>3</v>
      </c>
      <c r="T712" t="str" cm="1">
        <f t="array" ref="T712">_xlfn.IFS(S712&lt;=12,"Morning",S712&lt;=16,"Afternoon",S712&lt;=21,"Evening",S712&lt;=24,"Night")</f>
        <v>Morning</v>
      </c>
    </row>
    <row r="713" spans="1:20" x14ac:dyDescent="0.25">
      <c r="A713" s="31" t="s">
        <v>747</v>
      </c>
      <c r="B713" s="27">
        <v>75.53</v>
      </c>
      <c r="C713" s="28">
        <v>4</v>
      </c>
      <c r="D713" s="27">
        <v>15.106</v>
      </c>
      <c r="E713" s="27">
        <v>317.226</v>
      </c>
      <c r="F713" s="29">
        <v>43543</v>
      </c>
      <c r="G713" s="30">
        <v>30.172222222222199</v>
      </c>
      <c r="H713" s="31" t="s">
        <v>23</v>
      </c>
      <c r="I713" s="27">
        <v>302.12</v>
      </c>
      <c r="J713" s="32">
        <v>4.7619047620000003</v>
      </c>
      <c r="K713" s="33">
        <v>8.3000000000000007</v>
      </c>
      <c r="L713" s="31" t="str">
        <f>VLOOKUP(A713,'Customer-details'!$A$1:$C$1001,2,FALSE)</f>
        <v>Member</v>
      </c>
      <c r="M713" s="31" t="str">
        <f>VLOOKUP(A713,'Customer-details'!$A$1:$C$1001,3,FALSE)</f>
        <v>Female</v>
      </c>
      <c r="N713" s="31" t="str">
        <f>VLOOKUP(A713,'Product-details'!$A$1:$B$1001,2,FALSE)</f>
        <v>Home and lifestyle</v>
      </c>
      <c r="O713" s="31" t="str">
        <f>VLOOKUP(A713,'City-details'!$A$1:$C$1001,3,FALSE)</f>
        <v>Naypyitaw</v>
      </c>
      <c r="P713" s="31" t="str">
        <f>VLOOKUP(A713,'City-details'!$A$1:$C$1001,2,FALSE)</f>
        <v>C</v>
      </c>
      <c r="Q713" s="31" t="str">
        <f t="shared" si="33"/>
        <v>Mar</v>
      </c>
      <c r="R713" s="34" t="str">
        <f t="shared" si="34"/>
        <v>Tue</v>
      </c>
      <c r="S713">
        <f t="shared" si="35"/>
        <v>4</v>
      </c>
      <c r="T713" t="str" cm="1">
        <f t="array" ref="T713">_xlfn.IFS(S713&lt;=12,"Morning",S713&lt;=16,"Afternoon",S713&lt;=21,"Evening",S713&lt;=24,"Night")</f>
        <v>Morning</v>
      </c>
    </row>
    <row r="714" spans="1:20" x14ac:dyDescent="0.25">
      <c r="A714" s="23" t="s">
        <v>748</v>
      </c>
      <c r="B714" s="19">
        <v>77.63</v>
      </c>
      <c r="C714" s="20">
        <v>9</v>
      </c>
      <c r="D714" s="19">
        <v>34.933500000000002</v>
      </c>
      <c r="E714" s="19">
        <v>733.60350000000005</v>
      </c>
      <c r="F714" s="21">
        <v>43515</v>
      </c>
      <c r="G714" s="22">
        <v>30.213888888888899</v>
      </c>
      <c r="H714" s="23" t="s">
        <v>23</v>
      </c>
      <c r="I714" s="19">
        <v>698.67</v>
      </c>
      <c r="J714" s="24">
        <v>4.7619047620000003</v>
      </c>
      <c r="K714" s="25">
        <v>7.2</v>
      </c>
      <c r="L714" s="23" t="str">
        <f>VLOOKUP(A714,'Customer-details'!$A$1:$C$1001,2,FALSE)</f>
        <v>Normal</v>
      </c>
      <c r="M714" s="23" t="str">
        <f>VLOOKUP(A714,'Customer-details'!$A$1:$C$1001,3,FALSE)</f>
        <v>Female</v>
      </c>
      <c r="N714" s="23" t="str">
        <f>VLOOKUP(A714,'Product-details'!$A$1:$B$1001,2,FALSE)</f>
        <v>Electronic accessories</v>
      </c>
      <c r="O714" s="23" t="str">
        <f>VLOOKUP(A714,'City-details'!$A$1:$C$1001,3,FALSE)</f>
        <v>Naypyitaw</v>
      </c>
      <c r="P714" s="23" t="str">
        <f>VLOOKUP(A714,'City-details'!$A$1:$C$1001,2,FALSE)</f>
        <v>C</v>
      </c>
      <c r="Q714" s="23" t="str">
        <f t="shared" si="33"/>
        <v>Feb</v>
      </c>
      <c r="R714" s="26" t="str">
        <f t="shared" si="34"/>
        <v>Tue</v>
      </c>
      <c r="S714">
        <f t="shared" si="35"/>
        <v>5</v>
      </c>
      <c r="T714" t="str" cm="1">
        <f t="array" ref="T714">_xlfn.IFS(S714&lt;=12,"Morning",S714&lt;=16,"Afternoon",S714&lt;=21,"Evening",S714&lt;=24,"Night")</f>
        <v>Morning</v>
      </c>
    </row>
    <row r="715" spans="1:20" x14ac:dyDescent="0.25">
      <c r="A715" s="31" t="s">
        <v>749</v>
      </c>
      <c r="B715" s="27">
        <v>13.85</v>
      </c>
      <c r="C715" s="28">
        <v>9</v>
      </c>
      <c r="D715" s="27">
        <v>6.2324999999999999</v>
      </c>
      <c r="E715" s="27">
        <v>130.88249999999999</v>
      </c>
      <c r="F715" s="29">
        <v>43500</v>
      </c>
      <c r="G715" s="30">
        <v>30.255555555555599</v>
      </c>
      <c r="H715" s="31" t="s">
        <v>23</v>
      </c>
      <c r="I715" s="27">
        <v>124.65</v>
      </c>
      <c r="J715" s="32">
        <v>4.7619047620000003</v>
      </c>
      <c r="K715" s="33">
        <v>6</v>
      </c>
      <c r="L715" s="31" t="str">
        <f>VLOOKUP(A715,'Customer-details'!$A$1:$C$1001,2,FALSE)</f>
        <v>Normal</v>
      </c>
      <c r="M715" s="31" t="str">
        <f>VLOOKUP(A715,'Customer-details'!$A$1:$C$1001,3,FALSE)</f>
        <v>Female</v>
      </c>
      <c r="N715" s="31" t="str">
        <f>VLOOKUP(A715,'Product-details'!$A$1:$B$1001,2,FALSE)</f>
        <v>Health and beauty</v>
      </c>
      <c r="O715" s="31" t="str">
        <f>VLOOKUP(A715,'City-details'!$A$1:$C$1001,3,FALSE)</f>
        <v>Naypyitaw</v>
      </c>
      <c r="P715" s="31" t="str">
        <f>VLOOKUP(A715,'City-details'!$A$1:$C$1001,2,FALSE)</f>
        <v>C</v>
      </c>
      <c r="Q715" s="31" t="str">
        <f t="shared" si="33"/>
        <v>Feb</v>
      </c>
      <c r="R715" s="34" t="str">
        <f t="shared" si="34"/>
        <v>Mon</v>
      </c>
      <c r="S715">
        <f t="shared" si="35"/>
        <v>6</v>
      </c>
      <c r="T715" t="str" cm="1">
        <f t="array" ref="T715">_xlfn.IFS(S715&lt;=12,"Morning",S715&lt;=16,"Afternoon",S715&lt;=21,"Evening",S715&lt;=24,"Night")</f>
        <v>Morning</v>
      </c>
    </row>
    <row r="716" spans="1:20" x14ac:dyDescent="0.25">
      <c r="A716" s="23" t="s">
        <v>750</v>
      </c>
      <c r="B716" s="19">
        <v>98.7</v>
      </c>
      <c r="C716" s="20">
        <v>8</v>
      </c>
      <c r="D716" s="19">
        <v>39.479999999999997</v>
      </c>
      <c r="E716" s="19">
        <v>829.08</v>
      </c>
      <c r="F716" s="21">
        <v>43496</v>
      </c>
      <c r="G716" s="22">
        <v>30.297222222222199</v>
      </c>
      <c r="H716" s="23" t="s">
        <v>23</v>
      </c>
      <c r="I716" s="19">
        <v>789.6</v>
      </c>
      <c r="J716" s="24">
        <v>4.7619047620000003</v>
      </c>
      <c r="K716" s="25">
        <v>8.5</v>
      </c>
      <c r="L716" s="23" t="str">
        <f>VLOOKUP(A716,'Customer-details'!$A$1:$C$1001,2,FALSE)</f>
        <v>Member</v>
      </c>
      <c r="M716" s="23" t="str">
        <f>VLOOKUP(A716,'Customer-details'!$A$1:$C$1001,3,FALSE)</f>
        <v>Male</v>
      </c>
      <c r="N716" s="23" t="str">
        <f>VLOOKUP(A716,'Product-details'!$A$1:$B$1001,2,FALSE)</f>
        <v>Fashion accessories</v>
      </c>
      <c r="O716" s="23" t="str">
        <f>VLOOKUP(A716,'City-details'!$A$1:$C$1001,3,FALSE)</f>
        <v>Naypyitaw</v>
      </c>
      <c r="P716" s="23" t="str">
        <f>VLOOKUP(A716,'City-details'!$A$1:$C$1001,2,FALSE)</f>
        <v>C</v>
      </c>
      <c r="Q716" s="23" t="str">
        <f t="shared" si="33"/>
        <v>Jan</v>
      </c>
      <c r="R716" s="26" t="str">
        <f t="shared" si="34"/>
        <v>Thu</v>
      </c>
      <c r="S716">
        <f t="shared" si="35"/>
        <v>7</v>
      </c>
      <c r="T716" t="str" cm="1">
        <f t="array" ref="T716">_xlfn.IFS(S716&lt;=12,"Morning",S716&lt;=16,"Afternoon",S716&lt;=21,"Evening",S716&lt;=24,"Night")</f>
        <v>Morning</v>
      </c>
    </row>
    <row r="717" spans="1:20" x14ac:dyDescent="0.25">
      <c r="A717" s="31" t="s">
        <v>751</v>
      </c>
      <c r="B717" s="27">
        <v>35.68</v>
      </c>
      <c r="C717" s="28">
        <v>5</v>
      </c>
      <c r="D717" s="27">
        <v>8.92</v>
      </c>
      <c r="E717" s="27">
        <v>187.32</v>
      </c>
      <c r="F717" s="29">
        <v>43502</v>
      </c>
      <c r="G717" s="30">
        <v>30.338888888888899</v>
      </c>
      <c r="H717" s="31" t="s">
        <v>33</v>
      </c>
      <c r="I717" s="27">
        <v>178.4</v>
      </c>
      <c r="J717" s="32">
        <v>4.7619047620000003</v>
      </c>
      <c r="K717" s="33">
        <v>6.6</v>
      </c>
      <c r="L717" s="31" t="str">
        <f>VLOOKUP(A717,'Customer-details'!$A$1:$C$1001,2,FALSE)</f>
        <v>Normal</v>
      </c>
      <c r="M717" s="31" t="str">
        <f>VLOOKUP(A717,'Customer-details'!$A$1:$C$1001,3,FALSE)</f>
        <v>Female</v>
      </c>
      <c r="N717" s="31" t="str">
        <f>VLOOKUP(A717,'Product-details'!$A$1:$B$1001,2,FALSE)</f>
        <v>Health and beauty</v>
      </c>
      <c r="O717" s="31" t="str">
        <f>VLOOKUP(A717,'City-details'!$A$1:$C$1001,3,FALSE)</f>
        <v>Yangon</v>
      </c>
      <c r="P717" s="31" t="str">
        <f>VLOOKUP(A717,'City-details'!$A$1:$C$1001,2,FALSE)</f>
        <v>A</v>
      </c>
      <c r="Q717" s="31" t="str">
        <f t="shared" si="33"/>
        <v>Feb</v>
      </c>
      <c r="R717" s="34" t="str">
        <f t="shared" si="34"/>
        <v>Wed</v>
      </c>
      <c r="S717">
        <f t="shared" si="35"/>
        <v>8</v>
      </c>
      <c r="T717" t="str" cm="1">
        <f t="array" ref="T717">_xlfn.IFS(S717&lt;=12,"Morning",S717&lt;=16,"Afternoon",S717&lt;=21,"Evening",S717&lt;=24,"Night")</f>
        <v>Morning</v>
      </c>
    </row>
    <row r="718" spans="1:20" x14ac:dyDescent="0.25">
      <c r="A718" s="23" t="s">
        <v>752</v>
      </c>
      <c r="B718" s="19">
        <v>71.459999999999994</v>
      </c>
      <c r="C718" s="20">
        <v>7</v>
      </c>
      <c r="D718" s="19">
        <v>25.010999999999999</v>
      </c>
      <c r="E718" s="19">
        <v>525.23099999999999</v>
      </c>
      <c r="F718" s="21">
        <v>43552</v>
      </c>
      <c r="G718" s="22">
        <v>30.380555555555599</v>
      </c>
      <c r="H718" s="23" t="s">
        <v>23</v>
      </c>
      <c r="I718" s="19">
        <v>500.22</v>
      </c>
      <c r="J718" s="24">
        <v>4.7619047620000003</v>
      </c>
      <c r="K718" s="25">
        <v>4.5</v>
      </c>
      <c r="L718" s="23" t="str">
        <f>VLOOKUP(A718,'Customer-details'!$A$1:$C$1001,2,FALSE)</f>
        <v>Member</v>
      </c>
      <c r="M718" s="23" t="str">
        <f>VLOOKUP(A718,'Customer-details'!$A$1:$C$1001,3,FALSE)</f>
        <v>Female</v>
      </c>
      <c r="N718" s="23" t="str">
        <f>VLOOKUP(A718,'Product-details'!$A$1:$B$1001,2,FALSE)</f>
        <v>Fashion accessories</v>
      </c>
      <c r="O718" s="23" t="str">
        <f>VLOOKUP(A718,'City-details'!$A$1:$C$1001,3,FALSE)</f>
        <v>Yangon</v>
      </c>
      <c r="P718" s="23" t="str">
        <f>VLOOKUP(A718,'City-details'!$A$1:$C$1001,2,FALSE)</f>
        <v>A</v>
      </c>
      <c r="Q718" s="23" t="str">
        <f t="shared" si="33"/>
        <v>Mar</v>
      </c>
      <c r="R718" s="26" t="str">
        <f t="shared" si="34"/>
        <v>Thu</v>
      </c>
      <c r="S718">
        <f t="shared" si="35"/>
        <v>9</v>
      </c>
      <c r="T718" t="str" cm="1">
        <f t="array" ref="T718">_xlfn.IFS(S718&lt;=12,"Morning",S718&lt;=16,"Afternoon",S718&lt;=21,"Evening",S718&lt;=24,"Night")</f>
        <v>Morning</v>
      </c>
    </row>
    <row r="719" spans="1:20" x14ac:dyDescent="0.25">
      <c r="A719" s="31" t="s">
        <v>753</v>
      </c>
      <c r="B719" s="27">
        <v>11.94</v>
      </c>
      <c r="C719" s="28">
        <v>3</v>
      </c>
      <c r="D719" s="27">
        <v>1.7909999999999999</v>
      </c>
      <c r="E719" s="27">
        <v>37.610999999999997</v>
      </c>
      <c r="F719" s="29">
        <v>43484</v>
      </c>
      <c r="G719" s="30">
        <v>30.422222222222199</v>
      </c>
      <c r="H719" s="31" t="s">
        <v>33</v>
      </c>
      <c r="I719" s="27">
        <v>35.82</v>
      </c>
      <c r="J719" s="32">
        <v>4.7619047620000003</v>
      </c>
      <c r="K719" s="33">
        <v>8.1</v>
      </c>
      <c r="L719" s="31" t="str">
        <f>VLOOKUP(A719,'Customer-details'!$A$1:$C$1001,2,FALSE)</f>
        <v>Member</v>
      </c>
      <c r="M719" s="31" t="str">
        <f>VLOOKUP(A719,'Customer-details'!$A$1:$C$1001,3,FALSE)</f>
        <v>Male</v>
      </c>
      <c r="N719" s="31" t="str">
        <f>VLOOKUP(A719,'Product-details'!$A$1:$B$1001,2,FALSE)</f>
        <v>Electronic accessories</v>
      </c>
      <c r="O719" s="31" t="str">
        <f>VLOOKUP(A719,'City-details'!$A$1:$C$1001,3,FALSE)</f>
        <v>Yangon</v>
      </c>
      <c r="P719" s="31" t="str">
        <f>VLOOKUP(A719,'City-details'!$A$1:$C$1001,2,FALSE)</f>
        <v>A</v>
      </c>
      <c r="Q719" s="31" t="str">
        <f t="shared" si="33"/>
        <v>Jan</v>
      </c>
      <c r="R719" s="34" t="str">
        <f t="shared" si="34"/>
        <v>Sat</v>
      </c>
      <c r="S719">
        <f t="shared" si="35"/>
        <v>10</v>
      </c>
      <c r="T719" t="str" cm="1">
        <f t="array" ref="T719">_xlfn.IFS(S719&lt;=12,"Morning",S719&lt;=16,"Afternoon",S719&lt;=21,"Evening",S719&lt;=24,"Night")</f>
        <v>Morning</v>
      </c>
    </row>
    <row r="720" spans="1:20" x14ac:dyDescent="0.25">
      <c r="A720" s="23" t="s">
        <v>754</v>
      </c>
      <c r="B720" s="19">
        <v>45.38</v>
      </c>
      <c r="C720" s="20">
        <v>3</v>
      </c>
      <c r="D720" s="19">
        <v>6.8070000000000004</v>
      </c>
      <c r="E720" s="19">
        <v>142.947</v>
      </c>
      <c r="F720" s="21">
        <v>43513</v>
      </c>
      <c r="G720" s="22">
        <v>30.463888888888899</v>
      </c>
      <c r="H720" s="23" t="s">
        <v>33</v>
      </c>
      <c r="I720" s="19">
        <v>136.13999999999999</v>
      </c>
      <c r="J720" s="24">
        <v>4.7619047620000003</v>
      </c>
      <c r="K720" s="25">
        <v>7.2</v>
      </c>
      <c r="L720" s="23" t="str">
        <f>VLOOKUP(A720,'Customer-details'!$A$1:$C$1001,2,FALSE)</f>
        <v>Normal</v>
      </c>
      <c r="M720" s="23" t="str">
        <f>VLOOKUP(A720,'Customer-details'!$A$1:$C$1001,3,FALSE)</f>
        <v>Male</v>
      </c>
      <c r="N720" s="23" t="str">
        <f>VLOOKUP(A720,'Product-details'!$A$1:$B$1001,2,FALSE)</f>
        <v>Fashion accessories</v>
      </c>
      <c r="O720" s="23" t="str">
        <f>VLOOKUP(A720,'City-details'!$A$1:$C$1001,3,FALSE)</f>
        <v>Yangon</v>
      </c>
      <c r="P720" s="23" t="str">
        <f>VLOOKUP(A720,'City-details'!$A$1:$C$1001,2,FALSE)</f>
        <v>A</v>
      </c>
      <c r="Q720" s="23" t="str">
        <f t="shared" si="33"/>
        <v>Feb</v>
      </c>
      <c r="R720" s="26" t="str">
        <f t="shared" si="34"/>
        <v>Sun</v>
      </c>
      <c r="S720">
        <f t="shared" si="35"/>
        <v>11</v>
      </c>
      <c r="T720" t="str" cm="1">
        <f t="array" ref="T720">_xlfn.IFS(S720&lt;=12,"Morning",S720&lt;=16,"Afternoon",S720&lt;=21,"Evening",S720&lt;=24,"Night")</f>
        <v>Morning</v>
      </c>
    </row>
    <row r="721" spans="1:20" x14ac:dyDescent="0.25">
      <c r="A721" s="31" t="s">
        <v>755</v>
      </c>
      <c r="B721" s="27">
        <v>17.48</v>
      </c>
      <c r="C721" s="28">
        <v>6</v>
      </c>
      <c r="D721" s="27">
        <v>5.2439999999999998</v>
      </c>
      <c r="E721" s="27">
        <v>110.124</v>
      </c>
      <c r="F721" s="29">
        <v>43483</v>
      </c>
      <c r="G721" s="30">
        <v>30.505555555555599</v>
      </c>
      <c r="H721" s="31" t="s">
        <v>33</v>
      </c>
      <c r="I721" s="27">
        <v>104.88</v>
      </c>
      <c r="J721" s="32">
        <v>4.7619047620000003</v>
      </c>
      <c r="K721" s="33">
        <v>6.1</v>
      </c>
      <c r="L721" s="31" t="str">
        <f>VLOOKUP(A721,'Customer-details'!$A$1:$C$1001,2,FALSE)</f>
        <v>Member</v>
      </c>
      <c r="M721" s="31" t="str">
        <f>VLOOKUP(A721,'Customer-details'!$A$1:$C$1001,3,FALSE)</f>
        <v>Female</v>
      </c>
      <c r="N721" s="31" t="str">
        <f>VLOOKUP(A721,'Product-details'!$A$1:$B$1001,2,FALSE)</f>
        <v>Fashion accessories</v>
      </c>
      <c r="O721" s="31" t="str">
        <f>VLOOKUP(A721,'City-details'!$A$1:$C$1001,3,FALSE)</f>
        <v>Mandalay</v>
      </c>
      <c r="P721" s="31" t="str">
        <f>VLOOKUP(A721,'City-details'!$A$1:$C$1001,2,FALSE)</f>
        <v>B</v>
      </c>
      <c r="Q721" s="31" t="str">
        <f t="shared" si="33"/>
        <v>Jan</v>
      </c>
      <c r="R721" s="34" t="str">
        <f t="shared" si="34"/>
        <v>Fri</v>
      </c>
      <c r="S721">
        <f t="shared" si="35"/>
        <v>12</v>
      </c>
      <c r="T721" t="str" cm="1">
        <f t="array" ref="T721">_xlfn.IFS(S721&lt;=12,"Morning",S721&lt;=16,"Afternoon",S721&lt;=21,"Evening",S721&lt;=24,"Night")</f>
        <v>Morning</v>
      </c>
    </row>
    <row r="722" spans="1:20" x14ac:dyDescent="0.25">
      <c r="A722" s="23" t="s">
        <v>756</v>
      </c>
      <c r="B722" s="19">
        <v>25.56</v>
      </c>
      <c r="C722" s="20">
        <v>7</v>
      </c>
      <c r="D722" s="19">
        <v>8.9459999999999997</v>
      </c>
      <c r="E722" s="19">
        <v>187.86600000000001</v>
      </c>
      <c r="F722" s="21">
        <v>43498</v>
      </c>
      <c r="G722" s="22">
        <v>30.547222222222199</v>
      </c>
      <c r="H722" s="23" t="s">
        <v>29</v>
      </c>
      <c r="I722" s="19">
        <v>178.92</v>
      </c>
      <c r="J722" s="24">
        <v>4.7619047620000003</v>
      </c>
      <c r="K722" s="25">
        <v>7.1</v>
      </c>
      <c r="L722" s="23" t="str">
        <f>VLOOKUP(A722,'Customer-details'!$A$1:$C$1001,2,FALSE)</f>
        <v>Normal</v>
      </c>
      <c r="M722" s="23" t="str">
        <f>VLOOKUP(A722,'Customer-details'!$A$1:$C$1001,3,FALSE)</f>
        <v>Female</v>
      </c>
      <c r="N722" s="23" t="str">
        <f>VLOOKUP(A722,'Product-details'!$A$1:$B$1001,2,FALSE)</f>
        <v>Fashion accessories</v>
      </c>
      <c r="O722" s="23" t="str">
        <f>VLOOKUP(A722,'City-details'!$A$1:$C$1001,3,FALSE)</f>
        <v>Mandalay</v>
      </c>
      <c r="P722" s="23" t="str">
        <f>VLOOKUP(A722,'City-details'!$A$1:$C$1001,2,FALSE)</f>
        <v>B</v>
      </c>
      <c r="Q722" s="23" t="str">
        <f t="shared" si="33"/>
        <v>Feb</v>
      </c>
      <c r="R722" s="26" t="str">
        <f t="shared" si="34"/>
        <v>Sat</v>
      </c>
      <c r="S722">
        <f t="shared" si="35"/>
        <v>13</v>
      </c>
      <c r="T722" t="str" cm="1">
        <f t="array" ref="T722">_xlfn.IFS(S722&lt;=12,"Morning",S722&lt;=16,"Afternoon",S722&lt;=21,"Evening",S722&lt;=24,"Night")</f>
        <v>Afternoon</v>
      </c>
    </row>
    <row r="723" spans="1:20" x14ac:dyDescent="0.25">
      <c r="A723" s="31" t="s">
        <v>757</v>
      </c>
      <c r="B723" s="27">
        <v>90.63</v>
      </c>
      <c r="C723" s="28">
        <v>9</v>
      </c>
      <c r="D723" s="27">
        <v>40.783499999999997</v>
      </c>
      <c r="E723" s="27">
        <v>856.45349999999996</v>
      </c>
      <c r="F723" s="29">
        <v>43483</v>
      </c>
      <c r="G723" s="30">
        <v>30.588888888888899</v>
      </c>
      <c r="H723" s="31" t="s">
        <v>29</v>
      </c>
      <c r="I723" s="27">
        <v>815.67</v>
      </c>
      <c r="J723" s="32">
        <v>4.7619047620000003</v>
      </c>
      <c r="K723" s="33">
        <v>5.0999999999999996</v>
      </c>
      <c r="L723" s="31" t="str">
        <f>VLOOKUP(A723,'Customer-details'!$A$1:$C$1001,2,FALSE)</f>
        <v>Member</v>
      </c>
      <c r="M723" s="31" t="str">
        <f>VLOOKUP(A723,'Customer-details'!$A$1:$C$1001,3,FALSE)</f>
        <v>Female</v>
      </c>
      <c r="N723" s="31" t="str">
        <f>VLOOKUP(A723,'Product-details'!$A$1:$B$1001,2,FALSE)</f>
        <v>Sports and travel</v>
      </c>
      <c r="O723" s="31" t="str">
        <f>VLOOKUP(A723,'City-details'!$A$1:$C$1001,3,FALSE)</f>
        <v>Naypyitaw</v>
      </c>
      <c r="P723" s="31" t="str">
        <f>VLOOKUP(A723,'City-details'!$A$1:$C$1001,2,FALSE)</f>
        <v>C</v>
      </c>
      <c r="Q723" s="31" t="str">
        <f t="shared" si="33"/>
        <v>Jan</v>
      </c>
      <c r="R723" s="34" t="str">
        <f t="shared" si="34"/>
        <v>Fri</v>
      </c>
      <c r="S723">
        <f t="shared" si="35"/>
        <v>14</v>
      </c>
      <c r="T723" t="str" cm="1">
        <f t="array" ref="T723">_xlfn.IFS(S723&lt;=12,"Morning",S723&lt;=16,"Afternoon",S723&lt;=21,"Evening",S723&lt;=24,"Night")</f>
        <v>Afternoon</v>
      </c>
    </row>
    <row r="724" spans="1:20" x14ac:dyDescent="0.25">
      <c r="A724" s="23" t="s">
        <v>758</v>
      </c>
      <c r="B724" s="19">
        <v>44.12</v>
      </c>
      <c r="C724" s="20">
        <v>3</v>
      </c>
      <c r="D724" s="19">
        <v>6.6180000000000003</v>
      </c>
      <c r="E724" s="19">
        <v>138.97800000000001</v>
      </c>
      <c r="F724" s="21">
        <v>43542</v>
      </c>
      <c r="G724" s="22">
        <v>30.630555555555599</v>
      </c>
      <c r="H724" s="23" t="s">
        <v>33</v>
      </c>
      <c r="I724" s="19">
        <v>132.36000000000001</v>
      </c>
      <c r="J724" s="24">
        <v>4.7619047620000003</v>
      </c>
      <c r="K724" s="25">
        <v>7.9</v>
      </c>
      <c r="L724" s="23" t="str">
        <f>VLOOKUP(A724,'Customer-details'!$A$1:$C$1001,2,FALSE)</f>
        <v>Normal</v>
      </c>
      <c r="M724" s="23" t="str">
        <f>VLOOKUP(A724,'Customer-details'!$A$1:$C$1001,3,FALSE)</f>
        <v>Male</v>
      </c>
      <c r="N724" s="23" t="str">
        <f>VLOOKUP(A724,'Product-details'!$A$1:$B$1001,2,FALSE)</f>
        <v>Home and lifestyle</v>
      </c>
      <c r="O724" s="23" t="str">
        <f>VLOOKUP(A724,'City-details'!$A$1:$C$1001,3,FALSE)</f>
        <v>Mandalay</v>
      </c>
      <c r="P724" s="23" t="str">
        <f>VLOOKUP(A724,'City-details'!$A$1:$C$1001,2,FALSE)</f>
        <v>B</v>
      </c>
      <c r="Q724" s="23" t="str">
        <f t="shared" si="33"/>
        <v>Mar</v>
      </c>
      <c r="R724" s="26" t="str">
        <f t="shared" si="34"/>
        <v>Mon</v>
      </c>
      <c r="S724">
        <f t="shared" si="35"/>
        <v>15</v>
      </c>
      <c r="T724" t="str" cm="1">
        <f t="array" ref="T724">_xlfn.IFS(S724&lt;=12,"Morning",S724&lt;=16,"Afternoon",S724&lt;=21,"Evening",S724&lt;=24,"Night")</f>
        <v>Afternoon</v>
      </c>
    </row>
    <row r="725" spans="1:20" x14ac:dyDescent="0.25">
      <c r="A725" s="31" t="s">
        <v>759</v>
      </c>
      <c r="B725" s="27">
        <v>36.770000000000003</v>
      </c>
      <c r="C725" s="28">
        <v>7</v>
      </c>
      <c r="D725" s="27">
        <v>12.8695</v>
      </c>
      <c r="E725" s="27">
        <v>270.2595</v>
      </c>
      <c r="F725" s="29">
        <v>43476</v>
      </c>
      <c r="G725" s="30">
        <v>30.672222222222199</v>
      </c>
      <c r="H725" s="31" t="s">
        <v>29</v>
      </c>
      <c r="I725" s="27">
        <v>257.39</v>
      </c>
      <c r="J725" s="32">
        <v>4.7619047620000003</v>
      </c>
      <c r="K725" s="33">
        <v>7.4</v>
      </c>
      <c r="L725" s="31" t="str">
        <f>VLOOKUP(A725,'Customer-details'!$A$1:$C$1001,2,FALSE)</f>
        <v>Member</v>
      </c>
      <c r="M725" s="31" t="str">
        <f>VLOOKUP(A725,'Customer-details'!$A$1:$C$1001,3,FALSE)</f>
        <v>Female</v>
      </c>
      <c r="N725" s="31" t="str">
        <f>VLOOKUP(A725,'Product-details'!$A$1:$B$1001,2,FALSE)</f>
        <v>Food and beverages</v>
      </c>
      <c r="O725" s="31" t="str">
        <f>VLOOKUP(A725,'City-details'!$A$1:$C$1001,3,FALSE)</f>
        <v>Naypyitaw</v>
      </c>
      <c r="P725" s="31" t="str">
        <f>VLOOKUP(A725,'City-details'!$A$1:$C$1001,2,FALSE)</f>
        <v>C</v>
      </c>
      <c r="Q725" s="31" t="str">
        <f t="shared" si="33"/>
        <v>Jan</v>
      </c>
      <c r="R725" s="34" t="str">
        <f t="shared" si="34"/>
        <v>Fri</v>
      </c>
      <c r="S725">
        <f t="shared" si="35"/>
        <v>16</v>
      </c>
      <c r="T725" t="str" cm="1">
        <f t="array" ref="T725">_xlfn.IFS(S725&lt;=12,"Morning",S725&lt;=16,"Afternoon",S725&lt;=21,"Evening",S725&lt;=24,"Night")</f>
        <v>Afternoon</v>
      </c>
    </row>
    <row r="726" spans="1:20" x14ac:dyDescent="0.25">
      <c r="A726" s="23" t="s">
        <v>760</v>
      </c>
      <c r="B726" s="19">
        <v>23.34</v>
      </c>
      <c r="C726" s="20">
        <v>4</v>
      </c>
      <c r="D726" s="19">
        <v>4.6680000000000001</v>
      </c>
      <c r="E726" s="19">
        <v>98.028000000000006</v>
      </c>
      <c r="F726" s="21">
        <v>43500</v>
      </c>
      <c r="G726" s="22">
        <v>30.713888888888899</v>
      </c>
      <c r="H726" s="23" t="s">
        <v>23</v>
      </c>
      <c r="I726" s="19">
        <v>93.36</v>
      </c>
      <c r="J726" s="24">
        <v>4.7619047620000003</v>
      </c>
      <c r="K726" s="25">
        <v>7.4</v>
      </c>
      <c r="L726" s="23" t="str">
        <f>VLOOKUP(A726,'Customer-details'!$A$1:$C$1001,2,FALSE)</f>
        <v>Member</v>
      </c>
      <c r="M726" s="23" t="str">
        <f>VLOOKUP(A726,'Customer-details'!$A$1:$C$1001,3,FALSE)</f>
        <v>Male</v>
      </c>
      <c r="N726" s="23" t="str">
        <f>VLOOKUP(A726,'Product-details'!$A$1:$B$1001,2,FALSE)</f>
        <v>Food and beverages</v>
      </c>
      <c r="O726" s="23" t="str">
        <f>VLOOKUP(A726,'City-details'!$A$1:$C$1001,3,FALSE)</f>
        <v>Mandalay</v>
      </c>
      <c r="P726" s="23" t="str">
        <f>VLOOKUP(A726,'City-details'!$A$1:$C$1001,2,FALSE)</f>
        <v>B</v>
      </c>
      <c r="Q726" s="23" t="str">
        <f t="shared" si="33"/>
        <v>Feb</v>
      </c>
      <c r="R726" s="26" t="str">
        <f t="shared" si="34"/>
        <v>Mon</v>
      </c>
      <c r="S726">
        <f t="shared" si="35"/>
        <v>17</v>
      </c>
      <c r="T726" t="str" cm="1">
        <f t="array" ref="T726">_xlfn.IFS(S726&lt;=12,"Morning",S726&lt;=16,"Afternoon",S726&lt;=21,"Evening",S726&lt;=24,"Night")</f>
        <v>Evening</v>
      </c>
    </row>
    <row r="727" spans="1:20" x14ac:dyDescent="0.25">
      <c r="A727" s="31" t="s">
        <v>761</v>
      </c>
      <c r="B727" s="27">
        <v>28.5</v>
      </c>
      <c r="C727" s="28">
        <v>8</v>
      </c>
      <c r="D727" s="27">
        <v>11.4</v>
      </c>
      <c r="E727" s="27">
        <v>239.4</v>
      </c>
      <c r="F727" s="29">
        <v>43502</v>
      </c>
      <c r="G727" s="30">
        <v>30.755555555555599</v>
      </c>
      <c r="H727" s="31" t="s">
        <v>29</v>
      </c>
      <c r="I727" s="27">
        <v>228</v>
      </c>
      <c r="J727" s="32">
        <v>4.7619047620000003</v>
      </c>
      <c r="K727" s="33">
        <v>6.6</v>
      </c>
      <c r="L727" s="31" t="str">
        <f>VLOOKUP(A727,'Customer-details'!$A$1:$C$1001,2,FALSE)</f>
        <v>Member</v>
      </c>
      <c r="M727" s="31" t="str">
        <f>VLOOKUP(A727,'Customer-details'!$A$1:$C$1001,3,FALSE)</f>
        <v>Female</v>
      </c>
      <c r="N727" s="31" t="str">
        <f>VLOOKUP(A727,'Product-details'!$A$1:$B$1001,2,FALSE)</f>
        <v>Health and beauty</v>
      </c>
      <c r="O727" s="31" t="str">
        <f>VLOOKUP(A727,'City-details'!$A$1:$C$1001,3,FALSE)</f>
        <v>Naypyitaw</v>
      </c>
      <c r="P727" s="31" t="str">
        <f>VLOOKUP(A727,'City-details'!$A$1:$C$1001,2,FALSE)</f>
        <v>C</v>
      </c>
      <c r="Q727" s="31" t="str">
        <f t="shared" si="33"/>
        <v>Feb</v>
      </c>
      <c r="R727" s="34" t="str">
        <f t="shared" si="34"/>
        <v>Wed</v>
      </c>
      <c r="S727">
        <f t="shared" si="35"/>
        <v>18</v>
      </c>
      <c r="T727" t="str" cm="1">
        <f t="array" ref="T727">_xlfn.IFS(S727&lt;=12,"Morning",S727&lt;=16,"Afternoon",S727&lt;=21,"Evening",S727&lt;=24,"Night")</f>
        <v>Evening</v>
      </c>
    </row>
    <row r="728" spans="1:20" x14ac:dyDescent="0.25">
      <c r="A728" s="23" t="s">
        <v>762</v>
      </c>
      <c r="B728" s="19">
        <v>55.57</v>
      </c>
      <c r="C728" s="20">
        <v>3</v>
      </c>
      <c r="D728" s="19">
        <v>8.3354999999999997</v>
      </c>
      <c r="E728" s="19">
        <v>175.0455</v>
      </c>
      <c r="F728" s="21">
        <v>43473</v>
      </c>
      <c r="G728" s="22">
        <v>30.797222222222199</v>
      </c>
      <c r="H728" s="23" t="s">
        <v>33</v>
      </c>
      <c r="I728" s="19">
        <v>166.71</v>
      </c>
      <c r="J728" s="24">
        <v>4.7619047620000003</v>
      </c>
      <c r="K728" s="25">
        <v>5.9</v>
      </c>
      <c r="L728" s="23" t="str">
        <f>VLOOKUP(A728,'Customer-details'!$A$1:$C$1001,2,FALSE)</f>
        <v>Member</v>
      </c>
      <c r="M728" s="23" t="str">
        <f>VLOOKUP(A728,'Customer-details'!$A$1:$C$1001,3,FALSE)</f>
        <v>Male</v>
      </c>
      <c r="N728" s="23" t="str">
        <f>VLOOKUP(A728,'Product-details'!$A$1:$B$1001,2,FALSE)</f>
        <v>Home and lifestyle</v>
      </c>
      <c r="O728" s="23" t="str">
        <f>VLOOKUP(A728,'City-details'!$A$1:$C$1001,3,FALSE)</f>
        <v>Naypyitaw</v>
      </c>
      <c r="P728" s="23" t="str">
        <f>VLOOKUP(A728,'City-details'!$A$1:$C$1001,2,FALSE)</f>
        <v>C</v>
      </c>
      <c r="Q728" s="23" t="str">
        <f t="shared" si="33"/>
        <v>Jan</v>
      </c>
      <c r="R728" s="26" t="str">
        <f t="shared" si="34"/>
        <v>Tue</v>
      </c>
      <c r="S728">
        <f t="shared" si="35"/>
        <v>19</v>
      </c>
      <c r="T728" t="str" cm="1">
        <f t="array" ref="T728">_xlfn.IFS(S728&lt;=12,"Morning",S728&lt;=16,"Afternoon",S728&lt;=21,"Evening",S728&lt;=24,"Night")</f>
        <v>Evening</v>
      </c>
    </row>
    <row r="729" spans="1:20" x14ac:dyDescent="0.25">
      <c r="A729" s="31" t="s">
        <v>763</v>
      </c>
      <c r="B729" s="27">
        <v>69.739999999999995</v>
      </c>
      <c r="C729" s="28">
        <v>10</v>
      </c>
      <c r="D729" s="27">
        <v>34.869999999999997</v>
      </c>
      <c r="E729" s="27">
        <v>732.27</v>
      </c>
      <c r="F729" s="29">
        <v>43529</v>
      </c>
      <c r="G729" s="30">
        <v>30.838888888888899</v>
      </c>
      <c r="H729" s="31" t="s">
        <v>33</v>
      </c>
      <c r="I729" s="27">
        <v>697.4</v>
      </c>
      <c r="J729" s="32">
        <v>4.7619047620000003</v>
      </c>
      <c r="K729" s="33">
        <v>8.9</v>
      </c>
      <c r="L729" s="31" t="str">
        <f>VLOOKUP(A729,'Customer-details'!$A$1:$C$1001,2,FALSE)</f>
        <v>Normal</v>
      </c>
      <c r="M729" s="31" t="str">
        <f>VLOOKUP(A729,'Customer-details'!$A$1:$C$1001,3,FALSE)</f>
        <v>Male</v>
      </c>
      <c r="N729" s="31" t="str">
        <f>VLOOKUP(A729,'Product-details'!$A$1:$B$1001,2,FALSE)</f>
        <v>Sports and travel</v>
      </c>
      <c r="O729" s="31" t="str">
        <f>VLOOKUP(A729,'City-details'!$A$1:$C$1001,3,FALSE)</f>
        <v>Mandalay</v>
      </c>
      <c r="P729" s="31" t="str">
        <f>VLOOKUP(A729,'City-details'!$A$1:$C$1001,2,FALSE)</f>
        <v>B</v>
      </c>
      <c r="Q729" s="31" t="str">
        <f t="shared" si="33"/>
        <v>Mar</v>
      </c>
      <c r="R729" s="34" t="str">
        <f t="shared" si="34"/>
        <v>Tue</v>
      </c>
      <c r="S729">
        <f t="shared" si="35"/>
        <v>20</v>
      </c>
      <c r="T729" t="str" cm="1">
        <f t="array" ref="T729">_xlfn.IFS(S729&lt;=12,"Morning",S729&lt;=16,"Afternoon",S729&lt;=21,"Evening",S729&lt;=24,"Night")</f>
        <v>Evening</v>
      </c>
    </row>
    <row r="730" spans="1:20" x14ac:dyDescent="0.25">
      <c r="A730" s="23" t="s">
        <v>764</v>
      </c>
      <c r="B730" s="19">
        <v>97.26</v>
      </c>
      <c r="C730" s="20">
        <v>4</v>
      </c>
      <c r="D730" s="19">
        <v>19.452000000000002</v>
      </c>
      <c r="E730" s="19">
        <v>408.49200000000002</v>
      </c>
      <c r="F730" s="21">
        <v>43540</v>
      </c>
      <c r="G730" s="22">
        <v>30.880555555555599</v>
      </c>
      <c r="H730" s="23" t="s">
        <v>23</v>
      </c>
      <c r="I730" s="19">
        <v>389.04</v>
      </c>
      <c r="J730" s="24">
        <v>4.7619047620000003</v>
      </c>
      <c r="K730" s="25">
        <v>6.8</v>
      </c>
      <c r="L730" s="23" t="str">
        <f>VLOOKUP(A730,'Customer-details'!$A$1:$C$1001,2,FALSE)</f>
        <v>Normal</v>
      </c>
      <c r="M730" s="23" t="str">
        <f>VLOOKUP(A730,'Customer-details'!$A$1:$C$1001,3,FALSE)</f>
        <v>Male</v>
      </c>
      <c r="N730" s="23" t="str">
        <f>VLOOKUP(A730,'Product-details'!$A$1:$B$1001,2,FALSE)</f>
        <v>Fashion accessories</v>
      </c>
      <c r="O730" s="23" t="str">
        <f>VLOOKUP(A730,'City-details'!$A$1:$C$1001,3,FALSE)</f>
        <v>Naypyitaw</v>
      </c>
      <c r="P730" s="23" t="str">
        <f>VLOOKUP(A730,'City-details'!$A$1:$C$1001,2,FALSE)</f>
        <v>C</v>
      </c>
      <c r="Q730" s="23" t="str">
        <f t="shared" si="33"/>
        <v>Mar</v>
      </c>
      <c r="R730" s="26" t="str">
        <f t="shared" si="34"/>
        <v>Sat</v>
      </c>
      <c r="S730">
        <f t="shared" si="35"/>
        <v>21</v>
      </c>
      <c r="T730" t="str" cm="1">
        <f t="array" ref="T730">_xlfn.IFS(S730&lt;=12,"Morning",S730&lt;=16,"Afternoon",S730&lt;=21,"Evening",S730&lt;=24,"Night")</f>
        <v>Evening</v>
      </c>
    </row>
    <row r="731" spans="1:20" x14ac:dyDescent="0.25">
      <c r="A731" s="31" t="s">
        <v>765</v>
      </c>
      <c r="B731" s="27">
        <v>52.18</v>
      </c>
      <c r="C731" s="28">
        <v>7</v>
      </c>
      <c r="D731" s="27">
        <v>18.263000000000002</v>
      </c>
      <c r="E731" s="27">
        <v>383.52300000000002</v>
      </c>
      <c r="F731" s="29">
        <v>43533</v>
      </c>
      <c r="G731" s="30">
        <v>30.922222222222199</v>
      </c>
      <c r="H731" s="31" t="s">
        <v>29</v>
      </c>
      <c r="I731" s="27">
        <v>365.26</v>
      </c>
      <c r="J731" s="32">
        <v>4.7619047620000003</v>
      </c>
      <c r="K731" s="33">
        <v>9.3000000000000007</v>
      </c>
      <c r="L731" s="31" t="str">
        <f>VLOOKUP(A731,'Customer-details'!$A$1:$C$1001,2,FALSE)</f>
        <v>Member</v>
      </c>
      <c r="M731" s="31" t="str">
        <f>VLOOKUP(A731,'Customer-details'!$A$1:$C$1001,3,FALSE)</f>
        <v>Female</v>
      </c>
      <c r="N731" s="31" t="str">
        <f>VLOOKUP(A731,'Product-details'!$A$1:$B$1001,2,FALSE)</f>
        <v>Home and lifestyle</v>
      </c>
      <c r="O731" s="31" t="str">
        <f>VLOOKUP(A731,'City-details'!$A$1:$C$1001,3,FALSE)</f>
        <v>Mandalay</v>
      </c>
      <c r="P731" s="31" t="str">
        <f>VLOOKUP(A731,'City-details'!$A$1:$C$1001,2,FALSE)</f>
        <v>B</v>
      </c>
      <c r="Q731" s="31" t="str">
        <f t="shared" si="33"/>
        <v>Mar</v>
      </c>
      <c r="R731" s="34" t="str">
        <f t="shared" si="34"/>
        <v>Sat</v>
      </c>
      <c r="S731">
        <f t="shared" si="35"/>
        <v>22</v>
      </c>
      <c r="T731" t="str" cm="1">
        <f t="array" ref="T731">_xlfn.IFS(S731&lt;=12,"Morning",S731&lt;=16,"Afternoon",S731&lt;=21,"Evening",S731&lt;=24,"Night")</f>
        <v>Night</v>
      </c>
    </row>
    <row r="732" spans="1:20" x14ac:dyDescent="0.25">
      <c r="A732" s="23" t="s">
        <v>766</v>
      </c>
      <c r="B732" s="19">
        <v>22.32</v>
      </c>
      <c r="C732" s="20">
        <v>4</v>
      </c>
      <c r="D732" s="19">
        <v>4.4640000000000004</v>
      </c>
      <c r="E732" s="19">
        <v>93.744</v>
      </c>
      <c r="F732" s="21">
        <v>43525</v>
      </c>
      <c r="G732" s="22">
        <v>30.963888888888899</v>
      </c>
      <c r="H732" s="23" t="s">
        <v>33</v>
      </c>
      <c r="I732" s="19">
        <v>89.28</v>
      </c>
      <c r="J732" s="24">
        <v>4.7619047620000003</v>
      </c>
      <c r="K732" s="25">
        <v>4.4000000000000004</v>
      </c>
      <c r="L732" s="23" t="str">
        <f>VLOOKUP(A732,'Customer-details'!$A$1:$C$1001,2,FALSE)</f>
        <v>Member</v>
      </c>
      <c r="M732" s="23" t="str">
        <f>VLOOKUP(A732,'Customer-details'!$A$1:$C$1001,3,FALSE)</f>
        <v>Female</v>
      </c>
      <c r="N732" s="23" t="str">
        <f>VLOOKUP(A732,'Product-details'!$A$1:$B$1001,2,FALSE)</f>
        <v>Fashion accessories</v>
      </c>
      <c r="O732" s="23" t="str">
        <f>VLOOKUP(A732,'City-details'!$A$1:$C$1001,3,FALSE)</f>
        <v>Yangon</v>
      </c>
      <c r="P732" s="23" t="str">
        <f>VLOOKUP(A732,'City-details'!$A$1:$C$1001,2,FALSE)</f>
        <v>A</v>
      </c>
      <c r="Q732" s="23" t="str">
        <f t="shared" si="33"/>
        <v>Mar</v>
      </c>
      <c r="R732" s="26" t="str">
        <f t="shared" si="34"/>
        <v>Fri</v>
      </c>
      <c r="S732">
        <f t="shared" si="35"/>
        <v>23</v>
      </c>
      <c r="T732" t="str" cm="1">
        <f t="array" ref="T732">_xlfn.IFS(S732&lt;=12,"Morning",S732&lt;=16,"Afternoon",S732&lt;=21,"Evening",S732&lt;=24,"Night")</f>
        <v>Night</v>
      </c>
    </row>
    <row r="733" spans="1:20" x14ac:dyDescent="0.25">
      <c r="A733" s="31" t="s">
        <v>767</v>
      </c>
      <c r="B733" s="27">
        <v>56</v>
      </c>
      <c r="C733" s="28">
        <v>3</v>
      </c>
      <c r="D733" s="27">
        <v>8.4</v>
      </c>
      <c r="E733" s="27">
        <v>176.4</v>
      </c>
      <c r="F733" s="29">
        <v>43524</v>
      </c>
      <c r="G733" s="30">
        <v>31.005555555555599</v>
      </c>
      <c r="H733" s="31" t="s">
        <v>23</v>
      </c>
      <c r="I733" s="27">
        <v>168</v>
      </c>
      <c r="J733" s="32">
        <v>4.7619047620000003</v>
      </c>
      <c r="K733" s="33">
        <v>4.8</v>
      </c>
      <c r="L733" s="31" t="str">
        <f>VLOOKUP(A733,'Customer-details'!$A$1:$C$1001,2,FALSE)</f>
        <v>Normal</v>
      </c>
      <c r="M733" s="31" t="str">
        <f>VLOOKUP(A733,'Customer-details'!$A$1:$C$1001,3,FALSE)</f>
        <v>Male</v>
      </c>
      <c r="N733" s="31" t="str">
        <f>VLOOKUP(A733,'Product-details'!$A$1:$B$1001,2,FALSE)</f>
        <v>Health and beauty</v>
      </c>
      <c r="O733" s="31" t="str">
        <f>VLOOKUP(A733,'City-details'!$A$1:$C$1001,3,FALSE)</f>
        <v>Yangon</v>
      </c>
      <c r="P733" s="31" t="str">
        <f>VLOOKUP(A733,'City-details'!$A$1:$C$1001,2,FALSE)</f>
        <v>A</v>
      </c>
      <c r="Q733" s="31" t="str">
        <f t="shared" si="33"/>
        <v>Feb</v>
      </c>
      <c r="R733" s="34" t="str">
        <f t="shared" si="34"/>
        <v>Thu</v>
      </c>
      <c r="S733">
        <f t="shared" si="35"/>
        <v>0</v>
      </c>
      <c r="T733" t="str" cm="1">
        <f t="array" ref="T733">_xlfn.IFS(S733&lt;=12,"Morning",S733&lt;=16,"Afternoon",S733&lt;=21,"Evening",S733&lt;=24,"Night")</f>
        <v>Morning</v>
      </c>
    </row>
    <row r="734" spans="1:20" x14ac:dyDescent="0.25">
      <c r="A734" s="23" t="s">
        <v>768</v>
      </c>
      <c r="B734" s="19">
        <v>19.7</v>
      </c>
      <c r="C734" s="20">
        <v>1</v>
      </c>
      <c r="D734" s="19">
        <v>0.98499999999999999</v>
      </c>
      <c r="E734" s="19">
        <v>20.684999999999999</v>
      </c>
      <c r="F734" s="21">
        <v>43504</v>
      </c>
      <c r="G734" s="22">
        <v>31.047222222222199</v>
      </c>
      <c r="H734" s="23" t="s">
        <v>23</v>
      </c>
      <c r="I734" s="19">
        <v>19.7</v>
      </c>
      <c r="J734" s="24">
        <v>4.7619047620000003</v>
      </c>
      <c r="K734" s="25">
        <v>9.5</v>
      </c>
      <c r="L734" s="23" t="str">
        <f>VLOOKUP(A734,'Customer-details'!$A$1:$C$1001,2,FALSE)</f>
        <v>Member</v>
      </c>
      <c r="M734" s="23" t="str">
        <f>VLOOKUP(A734,'Customer-details'!$A$1:$C$1001,3,FALSE)</f>
        <v>Male</v>
      </c>
      <c r="N734" s="23" t="str">
        <f>VLOOKUP(A734,'Product-details'!$A$1:$B$1001,2,FALSE)</f>
        <v>Fashion accessories</v>
      </c>
      <c r="O734" s="23" t="str">
        <f>VLOOKUP(A734,'City-details'!$A$1:$C$1001,3,FALSE)</f>
        <v>Yangon</v>
      </c>
      <c r="P734" s="23" t="str">
        <f>VLOOKUP(A734,'City-details'!$A$1:$C$1001,2,FALSE)</f>
        <v>A</v>
      </c>
      <c r="Q734" s="23" t="str">
        <f t="shared" si="33"/>
        <v>Feb</v>
      </c>
      <c r="R734" s="26" t="str">
        <f t="shared" si="34"/>
        <v>Fri</v>
      </c>
      <c r="S734">
        <f t="shared" si="35"/>
        <v>1</v>
      </c>
      <c r="T734" t="str" cm="1">
        <f t="array" ref="T734">_xlfn.IFS(S734&lt;=12,"Morning",S734&lt;=16,"Afternoon",S734&lt;=21,"Evening",S734&lt;=24,"Night")</f>
        <v>Morning</v>
      </c>
    </row>
    <row r="735" spans="1:20" x14ac:dyDescent="0.25">
      <c r="A735" s="31" t="s">
        <v>769</v>
      </c>
      <c r="B735" s="27">
        <v>75.88</v>
      </c>
      <c r="C735" s="28">
        <v>7</v>
      </c>
      <c r="D735" s="27">
        <v>26.558</v>
      </c>
      <c r="E735" s="27">
        <v>557.71799999999996</v>
      </c>
      <c r="F735" s="29">
        <v>43489</v>
      </c>
      <c r="G735" s="30">
        <v>31.088888888888899</v>
      </c>
      <c r="H735" s="31" t="s">
        <v>23</v>
      </c>
      <c r="I735" s="27">
        <v>531.16</v>
      </c>
      <c r="J735" s="32">
        <v>4.7619047620000003</v>
      </c>
      <c r="K735" s="33">
        <v>8.9</v>
      </c>
      <c r="L735" s="31" t="str">
        <f>VLOOKUP(A735,'Customer-details'!$A$1:$C$1001,2,FALSE)</f>
        <v>Normal</v>
      </c>
      <c r="M735" s="31" t="str">
        <f>VLOOKUP(A735,'Customer-details'!$A$1:$C$1001,3,FALSE)</f>
        <v>Male</v>
      </c>
      <c r="N735" s="31" t="str">
        <f>VLOOKUP(A735,'Product-details'!$A$1:$B$1001,2,FALSE)</f>
        <v>Electronic accessories</v>
      </c>
      <c r="O735" s="31" t="str">
        <f>VLOOKUP(A735,'City-details'!$A$1:$C$1001,3,FALSE)</f>
        <v>Mandalay</v>
      </c>
      <c r="P735" s="31" t="str">
        <f>VLOOKUP(A735,'City-details'!$A$1:$C$1001,2,FALSE)</f>
        <v>B</v>
      </c>
      <c r="Q735" s="31" t="str">
        <f t="shared" si="33"/>
        <v>Jan</v>
      </c>
      <c r="R735" s="34" t="str">
        <f t="shared" si="34"/>
        <v>Thu</v>
      </c>
      <c r="S735">
        <f t="shared" si="35"/>
        <v>2</v>
      </c>
      <c r="T735" t="str" cm="1">
        <f t="array" ref="T735">_xlfn.IFS(S735&lt;=12,"Morning",S735&lt;=16,"Afternoon",S735&lt;=21,"Evening",S735&lt;=24,"Night")</f>
        <v>Morning</v>
      </c>
    </row>
    <row r="736" spans="1:20" x14ac:dyDescent="0.25">
      <c r="A736" s="23" t="s">
        <v>770</v>
      </c>
      <c r="B736" s="19">
        <v>53.72</v>
      </c>
      <c r="C736" s="20">
        <v>1</v>
      </c>
      <c r="D736" s="19">
        <v>2.6859999999999999</v>
      </c>
      <c r="E736" s="19">
        <v>56.405999999999999</v>
      </c>
      <c r="F736" s="21">
        <v>43525</v>
      </c>
      <c r="G736" s="22">
        <v>31.130555555555599</v>
      </c>
      <c r="H736" s="23" t="s">
        <v>23</v>
      </c>
      <c r="I736" s="19">
        <v>53.72</v>
      </c>
      <c r="J736" s="24">
        <v>4.7619047620000003</v>
      </c>
      <c r="K736" s="25">
        <v>6.4</v>
      </c>
      <c r="L736" s="23" t="str">
        <f>VLOOKUP(A736,'Customer-details'!$A$1:$C$1001,2,FALSE)</f>
        <v>Member</v>
      </c>
      <c r="M736" s="23" t="str">
        <f>VLOOKUP(A736,'Customer-details'!$A$1:$C$1001,3,FALSE)</f>
        <v>Male</v>
      </c>
      <c r="N736" s="23" t="str">
        <f>VLOOKUP(A736,'Product-details'!$A$1:$B$1001,2,FALSE)</f>
        <v>Food and beverages</v>
      </c>
      <c r="O736" s="23" t="str">
        <f>VLOOKUP(A736,'City-details'!$A$1:$C$1001,3,FALSE)</f>
        <v>Mandalay</v>
      </c>
      <c r="P736" s="23" t="str">
        <f>VLOOKUP(A736,'City-details'!$A$1:$C$1001,2,FALSE)</f>
        <v>B</v>
      </c>
      <c r="Q736" s="23" t="str">
        <f t="shared" si="33"/>
        <v>Mar</v>
      </c>
      <c r="R736" s="26" t="str">
        <f t="shared" si="34"/>
        <v>Fri</v>
      </c>
      <c r="S736">
        <f t="shared" si="35"/>
        <v>3</v>
      </c>
      <c r="T736" t="str" cm="1">
        <f t="array" ref="T736">_xlfn.IFS(S736&lt;=12,"Morning",S736&lt;=16,"Afternoon",S736&lt;=21,"Evening",S736&lt;=24,"Night")</f>
        <v>Morning</v>
      </c>
    </row>
    <row r="737" spans="1:20" x14ac:dyDescent="0.25">
      <c r="A737" s="31" t="s">
        <v>771</v>
      </c>
      <c r="B737" s="27">
        <v>81.95</v>
      </c>
      <c r="C737" s="28">
        <v>10</v>
      </c>
      <c r="D737" s="27">
        <v>40.975000000000001</v>
      </c>
      <c r="E737" s="27">
        <v>860.47500000000002</v>
      </c>
      <c r="F737" s="29">
        <v>43534</v>
      </c>
      <c r="G737" s="30">
        <v>31.172222222222199</v>
      </c>
      <c r="H737" s="31" t="s">
        <v>33</v>
      </c>
      <c r="I737" s="27">
        <v>819.5</v>
      </c>
      <c r="J737" s="32">
        <v>4.7619047620000003</v>
      </c>
      <c r="K737" s="33">
        <v>6</v>
      </c>
      <c r="L737" s="31" t="str">
        <f>VLOOKUP(A737,'Customer-details'!$A$1:$C$1001,2,FALSE)</f>
        <v>Member</v>
      </c>
      <c r="M737" s="31" t="str">
        <f>VLOOKUP(A737,'Customer-details'!$A$1:$C$1001,3,FALSE)</f>
        <v>Male</v>
      </c>
      <c r="N737" s="31" t="str">
        <f>VLOOKUP(A737,'Product-details'!$A$1:$B$1001,2,FALSE)</f>
        <v>Health and beauty</v>
      </c>
      <c r="O737" s="31" t="str">
        <f>VLOOKUP(A737,'City-details'!$A$1:$C$1001,3,FALSE)</f>
        <v>Naypyitaw</v>
      </c>
      <c r="P737" s="31" t="str">
        <f>VLOOKUP(A737,'City-details'!$A$1:$C$1001,2,FALSE)</f>
        <v>C</v>
      </c>
      <c r="Q737" s="31" t="str">
        <f t="shared" si="33"/>
        <v>Mar</v>
      </c>
      <c r="R737" s="34" t="str">
        <f t="shared" si="34"/>
        <v>Sun</v>
      </c>
      <c r="S737">
        <f t="shared" si="35"/>
        <v>4</v>
      </c>
      <c r="T737" t="str" cm="1">
        <f t="array" ref="T737">_xlfn.IFS(S737&lt;=12,"Morning",S737&lt;=16,"Afternoon",S737&lt;=21,"Evening",S737&lt;=24,"Night")</f>
        <v>Morning</v>
      </c>
    </row>
    <row r="738" spans="1:20" x14ac:dyDescent="0.25">
      <c r="A738" s="23" t="s">
        <v>772</v>
      </c>
      <c r="B738" s="19">
        <v>81.2</v>
      </c>
      <c r="C738" s="20">
        <v>7</v>
      </c>
      <c r="D738" s="19">
        <v>28.42</v>
      </c>
      <c r="E738" s="19">
        <v>596.82000000000005</v>
      </c>
      <c r="F738" s="21">
        <v>43547</v>
      </c>
      <c r="G738" s="22">
        <v>31.213888888888899</v>
      </c>
      <c r="H738" s="23" t="s">
        <v>33</v>
      </c>
      <c r="I738" s="19">
        <v>568.4</v>
      </c>
      <c r="J738" s="24">
        <v>4.7619047620000003</v>
      </c>
      <c r="K738" s="25">
        <v>8.1</v>
      </c>
      <c r="L738" s="23" t="str">
        <f>VLOOKUP(A738,'Customer-details'!$A$1:$C$1001,2,FALSE)</f>
        <v>Member</v>
      </c>
      <c r="M738" s="23" t="str">
        <f>VLOOKUP(A738,'Customer-details'!$A$1:$C$1001,3,FALSE)</f>
        <v>Female</v>
      </c>
      <c r="N738" s="23" t="str">
        <f>VLOOKUP(A738,'Product-details'!$A$1:$B$1001,2,FALSE)</f>
        <v>Home and lifestyle</v>
      </c>
      <c r="O738" s="23" t="str">
        <f>VLOOKUP(A738,'City-details'!$A$1:$C$1001,3,FALSE)</f>
        <v>Naypyitaw</v>
      </c>
      <c r="P738" s="23" t="str">
        <f>VLOOKUP(A738,'City-details'!$A$1:$C$1001,2,FALSE)</f>
        <v>C</v>
      </c>
      <c r="Q738" s="23" t="str">
        <f t="shared" si="33"/>
        <v>Mar</v>
      </c>
      <c r="R738" s="26" t="str">
        <f t="shared" si="34"/>
        <v>Sat</v>
      </c>
      <c r="S738">
        <f t="shared" si="35"/>
        <v>5</v>
      </c>
      <c r="T738" t="str" cm="1">
        <f t="array" ref="T738">_xlfn.IFS(S738&lt;=12,"Morning",S738&lt;=16,"Afternoon",S738&lt;=21,"Evening",S738&lt;=24,"Night")</f>
        <v>Morning</v>
      </c>
    </row>
    <row r="739" spans="1:20" x14ac:dyDescent="0.25">
      <c r="A739" s="31" t="s">
        <v>773</v>
      </c>
      <c r="B739" s="27">
        <v>58.76</v>
      </c>
      <c r="C739" s="28">
        <v>10</v>
      </c>
      <c r="D739" s="27">
        <v>29.38</v>
      </c>
      <c r="E739" s="27">
        <v>616.98</v>
      </c>
      <c r="F739" s="29">
        <v>43494</v>
      </c>
      <c r="G739" s="30">
        <v>31.255555555555599</v>
      </c>
      <c r="H739" s="31" t="s">
        <v>23</v>
      </c>
      <c r="I739" s="27">
        <v>587.6</v>
      </c>
      <c r="J739" s="32">
        <v>4.7619047620000003</v>
      </c>
      <c r="K739" s="33">
        <v>9</v>
      </c>
      <c r="L739" s="31" t="str">
        <f>VLOOKUP(A739,'Customer-details'!$A$1:$C$1001,2,FALSE)</f>
        <v>Normal</v>
      </c>
      <c r="M739" s="31" t="str">
        <f>VLOOKUP(A739,'Customer-details'!$A$1:$C$1001,3,FALSE)</f>
        <v>Male</v>
      </c>
      <c r="N739" s="31" t="str">
        <f>VLOOKUP(A739,'Product-details'!$A$1:$B$1001,2,FALSE)</f>
        <v>Electronic accessories</v>
      </c>
      <c r="O739" s="31" t="str">
        <f>VLOOKUP(A739,'City-details'!$A$1:$C$1001,3,FALSE)</f>
        <v>Naypyitaw</v>
      </c>
      <c r="P739" s="31" t="str">
        <f>VLOOKUP(A739,'City-details'!$A$1:$C$1001,2,FALSE)</f>
        <v>C</v>
      </c>
      <c r="Q739" s="31" t="str">
        <f t="shared" si="33"/>
        <v>Jan</v>
      </c>
      <c r="R739" s="34" t="str">
        <f t="shared" si="34"/>
        <v>Tue</v>
      </c>
      <c r="S739">
        <f t="shared" si="35"/>
        <v>6</v>
      </c>
      <c r="T739" t="str" cm="1">
        <f t="array" ref="T739">_xlfn.IFS(S739&lt;=12,"Morning",S739&lt;=16,"Afternoon",S739&lt;=21,"Evening",S739&lt;=24,"Night")</f>
        <v>Morning</v>
      </c>
    </row>
    <row r="740" spans="1:20" x14ac:dyDescent="0.25">
      <c r="A740" s="23" t="s">
        <v>774</v>
      </c>
      <c r="B740" s="19">
        <v>91.56</v>
      </c>
      <c r="C740" s="20">
        <v>8</v>
      </c>
      <c r="D740" s="19">
        <v>36.624000000000002</v>
      </c>
      <c r="E740" s="19">
        <v>769.10400000000004</v>
      </c>
      <c r="F740" s="21">
        <v>43477</v>
      </c>
      <c r="G740" s="22">
        <v>31.297222222222199</v>
      </c>
      <c r="H740" s="23" t="s">
        <v>23</v>
      </c>
      <c r="I740" s="19">
        <v>732.48</v>
      </c>
      <c r="J740" s="24">
        <v>4.7619047620000003</v>
      </c>
      <c r="K740" s="25">
        <v>6</v>
      </c>
      <c r="L740" s="23" t="str">
        <f>VLOOKUP(A740,'Customer-details'!$A$1:$C$1001,2,FALSE)</f>
        <v>Member</v>
      </c>
      <c r="M740" s="23" t="str">
        <f>VLOOKUP(A740,'Customer-details'!$A$1:$C$1001,3,FALSE)</f>
        <v>Male</v>
      </c>
      <c r="N740" s="23" t="str">
        <f>VLOOKUP(A740,'Product-details'!$A$1:$B$1001,2,FALSE)</f>
        <v>Electronic accessories</v>
      </c>
      <c r="O740" s="23" t="str">
        <f>VLOOKUP(A740,'City-details'!$A$1:$C$1001,3,FALSE)</f>
        <v>Mandalay</v>
      </c>
      <c r="P740" s="23" t="str">
        <f>VLOOKUP(A740,'City-details'!$A$1:$C$1001,2,FALSE)</f>
        <v>B</v>
      </c>
      <c r="Q740" s="23" t="str">
        <f t="shared" si="33"/>
        <v>Jan</v>
      </c>
      <c r="R740" s="26" t="str">
        <f t="shared" si="34"/>
        <v>Sat</v>
      </c>
      <c r="S740">
        <f t="shared" si="35"/>
        <v>7</v>
      </c>
      <c r="T740" t="str" cm="1">
        <f t="array" ref="T740">_xlfn.IFS(S740&lt;=12,"Morning",S740&lt;=16,"Afternoon",S740&lt;=21,"Evening",S740&lt;=24,"Night")</f>
        <v>Morning</v>
      </c>
    </row>
    <row r="741" spans="1:20" x14ac:dyDescent="0.25">
      <c r="A741" s="31" t="s">
        <v>775</v>
      </c>
      <c r="B741" s="27">
        <v>93.96</v>
      </c>
      <c r="C741" s="28">
        <v>9</v>
      </c>
      <c r="D741" s="27">
        <v>42.281999999999996</v>
      </c>
      <c r="E741" s="27">
        <v>887.92200000000003</v>
      </c>
      <c r="F741" s="29">
        <v>43544</v>
      </c>
      <c r="G741" s="30">
        <v>31.338888888888899</v>
      </c>
      <c r="H741" s="31" t="s">
        <v>29</v>
      </c>
      <c r="I741" s="27">
        <v>845.64</v>
      </c>
      <c r="J741" s="32">
        <v>4.7619047620000003</v>
      </c>
      <c r="K741" s="33">
        <v>9.8000000000000007</v>
      </c>
      <c r="L741" s="31" t="str">
        <f>VLOOKUP(A741,'Customer-details'!$A$1:$C$1001,2,FALSE)</f>
        <v>Normal</v>
      </c>
      <c r="M741" s="31" t="str">
        <f>VLOOKUP(A741,'Customer-details'!$A$1:$C$1001,3,FALSE)</f>
        <v>Male</v>
      </c>
      <c r="N741" s="31" t="str">
        <f>VLOOKUP(A741,'Product-details'!$A$1:$B$1001,2,FALSE)</f>
        <v>Home and lifestyle</v>
      </c>
      <c r="O741" s="31" t="str">
        <f>VLOOKUP(A741,'City-details'!$A$1:$C$1001,3,FALSE)</f>
        <v>Yangon</v>
      </c>
      <c r="P741" s="31" t="str">
        <f>VLOOKUP(A741,'City-details'!$A$1:$C$1001,2,FALSE)</f>
        <v>A</v>
      </c>
      <c r="Q741" s="31" t="str">
        <f t="shared" si="33"/>
        <v>Mar</v>
      </c>
      <c r="R741" s="34" t="str">
        <f t="shared" si="34"/>
        <v>Wed</v>
      </c>
      <c r="S741">
        <f t="shared" si="35"/>
        <v>8</v>
      </c>
      <c r="T741" t="str" cm="1">
        <f t="array" ref="T741">_xlfn.IFS(S741&lt;=12,"Morning",S741&lt;=16,"Afternoon",S741&lt;=21,"Evening",S741&lt;=24,"Night")</f>
        <v>Morning</v>
      </c>
    </row>
    <row r="742" spans="1:20" x14ac:dyDescent="0.25">
      <c r="A742" s="23" t="s">
        <v>776</v>
      </c>
      <c r="B742" s="19">
        <v>55.61</v>
      </c>
      <c r="C742" s="20">
        <v>7</v>
      </c>
      <c r="D742" s="19">
        <v>19.4635</v>
      </c>
      <c r="E742" s="19">
        <v>408.73349999999999</v>
      </c>
      <c r="F742" s="21">
        <v>43547</v>
      </c>
      <c r="G742" s="22">
        <v>31.380555555555599</v>
      </c>
      <c r="H742" s="23" t="s">
        <v>29</v>
      </c>
      <c r="I742" s="19">
        <v>389.27</v>
      </c>
      <c r="J742" s="24">
        <v>4.7619047620000003</v>
      </c>
      <c r="K742" s="25">
        <v>8.5</v>
      </c>
      <c r="L742" s="23" t="str">
        <f>VLOOKUP(A742,'Customer-details'!$A$1:$C$1001,2,FALSE)</f>
        <v>Normal</v>
      </c>
      <c r="M742" s="23" t="str">
        <f>VLOOKUP(A742,'Customer-details'!$A$1:$C$1001,3,FALSE)</f>
        <v>Male</v>
      </c>
      <c r="N742" s="23" t="str">
        <f>VLOOKUP(A742,'Product-details'!$A$1:$B$1001,2,FALSE)</f>
        <v>Home and lifestyle</v>
      </c>
      <c r="O742" s="23" t="str">
        <f>VLOOKUP(A742,'City-details'!$A$1:$C$1001,3,FALSE)</f>
        <v>Naypyitaw</v>
      </c>
      <c r="P742" s="23" t="str">
        <f>VLOOKUP(A742,'City-details'!$A$1:$C$1001,2,FALSE)</f>
        <v>C</v>
      </c>
      <c r="Q742" s="23" t="str">
        <f t="shared" si="33"/>
        <v>Mar</v>
      </c>
      <c r="R742" s="26" t="str">
        <f t="shared" si="34"/>
        <v>Sat</v>
      </c>
      <c r="S742">
        <f t="shared" si="35"/>
        <v>9</v>
      </c>
      <c r="T742" t="str" cm="1">
        <f t="array" ref="T742">_xlfn.IFS(S742&lt;=12,"Morning",S742&lt;=16,"Afternoon",S742&lt;=21,"Evening",S742&lt;=24,"Night")</f>
        <v>Morning</v>
      </c>
    </row>
    <row r="743" spans="1:20" x14ac:dyDescent="0.25">
      <c r="A743" s="31" t="s">
        <v>777</v>
      </c>
      <c r="B743" s="27">
        <v>84.83</v>
      </c>
      <c r="C743" s="28">
        <v>1</v>
      </c>
      <c r="D743" s="27">
        <v>4.2415000000000003</v>
      </c>
      <c r="E743" s="27">
        <v>89.0715</v>
      </c>
      <c r="F743" s="29">
        <v>43479</v>
      </c>
      <c r="G743" s="30">
        <v>31.422222222222199</v>
      </c>
      <c r="H743" s="31" t="s">
        <v>23</v>
      </c>
      <c r="I743" s="27">
        <v>84.83</v>
      </c>
      <c r="J743" s="32">
        <v>4.7619047620000003</v>
      </c>
      <c r="K743" s="33">
        <v>8.8000000000000007</v>
      </c>
      <c r="L743" s="31" t="str">
        <f>VLOOKUP(A743,'Customer-details'!$A$1:$C$1001,2,FALSE)</f>
        <v>Normal</v>
      </c>
      <c r="M743" s="31" t="str">
        <f>VLOOKUP(A743,'Customer-details'!$A$1:$C$1001,3,FALSE)</f>
        <v>Male</v>
      </c>
      <c r="N743" s="31" t="str">
        <f>VLOOKUP(A743,'Product-details'!$A$1:$B$1001,2,FALSE)</f>
        <v>Food and beverages</v>
      </c>
      <c r="O743" s="31" t="str">
        <f>VLOOKUP(A743,'City-details'!$A$1:$C$1001,3,FALSE)</f>
        <v>Naypyitaw</v>
      </c>
      <c r="P743" s="31" t="str">
        <f>VLOOKUP(A743,'City-details'!$A$1:$C$1001,2,FALSE)</f>
        <v>C</v>
      </c>
      <c r="Q743" s="31" t="str">
        <f t="shared" si="33"/>
        <v>Jan</v>
      </c>
      <c r="R743" s="34" t="str">
        <f t="shared" si="34"/>
        <v>Mon</v>
      </c>
      <c r="S743">
        <f t="shared" si="35"/>
        <v>10</v>
      </c>
      <c r="T743" t="str" cm="1">
        <f t="array" ref="T743">_xlfn.IFS(S743&lt;=12,"Morning",S743&lt;=16,"Afternoon",S743&lt;=21,"Evening",S743&lt;=24,"Night")</f>
        <v>Morning</v>
      </c>
    </row>
    <row r="744" spans="1:20" x14ac:dyDescent="0.25">
      <c r="A744" s="23" t="s">
        <v>778</v>
      </c>
      <c r="B744" s="19">
        <v>71.63</v>
      </c>
      <c r="C744" s="20">
        <v>2</v>
      </c>
      <c r="D744" s="19">
        <v>7.1630000000000003</v>
      </c>
      <c r="E744" s="19">
        <v>150.423</v>
      </c>
      <c r="F744" s="21">
        <v>43508</v>
      </c>
      <c r="G744" s="22">
        <v>31.463888888888899</v>
      </c>
      <c r="H744" s="23" t="s">
        <v>23</v>
      </c>
      <c r="I744" s="19">
        <v>143.26</v>
      </c>
      <c r="J744" s="24">
        <v>4.7619047620000003</v>
      </c>
      <c r="K744" s="25">
        <v>8.8000000000000007</v>
      </c>
      <c r="L744" s="23" t="str">
        <f>VLOOKUP(A744,'Customer-details'!$A$1:$C$1001,2,FALSE)</f>
        <v>Member</v>
      </c>
      <c r="M744" s="23" t="str">
        <f>VLOOKUP(A744,'Customer-details'!$A$1:$C$1001,3,FALSE)</f>
        <v>Female</v>
      </c>
      <c r="N744" s="23" t="str">
        <f>VLOOKUP(A744,'Product-details'!$A$1:$B$1001,2,FALSE)</f>
        <v>Sports and travel</v>
      </c>
      <c r="O744" s="23" t="str">
        <f>VLOOKUP(A744,'City-details'!$A$1:$C$1001,3,FALSE)</f>
        <v>Yangon</v>
      </c>
      <c r="P744" s="23" t="str">
        <f>VLOOKUP(A744,'City-details'!$A$1:$C$1001,2,FALSE)</f>
        <v>A</v>
      </c>
      <c r="Q744" s="23" t="str">
        <f t="shared" si="33"/>
        <v>Feb</v>
      </c>
      <c r="R744" s="26" t="str">
        <f t="shared" si="34"/>
        <v>Tue</v>
      </c>
      <c r="S744">
        <f t="shared" si="35"/>
        <v>11</v>
      </c>
      <c r="T744" t="str" cm="1">
        <f t="array" ref="T744">_xlfn.IFS(S744&lt;=12,"Morning",S744&lt;=16,"Afternoon",S744&lt;=21,"Evening",S744&lt;=24,"Night")</f>
        <v>Morning</v>
      </c>
    </row>
    <row r="745" spans="1:20" x14ac:dyDescent="0.25">
      <c r="A745" s="31" t="s">
        <v>779</v>
      </c>
      <c r="B745" s="27">
        <v>37.69</v>
      </c>
      <c r="C745" s="28">
        <v>2</v>
      </c>
      <c r="D745" s="27">
        <v>3.7690000000000001</v>
      </c>
      <c r="E745" s="27">
        <v>79.149000000000001</v>
      </c>
      <c r="F745" s="29">
        <v>43516</v>
      </c>
      <c r="G745" s="30">
        <v>31.505555555555599</v>
      </c>
      <c r="H745" s="31" t="s">
        <v>23</v>
      </c>
      <c r="I745" s="27">
        <v>75.38</v>
      </c>
      <c r="J745" s="32">
        <v>4.7619047620000003</v>
      </c>
      <c r="K745" s="33">
        <v>9.5</v>
      </c>
      <c r="L745" s="31" t="str">
        <f>VLOOKUP(A745,'Customer-details'!$A$1:$C$1001,2,FALSE)</f>
        <v>Member</v>
      </c>
      <c r="M745" s="31" t="str">
        <f>VLOOKUP(A745,'Customer-details'!$A$1:$C$1001,3,FALSE)</f>
        <v>Male</v>
      </c>
      <c r="N745" s="31" t="str">
        <f>VLOOKUP(A745,'Product-details'!$A$1:$B$1001,2,FALSE)</f>
        <v>Home and lifestyle</v>
      </c>
      <c r="O745" s="31" t="str">
        <f>VLOOKUP(A745,'City-details'!$A$1:$C$1001,3,FALSE)</f>
        <v>Yangon</v>
      </c>
      <c r="P745" s="31" t="str">
        <f>VLOOKUP(A745,'City-details'!$A$1:$C$1001,2,FALSE)</f>
        <v>A</v>
      </c>
      <c r="Q745" s="31" t="str">
        <f t="shared" si="33"/>
        <v>Feb</v>
      </c>
      <c r="R745" s="34" t="str">
        <f t="shared" si="34"/>
        <v>Wed</v>
      </c>
      <c r="S745">
        <f t="shared" si="35"/>
        <v>12</v>
      </c>
      <c r="T745" t="str" cm="1">
        <f t="array" ref="T745">_xlfn.IFS(S745&lt;=12,"Morning",S745&lt;=16,"Afternoon",S745&lt;=21,"Evening",S745&lt;=24,"Night")</f>
        <v>Morning</v>
      </c>
    </row>
    <row r="746" spans="1:20" x14ac:dyDescent="0.25">
      <c r="A746" s="23" t="s">
        <v>780</v>
      </c>
      <c r="B746" s="19">
        <v>31.67</v>
      </c>
      <c r="C746" s="20">
        <v>8</v>
      </c>
      <c r="D746" s="19">
        <v>12.667999999999999</v>
      </c>
      <c r="E746" s="19">
        <v>266.02800000000002</v>
      </c>
      <c r="F746" s="21">
        <v>43467</v>
      </c>
      <c r="G746" s="22">
        <v>31.547222222222199</v>
      </c>
      <c r="H746" s="23" t="s">
        <v>33</v>
      </c>
      <c r="I746" s="19">
        <v>253.36</v>
      </c>
      <c r="J746" s="24">
        <v>4.7619047620000003</v>
      </c>
      <c r="K746" s="25">
        <v>5.6</v>
      </c>
      <c r="L746" s="23" t="str">
        <f>VLOOKUP(A746,'Customer-details'!$A$1:$C$1001,2,FALSE)</f>
        <v>Member</v>
      </c>
      <c r="M746" s="23" t="str">
        <f>VLOOKUP(A746,'Customer-details'!$A$1:$C$1001,3,FALSE)</f>
        <v>Female</v>
      </c>
      <c r="N746" s="23" t="str">
        <f>VLOOKUP(A746,'Product-details'!$A$1:$B$1001,2,FALSE)</f>
        <v>Sports and travel</v>
      </c>
      <c r="O746" s="23" t="str">
        <f>VLOOKUP(A746,'City-details'!$A$1:$C$1001,3,FALSE)</f>
        <v>Naypyitaw</v>
      </c>
      <c r="P746" s="23" t="str">
        <f>VLOOKUP(A746,'City-details'!$A$1:$C$1001,2,FALSE)</f>
        <v>C</v>
      </c>
      <c r="Q746" s="23" t="str">
        <f t="shared" si="33"/>
        <v>Jan</v>
      </c>
      <c r="R746" s="26" t="str">
        <f t="shared" si="34"/>
        <v>Wed</v>
      </c>
      <c r="S746">
        <f t="shared" si="35"/>
        <v>13</v>
      </c>
      <c r="T746" t="str" cm="1">
        <f t="array" ref="T746">_xlfn.IFS(S746&lt;=12,"Morning",S746&lt;=16,"Afternoon",S746&lt;=21,"Evening",S746&lt;=24,"Night")</f>
        <v>Afternoon</v>
      </c>
    </row>
    <row r="747" spans="1:20" x14ac:dyDescent="0.25">
      <c r="A747" s="31" t="s">
        <v>781</v>
      </c>
      <c r="B747" s="27">
        <v>38.42</v>
      </c>
      <c r="C747" s="28">
        <v>1</v>
      </c>
      <c r="D747" s="27">
        <v>1.921</v>
      </c>
      <c r="E747" s="27">
        <v>40.341000000000001</v>
      </c>
      <c r="F747" s="29">
        <v>43498</v>
      </c>
      <c r="G747" s="30">
        <v>31.588888888888899</v>
      </c>
      <c r="H747" s="31" t="s">
        <v>29</v>
      </c>
      <c r="I747" s="27">
        <v>38.42</v>
      </c>
      <c r="J747" s="32">
        <v>4.7619047620000003</v>
      </c>
      <c r="K747" s="33">
        <v>8.6</v>
      </c>
      <c r="L747" s="31" t="str">
        <f>VLOOKUP(A747,'Customer-details'!$A$1:$C$1001,2,FALSE)</f>
        <v>Member</v>
      </c>
      <c r="M747" s="31" t="str">
        <f>VLOOKUP(A747,'Customer-details'!$A$1:$C$1001,3,FALSE)</f>
        <v>Female</v>
      </c>
      <c r="N747" s="31" t="str">
        <f>VLOOKUP(A747,'Product-details'!$A$1:$B$1001,2,FALSE)</f>
        <v>Food and beverages</v>
      </c>
      <c r="O747" s="31" t="str">
        <f>VLOOKUP(A747,'City-details'!$A$1:$C$1001,3,FALSE)</f>
        <v>Naypyitaw</v>
      </c>
      <c r="P747" s="31" t="str">
        <f>VLOOKUP(A747,'City-details'!$A$1:$C$1001,2,FALSE)</f>
        <v>C</v>
      </c>
      <c r="Q747" s="31" t="str">
        <f t="shared" si="33"/>
        <v>Feb</v>
      </c>
      <c r="R747" s="34" t="str">
        <f t="shared" si="34"/>
        <v>Sat</v>
      </c>
      <c r="S747">
        <f t="shared" si="35"/>
        <v>14</v>
      </c>
      <c r="T747" t="str" cm="1">
        <f t="array" ref="T747">_xlfn.IFS(S747&lt;=12,"Morning",S747&lt;=16,"Afternoon",S747&lt;=21,"Evening",S747&lt;=24,"Night")</f>
        <v>Afternoon</v>
      </c>
    </row>
    <row r="748" spans="1:20" x14ac:dyDescent="0.25">
      <c r="A748" s="23" t="s">
        <v>782</v>
      </c>
      <c r="B748" s="19">
        <v>65.23</v>
      </c>
      <c r="C748" s="20">
        <v>10</v>
      </c>
      <c r="D748" s="19">
        <v>32.615000000000002</v>
      </c>
      <c r="E748" s="19">
        <v>684.91499999999996</v>
      </c>
      <c r="F748" s="21">
        <v>43473</v>
      </c>
      <c r="G748" s="22">
        <v>31.630555555555599</v>
      </c>
      <c r="H748" s="23" t="s">
        <v>33</v>
      </c>
      <c r="I748" s="19">
        <v>652.29999999999995</v>
      </c>
      <c r="J748" s="24">
        <v>4.7619047620000003</v>
      </c>
      <c r="K748" s="25">
        <v>5.2</v>
      </c>
      <c r="L748" s="23" t="str">
        <f>VLOOKUP(A748,'Customer-details'!$A$1:$C$1001,2,FALSE)</f>
        <v>Member</v>
      </c>
      <c r="M748" s="23" t="str">
        <f>VLOOKUP(A748,'Customer-details'!$A$1:$C$1001,3,FALSE)</f>
        <v>Male</v>
      </c>
      <c r="N748" s="23" t="str">
        <f>VLOOKUP(A748,'Product-details'!$A$1:$B$1001,2,FALSE)</f>
        <v>Fashion accessories</v>
      </c>
      <c r="O748" s="23" t="str">
        <f>VLOOKUP(A748,'City-details'!$A$1:$C$1001,3,FALSE)</f>
        <v>Mandalay</v>
      </c>
      <c r="P748" s="23" t="str">
        <f>VLOOKUP(A748,'City-details'!$A$1:$C$1001,2,FALSE)</f>
        <v>B</v>
      </c>
      <c r="Q748" s="23" t="str">
        <f t="shared" si="33"/>
        <v>Jan</v>
      </c>
      <c r="R748" s="26" t="str">
        <f t="shared" si="34"/>
        <v>Tue</v>
      </c>
      <c r="S748">
        <f t="shared" si="35"/>
        <v>15</v>
      </c>
      <c r="T748" t="str" cm="1">
        <f t="array" ref="T748">_xlfn.IFS(S748&lt;=12,"Morning",S748&lt;=16,"Afternoon",S748&lt;=21,"Evening",S748&lt;=24,"Night")</f>
        <v>Afternoon</v>
      </c>
    </row>
    <row r="749" spans="1:20" x14ac:dyDescent="0.25">
      <c r="A749" s="31" t="s">
        <v>783</v>
      </c>
      <c r="B749" s="27">
        <v>10.53</v>
      </c>
      <c r="C749" s="28">
        <v>5</v>
      </c>
      <c r="D749" s="27">
        <v>2.6324999999999998</v>
      </c>
      <c r="E749" s="27">
        <v>55.282499999999999</v>
      </c>
      <c r="F749" s="29">
        <v>43495</v>
      </c>
      <c r="G749" s="30">
        <v>31.672222222222199</v>
      </c>
      <c r="H749" s="31" t="s">
        <v>33</v>
      </c>
      <c r="I749" s="27">
        <v>52.65</v>
      </c>
      <c r="J749" s="32">
        <v>4.7619047620000003</v>
      </c>
      <c r="K749" s="33">
        <v>5.8</v>
      </c>
      <c r="L749" s="31" t="str">
        <f>VLOOKUP(A749,'Customer-details'!$A$1:$C$1001,2,FALSE)</f>
        <v>Member</v>
      </c>
      <c r="M749" s="31" t="str">
        <f>VLOOKUP(A749,'Customer-details'!$A$1:$C$1001,3,FALSE)</f>
        <v>Female</v>
      </c>
      <c r="N749" s="31" t="str">
        <f>VLOOKUP(A749,'Product-details'!$A$1:$B$1001,2,FALSE)</f>
        <v>Home and lifestyle</v>
      </c>
      <c r="O749" s="31" t="str">
        <f>VLOOKUP(A749,'City-details'!$A$1:$C$1001,3,FALSE)</f>
        <v>Naypyitaw</v>
      </c>
      <c r="P749" s="31" t="str">
        <f>VLOOKUP(A749,'City-details'!$A$1:$C$1001,2,FALSE)</f>
        <v>C</v>
      </c>
      <c r="Q749" s="31" t="str">
        <f t="shared" si="33"/>
        <v>Jan</v>
      </c>
      <c r="R749" s="34" t="str">
        <f t="shared" si="34"/>
        <v>Wed</v>
      </c>
      <c r="S749">
        <f t="shared" si="35"/>
        <v>16</v>
      </c>
      <c r="T749" t="str" cm="1">
        <f t="array" ref="T749">_xlfn.IFS(S749&lt;=12,"Morning",S749&lt;=16,"Afternoon",S749&lt;=21,"Evening",S749&lt;=24,"Night")</f>
        <v>Afternoon</v>
      </c>
    </row>
    <row r="750" spans="1:20" x14ac:dyDescent="0.25">
      <c r="A750" s="23" t="s">
        <v>784</v>
      </c>
      <c r="B750" s="19">
        <v>12.29</v>
      </c>
      <c r="C750" s="20">
        <v>9</v>
      </c>
      <c r="D750" s="19">
        <v>5.5305</v>
      </c>
      <c r="E750" s="19">
        <v>116.1405</v>
      </c>
      <c r="F750" s="21">
        <v>43550</v>
      </c>
      <c r="G750" s="22">
        <v>31.713888888888899</v>
      </c>
      <c r="H750" s="23" t="s">
        <v>33</v>
      </c>
      <c r="I750" s="19">
        <v>110.61</v>
      </c>
      <c r="J750" s="24">
        <v>4.7619047620000003</v>
      </c>
      <c r="K750" s="25">
        <v>8</v>
      </c>
      <c r="L750" s="23" t="str">
        <f>VLOOKUP(A750,'Customer-details'!$A$1:$C$1001,2,FALSE)</f>
        <v>Member</v>
      </c>
      <c r="M750" s="23" t="str">
        <f>VLOOKUP(A750,'Customer-details'!$A$1:$C$1001,3,FALSE)</f>
        <v>Female</v>
      </c>
      <c r="N750" s="23" t="str">
        <f>VLOOKUP(A750,'Product-details'!$A$1:$B$1001,2,FALSE)</f>
        <v>Home and lifestyle</v>
      </c>
      <c r="O750" s="23" t="str">
        <f>VLOOKUP(A750,'City-details'!$A$1:$C$1001,3,FALSE)</f>
        <v>Mandalay</v>
      </c>
      <c r="P750" s="23" t="str">
        <f>VLOOKUP(A750,'City-details'!$A$1:$C$1001,2,FALSE)</f>
        <v>B</v>
      </c>
      <c r="Q750" s="23" t="str">
        <f t="shared" si="33"/>
        <v>Mar</v>
      </c>
      <c r="R750" s="26" t="str">
        <f t="shared" si="34"/>
        <v>Tue</v>
      </c>
      <c r="S750">
        <f t="shared" si="35"/>
        <v>17</v>
      </c>
      <c r="T750" t="str" cm="1">
        <f t="array" ref="T750">_xlfn.IFS(S750&lt;=12,"Morning",S750&lt;=16,"Afternoon",S750&lt;=21,"Evening",S750&lt;=24,"Night")</f>
        <v>Evening</v>
      </c>
    </row>
    <row r="751" spans="1:20" x14ac:dyDescent="0.25">
      <c r="A751" s="31" t="s">
        <v>785</v>
      </c>
      <c r="B751" s="27">
        <v>81.23</v>
      </c>
      <c r="C751" s="28">
        <v>7</v>
      </c>
      <c r="D751" s="27">
        <v>28.430499999999999</v>
      </c>
      <c r="E751" s="27">
        <v>597.04049999999995</v>
      </c>
      <c r="F751" s="29">
        <v>43480</v>
      </c>
      <c r="G751" s="30">
        <v>31.755555555555599</v>
      </c>
      <c r="H751" s="31" t="s">
        <v>29</v>
      </c>
      <c r="I751" s="27">
        <v>568.61</v>
      </c>
      <c r="J751" s="32">
        <v>4.7619047620000003</v>
      </c>
      <c r="K751" s="33">
        <v>9</v>
      </c>
      <c r="L751" s="31" t="str">
        <f>VLOOKUP(A751,'Customer-details'!$A$1:$C$1001,2,FALSE)</f>
        <v>Member</v>
      </c>
      <c r="M751" s="31" t="str">
        <f>VLOOKUP(A751,'Customer-details'!$A$1:$C$1001,3,FALSE)</f>
        <v>Male</v>
      </c>
      <c r="N751" s="31" t="str">
        <f>VLOOKUP(A751,'Product-details'!$A$1:$B$1001,2,FALSE)</f>
        <v>Health and beauty</v>
      </c>
      <c r="O751" s="31" t="str">
        <f>VLOOKUP(A751,'City-details'!$A$1:$C$1001,3,FALSE)</f>
        <v>Naypyitaw</v>
      </c>
      <c r="P751" s="31" t="str">
        <f>VLOOKUP(A751,'City-details'!$A$1:$C$1001,2,FALSE)</f>
        <v>C</v>
      </c>
      <c r="Q751" s="31" t="str">
        <f t="shared" si="33"/>
        <v>Jan</v>
      </c>
      <c r="R751" s="34" t="str">
        <f t="shared" si="34"/>
        <v>Tue</v>
      </c>
      <c r="S751">
        <f t="shared" si="35"/>
        <v>18</v>
      </c>
      <c r="T751" t="str" cm="1">
        <f t="array" ref="T751">_xlfn.IFS(S751&lt;=12,"Morning",S751&lt;=16,"Afternoon",S751&lt;=21,"Evening",S751&lt;=24,"Night")</f>
        <v>Evening</v>
      </c>
    </row>
    <row r="752" spans="1:20" x14ac:dyDescent="0.25">
      <c r="A752" s="23" t="s">
        <v>786</v>
      </c>
      <c r="B752" s="19">
        <v>22.32</v>
      </c>
      <c r="C752" s="20">
        <v>4</v>
      </c>
      <c r="D752" s="19">
        <v>4.4640000000000004</v>
      </c>
      <c r="E752" s="19">
        <v>93.744</v>
      </c>
      <c r="F752" s="21">
        <v>43538</v>
      </c>
      <c r="G752" s="22">
        <v>31.797222222222199</v>
      </c>
      <c r="H752" s="23" t="s">
        <v>23</v>
      </c>
      <c r="I752" s="19">
        <v>89.28</v>
      </c>
      <c r="J752" s="24">
        <v>4.7619047620000003</v>
      </c>
      <c r="K752" s="25">
        <v>4.0999999999999996</v>
      </c>
      <c r="L752" s="23" t="str">
        <f>VLOOKUP(A752,'Customer-details'!$A$1:$C$1001,2,FALSE)</f>
        <v>Member</v>
      </c>
      <c r="M752" s="23" t="str">
        <f>VLOOKUP(A752,'Customer-details'!$A$1:$C$1001,3,FALSE)</f>
        <v>Female</v>
      </c>
      <c r="N752" s="23" t="str">
        <f>VLOOKUP(A752,'Product-details'!$A$1:$B$1001,2,FALSE)</f>
        <v>Fashion accessories</v>
      </c>
      <c r="O752" s="23" t="str">
        <f>VLOOKUP(A752,'City-details'!$A$1:$C$1001,3,FALSE)</f>
        <v>Mandalay</v>
      </c>
      <c r="P752" s="23" t="str">
        <f>VLOOKUP(A752,'City-details'!$A$1:$C$1001,2,FALSE)</f>
        <v>B</v>
      </c>
      <c r="Q752" s="23" t="str">
        <f t="shared" si="33"/>
        <v>Mar</v>
      </c>
      <c r="R752" s="26" t="str">
        <f t="shared" si="34"/>
        <v>Thu</v>
      </c>
      <c r="S752">
        <f t="shared" si="35"/>
        <v>19</v>
      </c>
      <c r="T752" t="str" cm="1">
        <f t="array" ref="T752">_xlfn.IFS(S752&lt;=12,"Morning",S752&lt;=16,"Afternoon",S752&lt;=21,"Evening",S752&lt;=24,"Night")</f>
        <v>Evening</v>
      </c>
    </row>
    <row r="753" spans="1:20" x14ac:dyDescent="0.25">
      <c r="A753" s="31" t="s">
        <v>787</v>
      </c>
      <c r="B753" s="27">
        <v>27.28</v>
      </c>
      <c r="C753" s="28">
        <v>5</v>
      </c>
      <c r="D753" s="27">
        <v>6.82</v>
      </c>
      <c r="E753" s="27">
        <v>143.22</v>
      </c>
      <c r="F753" s="29">
        <v>43499</v>
      </c>
      <c r="G753" s="30">
        <v>31.838888888888899</v>
      </c>
      <c r="H753" s="31" t="s">
        <v>33</v>
      </c>
      <c r="I753" s="27">
        <v>136.4</v>
      </c>
      <c r="J753" s="32">
        <v>4.7619047620000003</v>
      </c>
      <c r="K753" s="33">
        <v>8.6</v>
      </c>
      <c r="L753" s="31" t="str">
        <f>VLOOKUP(A753,'Customer-details'!$A$1:$C$1001,2,FALSE)</f>
        <v>Normal</v>
      </c>
      <c r="M753" s="31" t="str">
        <f>VLOOKUP(A753,'Customer-details'!$A$1:$C$1001,3,FALSE)</f>
        <v>Female</v>
      </c>
      <c r="N753" s="31" t="str">
        <f>VLOOKUP(A753,'Product-details'!$A$1:$B$1001,2,FALSE)</f>
        <v>Food and beverages</v>
      </c>
      <c r="O753" s="31" t="str">
        <f>VLOOKUP(A753,'City-details'!$A$1:$C$1001,3,FALSE)</f>
        <v>Yangon</v>
      </c>
      <c r="P753" s="31" t="str">
        <f>VLOOKUP(A753,'City-details'!$A$1:$C$1001,2,FALSE)</f>
        <v>A</v>
      </c>
      <c r="Q753" s="31" t="str">
        <f t="shared" si="33"/>
        <v>Feb</v>
      </c>
      <c r="R753" s="34" t="str">
        <f t="shared" si="34"/>
        <v>Sun</v>
      </c>
      <c r="S753">
        <f t="shared" si="35"/>
        <v>20</v>
      </c>
      <c r="T753" t="str" cm="1">
        <f t="array" ref="T753">_xlfn.IFS(S753&lt;=12,"Morning",S753&lt;=16,"Afternoon",S753&lt;=21,"Evening",S753&lt;=24,"Night")</f>
        <v>Evening</v>
      </c>
    </row>
    <row r="754" spans="1:20" x14ac:dyDescent="0.25">
      <c r="A754" s="23" t="s">
        <v>788</v>
      </c>
      <c r="B754" s="19">
        <v>17.420000000000002</v>
      </c>
      <c r="C754" s="20">
        <v>10</v>
      </c>
      <c r="D754" s="19">
        <v>8.7100000000000009</v>
      </c>
      <c r="E754" s="19">
        <v>182.91</v>
      </c>
      <c r="F754" s="21">
        <v>43518</v>
      </c>
      <c r="G754" s="22">
        <v>31.880555555555599</v>
      </c>
      <c r="H754" s="23" t="s">
        <v>23</v>
      </c>
      <c r="I754" s="19">
        <v>174.2</v>
      </c>
      <c r="J754" s="24">
        <v>4.7619047620000003</v>
      </c>
      <c r="K754" s="25">
        <v>7</v>
      </c>
      <c r="L754" s="23" t="str">
        <f>VLOOKUP(A754,'Customer-details'!$A$1:$C$1001,2,FALSE)</f>
        <v>Member</v>
      </c>
      <c r="M754" s="23" t="str">
        <f>VLOOKUP(A754,'Customer-details'!$A$1:$C$1001,3,FALSE)</f>
        <v>Female</v>
      </c>
      <c r="N754" s="23" t="str">
        <f>VLOOKUP(A754,'Product-details'!$A$1:$B$1001,2,FALSE)</f>
        <v>Electronic accessories</v>
      </c>
      <c r="O754" s="23" t="str">
        <f>VLOOKUP(A754,'City-details'!$A$1:$C$1001,3,FALSE)</f>
        <v>Yangon</v>
      </c>
      <c r="P754" s="23" t="str">
        <f>VLOOKUP(A754,'City-details'!$A$1:$C$1001,2,FALSE)</f>
        <v>A</v>
      </c>
      <c r="Q754" s="23" t="str">
        <f t="shared" si="33"/>
        <v>Feb</v>
      </c>
      <c r="R754" s="26" t="str">
        <f t="shared" si="34"/>
        <v>Fri</v>
      </c>
      <c r="S754">
        <f t="shared" si="35"/>
        <v>21</v>
      </c>
      <c r="T754" t="str" cm="1">
        <f t="array" ref="T754">_xlfn.IFS(S754&lt;=12,"Morning",S754&lt;=16,"Afternoon",S754&lt;=21,"Evening",S754&lt;=24,"Night")</f>
        <v>Evening</v>
      </c>
    </row>
    <row r="755" spans="1:20" x14ac:dyDescent="0.25">
      <c r="A755" s="31" t="s">
        <v>789</v>
      </c>
      <c r="B755" s="27">
        <v>73.28</v>
      </c>
      <c r="C755" s="28">
        <v>5</v>
      </c>
      <c r="D755" s="27">
        <v>18.32</v>
      </c>
      <c r="E755" s="27">
        <v>384.72</v>
      </c>
      <c r="F755" s="29">
        <v>43489</v>
      </c>
      <c r="G755" s="30">
        <v>31.922222222222199</v>
      </c>
      <c r="H755" s="31" t="s">
        <v>23</v>
      </c>
      <c r="I755" s="27">
        <v>366.4</v>
      </c>
      <c r="J755" s="32">
        <v>4.7619047620000003</v>
      </c>
      <c r="K755" s="33">
        <v>8.4</v>
      </c>
      <c r="L755" s="31" t="str">
        <f>VLOOKUP(A755,'Customer-details'!$A$1:$C$1001,2,FALSE)</f>
        <v>Normal</v>
      </c>
      <c r="M755" s="31" t="str">
        <f>VLOOKUP(A755,'Customer-details'!$A$1:$C$1001,3,FALSE)</f>
        <v>Male</v>
      </c>
      <c r="N755" s="31" t="str">
        <f>VLOOKUP(A755,'Product-details'!$A$1:$B$1001,2,FALSE)</f>
        <v>Home and lifestyle</v>
      </c>
      <c r="O755" s="31" t="str">
        <f>VLOOKUP(A755,'City-details'!$A$1:$C$1001,3,FALSE)</f>
        <v>Mandalay</v>
      </c>
      <c r="P755" s="31" t="str">
        <f>VLOOKUP(A755,'City-details'!$A$1:$C$1001,2,FALSE)</f>
        <v>B</v>
      </c>
      <c r="Q755" s="31" t="str">
        <f t="shared" si="33"/>
        <v>Jan</v>
      </c>
      <c r="R755" s="34" t="str">
        <f t="shared" si="34"/>
        <v>Thu</v>
      </c>
      <c r="S755">
        <f t="shared" si="35"/>
        <v>22</v>
      </c>
      <c r="T755" t="str" cm="1">
        <f t="array" ref="T755">_xlfn.IFS(S755&lt;=12,"Morning",S755&lt;=16,"Afternoon",S755&lt;=21,"Evening",S755&lt;=24,"Night")</f>
        <v>Night</v>
      </c>
    </row>
    <row r="756" spans="1:20" x14ac:dyDescent="0.25">
      <c r="A756" s="23" t="s">
        <v>790</v>
      </c>
      <c r="B756" s="19">
        <v>84.87</v>
      </c>
      <c r="C756" s="20">
        <v>3</v>
      </c>
      <c r="D756" s="19">
        <v>12.730499999999999</v>
      </c>
      <c r="E756" s="19">
        <v>267.34050000000002</v>
      </c>
      <c r="F756" s="21">
        <v>43490</v>
      </c>
      <c r="G756" s="22">
        <v>31.963888888888899</v>
      </c>
      <c r="H756" s="23" t="s">
        <v>23</v>
      </c>
      <c r="I756" s="19">
        <v>254.61</v>
      </c>
      <c r="J756" s="24">
        <v>4.7619047620000003</v>
      </c>
      <c r="K756" s="25">
        <v>7.4</v>
      </c>
      <c r="L756" s="23" t="str">
        <f>VLOOKUP(A756,'Customer-details'!$A$1:$C$1001,2,FALSE)</f>
        <v>Member</v>
      </c>
      <c r="M756" s="23" t="str">
        <f>VLOOKUP(A756,'Customer-details'!$A$1:$C$1001,3,FALSE)</f>
        <v>Female</v>
      </c>
      <c r="N756" s="23" t="str">
        <f>VLOOKUP(A756,'Product-details'!$A$1:$B$1001,2,FALSE)</f>
        <v>Fashion accessories</v>
      </c>
      <c r="O756" s="23" t="str">
        <f>VLOOKUP(A756,'City-details'!$A$1:$C$1001,3,FALSE)</f>
        <v>Naypyitaw</v>
      </c>
      <c r="P756" s="23" t="str">
        <f>VLOOKUP(A756,'City-details'!$A$1:$C$1001,2,FALSE)</f>
        <v>C</v>
      </c>
      <c r="Q756" s="23" t="str">
        <f t="shared" si="33"/>
        <v>Jan</v>
      </c>
      <c r="R756" s="26" t="str">
        <f t="shared" si="34"/>
        <v>Fri</v>
      </c>
      <c r="S756">
        <f t="shared" si="35"/>
        <v>23</v>
      </c>
      <c r="T756" t="str" cm="1">
        <f t="array" ref="T756">_xlfn.IFS(S756&lt;=12,"Morning",S756&lt;=16,"Afternoon",S756&lt;=21,"Evening",S756&lt;=24,"Night")</f>
        <v>Night</v>
      </c>
    </row>
    <row r="757" spans="1:20" x14ac:dyDescent="0.25">
      <c r="A757" s="31" t="s">
        <v>791</v>
      </c>
      <c r="B757" s="27">
        <v>97.29</v>
      </c>
      <c r="C757" s="28">
        <v>8</v>
      </c>
      <c r="D757" s="27">
        <v>38.915999999999997</v>
      </c>
      <c r="E757" s="27">
        <v>817.23599999999999</v>
      </c>
      <c r="F757" s="29">
        <v>43533</v>
      </c>
      <c r="G757" s="30">
        <v>32.005555555555603</v>
      </c>
      <c r="H757" s="31" t="s">
        <v>33</v>
      </c>
      <c r="I757" s="27">
        <v>778.32</v>
      </c>
      <c r="J757" s="32">
        <v>4.7619047620000003</v>
      </c>
      <c r="K757" s="33">
        <v>6.2</v>
      </c>
      <c r="L757" s="31" t="str">
        <f>VLOOKUP(A757,'Customer-details'!$A$1:$C$1001,2,FALSE)</f>
        <v>Normal</v>
      </c>
      <c r="M757" s="31" t="str">
        <f>VLOOKUP(A757,'Customer-details'!$A$1:$C$1001,3,FALSE)</f>
        <v>Female</v>
      </c>
      <c r="N757" s="31" t="str">
        <f>VLOOKUP(A757,'Product-details'!$A$1:$B$1001,2,FALSE)</f>
        <v>Fashion accessories</v>
      </c>
      <c r="O757" s="31" t="str">
        <f>VLOOKUP(A757,'City-details'!$A$1:$C$1001,3,FALSE)</f>
        <v>Yangon</v>
      </c>
      <c r="P757" s="31" t="str">
        <f>VLOOKUP(A757,'City-details'!$A$1:$C$1001,2,FALSE)</f>
        <v>A</v>
      </c>
      <c r="Q757" s="31" t="str">
        <f t="shared" si="33"/>
        <v>Mar</v>
      </c>
      <c r="R757" s="34" t="str">
        <f t="shared" si="34"/>
        <v>Sat</v>
      </c>
      <c r="S757">
        <f t="shared" si="35"/>
        <v>0</v>
      </c>
      <c r="T757" t="str" cm="1">
        <f t="array" ref="T757">_xlfn.IFS(S757&lt;=12,"Morning",S757&lt;=16,"Afternoon",S757&lt;=21,"Evening",S757&lt;=24,"Night")</f>
        <v>Morning</v>
      </c>
    </row>
    <row r="758" spans="1:20" x14ac:dyDescent="0.25">
      <c r="A758" s="23" t="s">
        <v>792</v>
      </c>
      <c r="B758" s="19">
        <v>35.74</v>
      </c>
      <c r="C758" s="20">
        <v>8</v>
      </c>
      <c r="D758" s="19">
        <v>14.295999999999999</v>
      </c>
      <c r="E758" s="19">
        <v>300.21600000000001</v>
      </c>
      <c r="F758" s="21">
        <v>43513</v>
      </c>
      <c r="G758" s="22">
        <v>32.047222222222203</v>
      </c>
      <c r="H758" s="23" t="s">
        <v>23</v>
      </c>
      <c r="I758" s="19">
        <v>285.92</v>
      </c>
      <c r="J758" s="24">
        <v>4.7619047620000003</v>
      </c>
      <c r="K758" s="25">
        <v>4.9000000000000004</v>
      </c>
      <c r="L758" s="23" t="str">
        <f>VLOOKUP(A758,'Customer-details'!$A$1:$C$1001,2,FALSE)</f>
        <v>Member</v>
      </c>
      <c r="M758" s="23" t="str">
        <f>VLOOKUP(A758,'Customer-details'!$A$1:$C$1001,3,FALSE)</f>
        <v>Female</v>
      </c>
      <c r="N758" s="23" t="str">
        <f>VLOOKUP(A758,'Product-details'!$A$1:$B$1001,2,FALSE)</f>
        <v>Electronic accessories</v>
      </c>
      <c r="O758" s="23" t="str">
        <f>VLOOKUP(A758,'City-details'!$A$1:$C$1001,3,FALSE)</f>
        <v>Mandalay</v>
      </c>
      <c r="P758" s="23" t="str">
        <f>VLOOKUP(A758,'City-details'!$A$1:$C$1001,2,FALSE)</f>
        <v>B</v>
      </c>
      <c r="Q758" s="23" t="str">
        <f t="shared" si="33"/>
        <v>Feb</v>
      </c>
      <c r="R758" s="26" t="str">
        <f t="shared" si="34"/>
        <v>Sun</v>
      </c>
      <c r="S758">
        <f t="shared" si="35"/>
        <v>1</v>
      </c>
      <c r="T758" t="str" cm="1">
        <f t="array" ref="T758">_xlfn.IFS(S758&lt;=12,"Morning",S758&lt;=16,"Afternoon",S758&lt;=21,"Evening",S758&lt;=24,"Night")</f>
        <v>Morning</v>
      </c>
    </row>
    <row r="759" spans="1:20" x14ac:dyDescent="0.25">
      <c r="A759" s="31" t="s">
        <v>793</v>
      </c>
      <c r="B759" s="27">
        <v>96.52</v>
      </c>
      <c r="C759" s="28">
        <v>6</v>
      </c>
      <c r="D759" s="27">
        <v>28.956</v>
      </c>
      <c r="E759" s="27">
        <v>608.07600000000002</v>
      </c>
      <c r="F759" s="29">
        <v>43476</v>
      </c>
      <c r="G759" s="30">
        <v>32.088888888888903</v>
      </c>
      <c r="H759" s="31" t="s">
        <v>29</v>
      </c>
      <c r="I759" s="27">
        <v>579.12</v>
      </c>
      <c r="J759" s="32">
        <v>4.7619047620000003</v>
      </c>
      <c r="K759" s="33">
        <v>4.5</v>
      </c>
      <c r="L759" s="31" t="str">
        <f>VLOOKUP(A759,'Customer-details'!$A$1:$C$1001,2,FALSE)</f>
        <v>Normal</v>
      </c>
      <c r="M759" s="31" t="str">
        <f>VLOOKUP(A759,'Customer-details'!$A$1:$C$1001,3,FALSE)</f>
        <v>Female</v>
      </c>
      <c r="N759" s="31" t="str">
        <f>VLOOKUP(A759,'Product-details'!$A$1:$B$1001,2,FALSE)</f>
        <v>Home and lifestyle</v>
      </c>
      <c r="O759" s="31" t="str">
        <f>VLOOKUP(A759,'City-details'!$A$1:$C$1001,3,FALSE)</f>
        <v>Yangon</v>
      </c>
      <c r="P759" s="31" t="str">
        <f>VLOOKUP(A759,'City-details'!$A$1:$C$1001,2,FALSE)</f>
        <v>A</v>
      </c>
      <c r="Q759" s="31" t="str">
        <f t="shared" si="33"/>
        <v>Jan</v>
      </c>
      <c r="R759" s="34" t="str">
        <f t="shared" si="34"/>
        <v>Fri</v>
      </c>
      <c r="S759">
        <f t="shared" si="35"/>
        <v>2</v>
      </c>
      <c r="T759" t="str" cm="1">
        <f t="array" ref="T759">_xlfn.IFS(S759&lt;=12,"Morning",S759&lt;=16,"Afternoon",S759&lt;=21,"Evening",S759&lt;=24,"Night")</f>
        <v>Morning</v>
      </c>
    </row>
    <row r="760" spans="1:20" x14ac:dyDescent="0.25">
      <c r="A760" s="23" t="s">
        <v>794</v>
      </c>
      <c r="B760" s="19">
        <v>18.850000000000001</v>
      </c>
      <c r="C760" s="20">
        <v>10</v>
      </c>
      <c r="D760" s="19">
        <v>9.4250000000000007</v>
      </c>
      <c r="E760" s="19">
        <v>197.92500000000001</v>
      </c>
      <c r="F760" s="21">
        <v>43523</v>
      </c>
      <c r="G760" s="22">
        <v>32.130555555555603</v>
      </c>
      <c r="H760" s="23" t="s">
        <v>23</v>
      </c>
      <c r="I760" s="19">
        <v>188.5</v>
      </c>
      <c r="J760" s="24">
        <v>4.7619047620000003</v>
      </c>
      <c r="K760" s="25">
        <v>5.6</v>
      </c>
      <c r="L760" s="23" t="str">
        <f>VLOOKUP(A760,'Customer-details'!$A$1:$C$1001,2,FALSE)</f>
        <v>Member</v>
      </c>
      <c r="M760" s="23" t="str">
        <f>VLOOKUP(A760,'Customer-details'!$A$1:$C$1001,3,FALSE)</f>
        <v>Male</v>
      </c>
      <c r="N760" s="23" t="str">
        <f>VLOOKUP(A760,'Product-details'!$A$1:$B$1001,2,FALSE)</f>
        <v>Food and beverages</v>
      </c>
      <c r="O760" s="23" t="str">
        <f>VLOOKUP(A760,'City-details'!$A$1:$C$1001,3,FALSE)</f>
        <v>Yangon</v>
      </c>
      <c r="P760" s="23" t="str">
        <f>VLOOKUP(A760,'City-details'!$A$1:$C$1001,2,FALSE)</f>
        <v>A</v>
      </c>
      <c r="Q760" s="23" t="str">
        <f t="shared" si="33"/>
        <v>Feb</v>
      </c>
      <c r="R760" s="26" t="str">
        <f t="shared" si="34"/>
        <v>Wed</v>
      </c>
      <c r="S760">
        <f t="shared" si="35"/>
        <v>3</v>
      </c>
      <c r="T760" t="str" cm="1">
        <f t="array" ref="T760">_xlfn.IFS(S760&lt;=12,"Morning",S760&lt;=16,"Afternoon",S760&lt;=21,"Evening",S760&lt;=24,"Night")</f>
        <v>Morning</v>
      </c>
    </row>
    <row r="761" spans="1:20" x14ac:dyDescent="0.25">
      <c r="A761" s="31" t="s">
        <v>795</v>
      </c>
      <c r="B761" s="27">
        <v>55.39</v>
      </c>
      <c r="C761" s="28">
        <v>4</v>
      </c>
      <c r="D761" s="27">
        <v>11.077999999999999</v>
      </c>
      <c r="E761" s="27">
        <v>232.63800000000001</v>
      </c>
      <c r="F761" s="29">
        <v>43549</v>
      </c>
      <c r="G761" s="30">
        <v>32.172222222222203</v>
      </c>
      <c r="H761" s="31" t="s">
        <v>23</v>
      </c>
      <c r="I761" s="27">
        <v>221.56</v>
      </c>
      <c r="J761" s="32">
        <v>4.7619047620000003</v>
      </c>
      <c r="K761" s="33">
        <v>8</v>
      </c>
      <c r="L761" s="31" t="str">
        <f>VLOOKUP(A761,'Customer-details'!$A$1:$C$1001,2,FALSE)</f>
        <v>Normal</v>
      </c>
      <c r="M761" s="31" t="str">
        <f>VLOOKUP(A761,'Customer-details'!$A$1:$C$1001,3,FALSE)</f>
        <v>Female</v>
      </c>
      <c r="N761" s="31" t="str">
        <f>VLOOKUP(A761,'Product-details'!$A$1:$B$1001,2,FALSE)</f>
        <v>Food and beverages</v>
      </c>
      <c r="O761" s="31" t="str">
        <f>VLOOKUP(A761,'City-details'!$A$1:$C$1001,3,FALSE)</f>
        <v>Yangon</v>
      </c>
      <c r="P761" s="31" t="str">
        <f>VLOOKUP(A761,'City-details'!$A$1:$C$1001,2,FALSE)</f>
        <v>A</v>
      </c>
      <c r="Q761" s="31" t="str">
        <f t="shared" si="33"/>
        <v>Mar</v>
      </c>
      <c r="R761" s="34" t="str">
        <f t="shared" si="34"/>
        <v>Mon</v>
      </c>
      <c r="S761">
        <f t="shared" si="35"/>
        <v>4</v>
      </c>
      <c r="T761" t="str" cm="1">
        <f t="array" ref="T761">_xlfn.IFS(S761&lt;=12,"Morning",S761&lt;=16,"Afternoon",S761&lt;=21,"Evening",S761&lt;=24,"Night")</f>
        <v>Morning</v>
      </c>
    </row>
    <row r="762" spans="1:20" x14ac:dyDescent="0.25">
      <c r="A762" s="23" t="s">
        <v>796</v>
      </c>
      <c r="B762" s="19">
        <v>77.2</v>
      </c>
      <c r="C762" s="20">
        <v>10</v>
      </c>
      <c r="D762" s="19">
        <v>38.6</v>
      </c>
      <c r="E762" s="19">
        <v>810.6</v>
      </c>
      <c r="F762" s="21">
        <v>43507</v>
      </c>
      <c r="G762" s="22">
        <v>32.213888888888903</v>
      </c>
      <c r="H762" s="23" t="s">
        <v>33</v>
      </c>
      <c r="I762" s="19">
        <v>772</v>
      </c>
      <c r="J762" s="24">
        <v>4.7619047620000003</v>
      </c>
      <c r="K762" s="25">
        <v>5.6</v>
      </c>
      <c r="L762" s="23" t="str">
        <f>VLOOKUP(A762,'Customer-details'!$A$1:$C$1001,2,FALSE)</f>
        <v>Member</v>
      </c>
      <c r="M762" s="23" t="str">
        <f>VLOOKUP(A762,'Customer-details'!$A$1:$C$1001,3,FALSE)</f>
        <v>Female</v>
      </c>
      <c r="N762" s="23" t="str">
        <f>VLOOKUP(A762,'Product-details'!$A$1:$B$1001,2,FALSE)</f>
        <v>Food and beverages</v>
      </c>
      <c r="O762" s="23" t="str">
        <f>VLOOKUP(A762,'City-details'!$A$1:$C$1001,3,FALSE)</f>
        <v>Mandalay</v>
      </c>
      <c r="P762" s="23" t="str">
        <f>VLOOKUP(A762,'City-details'!$A$1:$C$1001,2,FALSE)</f>
        <v>B</v>
      </c>
      <c r="Q762" s="23" t="str">
        <f t="shared" si="33"/>
        <v>Feb</v>
      </c>
      <c r="R762" s="26" t="str">
        <f t="shared" si="34"/>
        <v>Mon</v>
      </c>
      <c r="S762">
        <f t="shared" si="35"/>
        <v>5</v>
      </c>
      <c r="T762" t="str" cm="1">
        <f t="array" ref="T762">_xlfn.IFS(S762&lt;=12,"Morning",S762&lt;=16,"Afternoon",S762&lt;=21,"Evening",S762&lt;=24,"Night")</f>
        <v>Morning</v>
      </c>
    </row>
    <row r="763" spans="1:20" x14ac:dyDescent="0.25">
      <c r="A763" s="31" t="s">
        <v>797</v>
      </c>
      <c r="B763" s="27">
        <v>72.13</v>
      </c>
      <c r="C763" s="28">
        <v>10</v>
      </c>
      <c r="D763" s="27">
        <v>36.064999999999998</v>
      </c>
      <c r="E763" s="27">
        <v>757.36500000000001</v>
      </c>
      <c r="F763" s="29">
        <v>43496</v>
      </c>
      <c r="G763" s="30">
        <v>32.255555555555603</v>
      </c>
      <c r="H763" s="31" t="s">
        <v>33</v>
      </c>
      <c r="I763" s="27">
        <v>721.3</v>
      </c>
      <c r="J763" s="32">
        <v>4.7619047620000003</v>
      </c>
      <c r="K763" s="33">
        <v>4.2</v>
      </c>
      <c r="L763" s="31" t="str">
        <f>VLOOKUP(A763,'Customer-details'!$A$1:$C$1001,2,FALSE)</f>
        <v>Normal</v>
      </c>
      <c r="M763" s="31" t="str">
        <f>VLOOKUP(A763,'Customer-details'!$A$1:$C$1001,3,FALSE)</f>
        <v>Male</v>
      </c>
      <c r="N763" s="31" t="str">
        <f>VLOOKUP(A763,'Product-details'!$A$1:$B$1001,2,FALSE)</f>
        <v>Electronic accessories</v>
      </c>
      <c r="O763" s="31" t="str">
        <f>VLOOKUP(A763,'City-details'!$A$1:$C$1001,3,FALSE)</f>
        <v>Mandalay</v>
      </c>
      <c r="P763" s="31" t="str">
        <f>VLOOKUP(A763,'City-details'!$A$1:$C$1001,2,FALSE)</f>
        <v>B</v>
      </c>
      <c r="Q763" s="31" t="str">
        <f t="shared" si="33"/>
        <v>Jan</v>
      </c>
      <c r="R763" s="34" t="str">
        <f t="shared" si="34"/>
        <v>Thu</v>
      </c>
      <c r="S763">
        <f t="shared" si="35"/>
        <v>6</v>
      </c>
      <c r="T763" t="str" cm="1">
        <f t="array" ref="T763">_xlfn.IFS(S763&lt;=12,"Morning",S763&lt;=16,"Afternoon",S763&lt;=21,"Evening",S763&lt;=24,"Night")</f>
        <v>Morning</v>
      </c>
    </row>
    <row r="764" spans="1:20" x14ac:dyDescent="0.25">
      <c r="A764" s="23" t="s">
        <v>798</v>
      </c>
      <c r="B764" s="19">
        <v>63.88</v>
      </c>
      <c r="C764" s="20">
        <v>8</v>
      </c>
      <c r="D764" s="19">
        <v>25.552</v>
      </c>
      <c r="E764" s="19">
        <v>536.59199999999998</v>
      </c>
      <c r="F764" s="21">
        <v>43485</v>
      </c>
      <c r="G764" s="22">
        <v>32.297222222222203</v>
      </c>
      <c r="H764" s="23" t="s">
        <v>23</v>
      </c>
      <c r="I764" s="19">
        <v>511.04</v>
      </c>
      <c r="J764" s="24">
        <v>4.7619047620000003</v>
      </c>
      <c r="K764" s="25">
        <v>9.9</v>
      </c>
      <c r="L764" s="23" t="str">
        <f>VLOOKUP(A764,'Customer-details'!$A$1:$C$1001,2,FALSE)</f>
        <v>Member</v>
      </c>
      <c r="M764" s="23" t="str">
        <f>VLOOKUP(A764,'Customer-details'!$A$1:$C$1001,3,FALSE)</f>
        <v>Female</v>
      </c>
      <c r="N764" s="23" t="str">
        <f>VLOOKUP(A764,'Product-details'!$A$1:$B$1001,2,FALSE)</f>
        <v>Fashion accessories</v>
      </c>
      <c r="O764" s="23" t="str">
        <f>VLOOKUP(A764,'City-details'!$A$1:$C$1001,3,FALSE)</f>
        <v>Yangon</v>
      </c>
      <c r="P764" s="23" t="str">
        <f>VLOOKUP(A764,'City-details'!$A$1:$C$1001,2,FALSE)</f>
        <v>A</v>
      </c>
      <c r="Q764" s="23" t="str">
        <f t="shared" si="33"/>
        <v>Jan</v>
      </c>
      <c r="R764" s="26" t="str">
        <f t="shared" si="34"/>
        <v>Sun</v>
      </c>
      <c r="S764">
        <f t="shared" si="35"/>
        <v>7</v>
      </c>
      <c r="T764" t="str" cm="1">
        <f t="array" ref="T764">_xlfn.IFS(S764&lt;=12,"Morning",S764&lt;=16,"Afternoon",S764&lt;=21,"Evening",S764&lt;=24,"Night")</f>
        <v>Morning</v>
      </c>
    </row>
    <row r="765" spans="1:20" x14ac:dyDescent="0.25">
      <c r="A765" s="31" t="s">
        <v>799</v>
      </c>
      <c r="B765" s="27">
        <v>10.69</v>
      </c>
      <c r="C765" s="28">
        <v>5</v>
      </c>
      <c r="D765" s="27">
        <v>2.6724999999999999</v>
      </c>
      <c r="E765" s="27">
        <v>56.122500000000002</v>
      </c>
      <c r="F765" s="29">
        <v>43550</v>
      </c>
      <c r="G765" s="30">
        <v>32.338888888888903</v>
      </c>
      <c r="H765" s="31" t="s">
        <v>23</v>
      </c>
      <c r="I765" s="27">
        <v>53.45</v>
      </c>
      <c r="J765" s="32">
        <v>4.7619047620000003</v>
      </c>
      <c r="K765" s="33">
        <v>7.6</v>
      </c>
      <c r="L765" s="31" t="str">
        <f>VLOOKUP(A765,'Customer-details'!$A$1:$C$1001,2,FALSE)</f>
        <v>Member</v>
      </c>
      <c r="M765" s="31" t="str">
        <f>VLOOKUP(A765,'Customer-details'!$A$1:$C$1001,3,FALSE)</f>
        <v>Female</v>
      </c>
      <c r="N765" s="31" t="str">
        <f>VLOOKUP(A765,'Product-details'!$A$1:$B$1001,2,FALSE)</f>
        <v>Health and beauty</v>
      </c>
      <c r="O765" s="31" t="str">
        <f>VLOOKUP(A765,'City-details'!$A$1:$C$1001,3,FALSE)</f>
        <v>Yangon</v>
      </c>
      <c r="P765" s="31" t="str">
        <f>VLOOKUP(A765,'City-details'!$A$1:$C$1001,2,FALSE)</f>
        <v>A</v>
      </c>
      <c r="Q765" s="31" t="str">
        <f t="shared" si="33"/>
        <v>Mar</v>
      </c>
      <c r="R765" s="34" t="str">
        <f t="shared" si="34"/>
        <v>Tue</v>
      </c>
      <c r="S765">
        <f t="shared" si="35"/>
        <v>8</v>
      </c>
      <c r="T765" t="str" cm="1">
        <f t="array" ref="T765">_xlfn.IFS(S765&lt;=12,"Morning",S765&lt;=16,"Afternoon",S765&lt;=21,"Evening",S765&lt;=24,"Night")</f>
        <v>Morning</v>
      </c>
    </row>
    <row r="766" spans="1:20" x14ac:dyDescent="0.25">
      <c r="A766" s="23" t="s">
        <v>800</v>
      </c>
      <c r="B766" s="19">
        <v>55.5</v>
      </c>
      <c r="C766" s="20">
        <v>4</v>
      </c>
      <c r="D766" s="19">
        <v>11.1</v>
      </c>
      <c r="E766" s="19">
        <v>233.1</v>
      </c>
      <c r="F766" s="21">
        <v>43485</v>
      </c>
      <c r="G766" s="22">
        <v>32.380555555555603</v>
      </c>
      <c r="H766" s="23" t="s">
        <v>33</v>
      </c>
      <c r="I766" s="19">
        <v>222</v>
      </c>
      <c r="J766" s="24">
        <v>4.7619047620000003</v>
      </c>
      <c r="K766" s="25">
        <v>6.6</v>
      </c>
      <c r="L766" s="23" t="str">
        <f>VLOOKUP(A766,'Customer-details'!$A$1:$C$1001,2,FALSE)</f>
        <v>Member</v>
      </c>
      <c r="M766" s="23" t="str">
        <f>VLOOKUP(A766,'Customer-details'!$A$1:$C$1001,3,FALSE)</f>
        <v>Male</v>
      </c>
      <c r="N766" s="23" t="str">
        <f>VLOOKUP(A766,'Product-details'!$A$1:$B$1001,2,FALSE)</f>
        <v>Health and beauty</v>
      </c>
      <c r="O766" s="23" t="str">
        <f>VLOOKUP(A766,'City-details'!$A$1:$C$1001,3,FALSE)</f>
        <v>Yangon</v>
      </c>
      <c r="P766" s="23" t="str">
        <f>VLOOKUP(A766,'City-details'!$A$1:$C$1001,2,FALSE)</f>
        <v>A</v>
      </c>
      <c r="Q766" s="23" t="str">
        <f t="shared" si="33"/>
        <v>Jan</v>
      </c>
      <c r="R766" s="26" t="str">
        <f t="shared" si="34"/>
        <v>Sun</v>
      </c>
      <c r="S766">
        <f t="shared" si="35"/>
        <v>9</v>
      </c>
      <c r="T766" t="str" cm="1">
        <f t="array" ref="T766">_xlfn.IFS(S766&lt;=12,"Morning",S766&lt;=16,"Afternoon",S766&lt;=21,"Evening",S766&lt;=24,"Night")</f>
        <v>Morning</v>
      </c>
    </row>
    <row r="767" spans="1:20" x14ac:dyDescent="0.25">
      <c r="A767" s="31" t="s">
        <v>801</v>
      </c>
      <c r="B767" s="27">
        <v>95.46</v>
      </c>
      <c r="C767" s="28">
        <v>8</v>
      </c>
      <c r="D767" s="27">
        <v>38.183999999999997</v>
      </c>
      <c r="E767" s="27">
        <v>801.86400000000003</v>
      </c>
      <c r="F767" s="29">
        <v>43529</v>
      </c>
      <c r="G767" s="30">
        <v>32.422222222222203</v>
      </c>
      <c r="H767" s="31" t="s">
        <v>23</v>
      </c>
      <c r="I767" s="27">
        <v>763.68</v>
      </c>
      <c r="J767" s="32">
        <v>4.7619047620000003</v>
      </c>
      <c r="K767" s="33">
        <v>4.7</v>
      </c>
      <c r="L767" s="31" t="str">
        <f>VLOOKUP(A767,'Customer-details'!$A$1:$C$1001,2,FALSE)</f>
        <v>Normal</v>
      </c>
      <c r="M767" s="31" t="str">
        <f>VLOOKUP(A767,'Customer-details'!$A$1:$C$1001,3,FALSE)</f>
        <v>Female</v>
      </c>
      <c r="N767" s="31" t="str">
        <f>VLOOKUP(A767,'Product-details'!$A$1:$B$1001,2,FALSE)</f>
        <v>Home and lifestyle</v>
      </c>
      <c r="O767" s="31" t="str">
        <f>VLOOKUP(A767,'City-details'!$A$1:$C$1001,3,FALSE)</f>
        <v>Mandalay</v>
      </c>
      <c r="P767" s="31" t="str">
        <f>VLOOKUP(A767,'City-details'!$A$1:$C$1001,2,FALSE)</f>
        <v>B</v>
      </c>
      <c r="Q767" s="31" t="str">
        <f t="shared" si="33"/>
        <v>Mar</v>
      </c>
      <c r="R767" s="34" t="str">
        <f t="shared" si="34"/>
        <v>Tue</v>
      </c>
      <c r="S767">
        <f t="shared" si="35"/>
        <v>10</v>
      </c>
      <c r="T767" t="str" cm="1">
        <f t="array" ref="T767">_xlfn.IFS(S767&lt;=12,"Morning",S767&lt;=16,"Afternoon",S767&lt;=21,"Evening",S767&lt;=24,"Night")</f>
        <v>Morning</v>
      </c>
    </row>
    <row r="768" spans="1:20" x14ac:dyDescent="0.25">
      <c r="A768" s="23" t="s">
        <v>802</v>
      </c>
      <c r="B768" s="19">
        <v>76.06</v>
      </c>
      <c r="C768" s="20">
        <v>3</v>
      </c>
      <c r="D768" s="19">
        <v>11.409000000000001</v>
      </c>
      <c r="E768" s="19">
        <v>239.589</v>
      </c>
      <c r="F768" s="21">
        <v>43470</v>
      </c>
      <c r="G768" s="22">
        <v>32.463888888888903</v>
      </c>
      <c r="H768" s="23" t="s">
        <v>33</v>
      </c>
      <c r="I768" s="19">
        <v>228.18</v>
      </c>
      <c r="J768" s="24">
        <v>4.7619047620000003</v>
      </c>
      <c r="K768" s="25">
        <v>9.8000000000000007</v>
      </c>
      <c r="L768" s="23" t="str">
        <f>VLOOKUP(A768,'Customer-details'!$A$1:$C$1001,2,FALSE)</f>
        <v>Normal</v>
      </c>
      <c r="M768" s="23" t="str">
        <f>VLOOKUP(A768,'Customer-details'!$A$1:$C$1001,3,FALSE)</f>
        <v>Female</v>
      </c>
      <c r="N768" s="23" t="str">
        <f>VLOOKUP(A768,'Product-details'!$A$1:$B$1001,2,FALSE)</f>
        <v>Fashion accessories</v>
      </c>
      <c r="O768" s="23" t="str">
        <f>VLOOKUP(A768,'City-details'!$A$1:$C$1001,3,FALSE)</f>
        <v>Naypyitaw</v>
      </c>
      <c r="P768" s="23" t="str">
        <f>VLOOKUP(A768,'City-details'!$A$1:$C$1001,2,FALSE)</f>
        <v>C</v>
      </c>
      <c r="Q768" s="23" t="str">
        <f t="shared" si="33"/>
        <v>Jan</v>
      </c>
      <c r="R768" s="26" t="str">
        <f t="shared" si="34"/>
        <v>Sat</v>
      </c>
      <c r="S768">
        <f t="shared" si="35"/>
        <v>11</v>
      </c>
      <c r="T768" t="str" cm="1">
        <f t="array" ref="T768">_xlfn.IFS(S768&lt;=12,"Morning",S768&lt;=16,"Afternoon",S768&lt;=21,"Evening",S768&lt;=24,"Night")</f>
        <v>Morning</v>
      </c>
    </row>
    <row r="769" spans="1:20" x14ac:dyDescent="0.25">
      <c r="A769" s="31" t="s">
        <v>803</v>
      </c>
      <c r="B769" s="27">
        <v>13.69</v>
      </c>
      <c r="C769" s="28">
        <v>6</v>
      </c>
      <c r="D769" s="27">
        <v>4.1070000000000002</v>
      </c>
      <c r="E769" s="27">
        <v>86.247</v>
      </c>
      <c r="F769" s="29">
        <v>43509</v>
      </c>
      <c r="G769" s="30">
        <v>32.505555555555603</v>
      </c>
      <c r="H769" s="31" t="s">
        <v>29</v>
      </c>
      <c r="I769" s="27">
        <v>82.14</v>
      </c>
      <c r="J769" s="32">
        <v>4.7619047620000003</v>
      </c>
      <c r="K769" s="33">
        <v>6.3</v>
      </c>
      <c r="L769" s="31" t="str">
        <f>VLOOKUP(A769,'Customer-details'!$A$1:$C$1001,2,FALSE)</f>
        <v>Normal</v>
      </c>
      <c r="M769" s="31" t="str">
        <f>VLOOKUP(A769,'Customer-details'!$A$1:$C$1001,3,FALSE)</f>
        <v>Male</v>
      </c>
      <c r="N769" s="31" t="str">
        <f>VLOOKUP(A769,'Product-details'!$A$1:$B$1001,2,FALSE)</f>
        <v>Sports and travel</v>
      </c>
      <c r="O769" s="31" t="str">
        <f>VLOOKUP(A769,'City-details'!$A$1:$C$1001,3,FALSE)</f>
        <v>Mandalay</v>
      </c>
      <c r="P769" s="31" t="str">
        <f>VLOOKUP(A769,'City-details'!$A$1:$C$1001,2,FALSE)</f>
        <v>B</v>
      </c>
      <c r="Q769" s="31" t="str">
        <f t="shared" si="33"/>
        <v>Feb</v>
      </c>
      <c r="R769" s="34" t="str">
        <f t="shared" si="34"/>
        <v>Wed</v>
      </c>
      <c r="S769">
        <f t="shared" si="35"/>
        <v>12</v>
      </c>
      <c r="T769" t="str" cm="1">
        <f t="array" ref="T769">_xlfn.IFS(S769&lt;=12,"Morning",S769&lt;=16,"Afternoon",S769&lt;=21,"Evening",S769&lt;=24,"Night")</f>
        <v>Morning</v>
      </c>
    </row>
    <row r="770" spans="1:20" x14ac:dyDescent="0.25">
      <c r="A770" s="23" t="s">
        <v>804</v>
      </c>
      <c r="B770" s="19">
        <v>95.64</v>
      </c>
      <c r="C770" s="20">
        <v>4</v>
      </c>
      <c r="D770" s="19">
        <v>19.128</v>
      </c>
      <c r="E770" s="19">
        <v>401.68799999999999</v>
      </c>
      <c r="F770" s="21">
        <v>43540</v>
      </c>
      <c r="G770" s="22">
        <v>32.547222222222203</v>
      </c>
      <c r="H770" s="23" t="s">
        <v>29</v>
      </c>
      <c r="I770" s="19">
        <v>382.56</v>
      </c>
      <c r="J770" s="24">
        <v>4.7619047620000003</v>
      </c>
      <c r="K770" s="25">
        <v>7.9</v>
      </c>
      <c r="L770" s="23" t="str">
        <f>VLOOKUP(A770,'Customer-details'!$A$1:$C$1001,2,FALSE)</f>
        <v>Normal</v>
      </c>
      <c r="M770" s="23" t="str">
        <f>VLOOKUP(A770,'Customer-details'!$A$1:$C$1001,3,FALSE)</f>
        <v>Female</v>
      </c>
      <c r="N770" s="23" t="str">
        <f>VLOOKUP(A770,'Product-details'!$A$1:$B$1001,2,FALSE)</f>
        <v>Electronic accessories</v>
      </c>
      <c r="O770" s="23" t="str">
        <f>VLOOKUP(A770,'City-details'!$A$1:$C$1001,3,FALSE)</f>
        <v>Mandalay</v>
      </c>
      <c r="P770" s="23" t="str">
        <f>VLOOKUP(A770,'City-details'!$A$1:$C$1001,2,FALSE)</f>
        <v>B</v>
      </c>
      <c r="Q770" s="23" t="str">
        <f t="shared" si="33"/>
        <v>Mar</v>
      </c>
      <c r="R770" s="26" t="str">
        <f t="shared" si="34"/>
        <v>Sat</v>
      </c>
      <c r="S770">
        <f t="shared" si="35"/>
        <v>13</v>
      </c>
      <c r="T770" t="str" cm="1">
        <f t="array" ref="T770">_xlfn.IFS(S770&lt;=12,"Morning",S770&lt;=16,"Afternoon",S770&lt;=21,"Evening",S770&lt;=24,"Night")</f>
        <v>Afternoon</v>
      </c>
    </row>
    <row r="771" spans="1:20" x14ac:dyDescent="0.25">
      <c r="A771" s="31" t="s">
        <v>805</v>
      </c>
      <c r="B771" s="27">
        <v>11.43</v>
      </c>
      <c r="C771" s="28">
        <v>6</v>
      </c>
      <c r="D771" s="27">
        <v>3.4289999999999998</v>
      </c>
      <c r="E771" s="27">
        <v>72.009</v>
      </c>
      <c r="F771" s="29">
        <v>43480</v>
      </c>
      <c r="G771" s="30">
        <v>32.588888888888903</v>
      </c>
      <c r="H771" s="31" t="s">
        <v>29</v>
      </c>
      <c r="I771" s="27">
        <v>68.58</v>
      </c>
      <c r="J771" s="32">
        <v>4.7619047620000003</v>
      </c>
      <c r="K771" s="33">
        <v>7.7</v>
      </c>
      <c r="L771" s="31" t="str">
        <f>VLOOKUP(A771,'Customer-details'!$A$1:$C$1001,2,FALSE)</f>
        <v>Normal</v>
      </c>
      <c r="M771" s="31" t="str">
        <f>VLOOKUP(A771,'Customer-details'!$A$1:$C$1001,3,FALSE)</f>
        <v>Female</v>
      </c>
      <c r="N771" s="31" t="str">
        <f>VLOOKUP(A771,'Product-details'!$A$1:$B$1001,2,FALSE)</f>
        <v>Home and lifestyle</v>
      </c>
      <c r="O771" s="31" t="str">
        <f>VLOOKUP(A771,'City-details'!$A$1:$C$1001,3,FALSE)</f>
        <v>Yangon</v>
      </c>
      <c r="P771" s="31" t="str">
        <f>VLOOKUP(A771,'City-details'!$A$1:$C$1001,2,FALSE)</f>
        <v>A</v>
      </c>
      <c r="Q771" s="31" t="str">
        <f t="shared" ref="Q771:Q834" si="36">TEXT(F771,"mmm")</f>
        <v>Jan</v>
      </c>
      <c r="R771" s="34" t="str">
        <f t="shared" ref="R771:R834" si="37">TEXT(F771,"ddd")</f>
        <v>Tue</v>
      </c>
      <c r="S771">
        <f t="shared" ref="S771:S834" si="38">HOUR(G771)</f>
        <v>14</v>
      </c>
      <c r="T771" t="str" cm="1">
        <f t="array" ref="T771">_xlfn.IFS(S771&lt;=12,"Morning",S771&lt;=16,"Afternoon",S771&lt;=21,"Evening",S771&lt;=24,"Night")</f>
        <v>Afternoon</v>
      </c>
    </row>
    <row r="772" spans="1:20" x14ac:dyDescent="0.25">
      <c r="A772" s="23" t="s">
        <v>806</v>
      </c>
      <c r="B772" s="19">
        <v>95.54</v>
      </c>
      <c r="C772" s="20">
        <v>4</v>
      </c>
      <c r="D772" s="19">
        <v>19.108000000000001</v>
      </c>
      <c r="E772" s="19">
        <v>401.26799999999997</v>
      </c>
      <c r="F772" s="21">
        <v>43522</v>
      </c>
      <c r="G772" s="22">
        <v>32.630555555555603</v>
      </c>
      <c r="H772" s="23" t="s">
        <v>23</v>
      </c>
      <c r="I772" s="19">
        <v>382.16</v>
      </c>
      <c r="J772" s="24">
        <v>4.7619047620000003</v>
      </c>
      <c r="K772" s="25">
        <v>4.5</v>
      </c>
      <c r="L772" s="23" t="str">
        <f>VLOOKUP(A772,'Customer-details'!$A$1:$C$1001,2,FALSE)</f>
        <v>Member</v>
      </c>
      <c r="M772" s="23" t="str">
        <f>VLOOKUP(A772,'Customer-details'!$A$1:$C$1001,3,FALSE)</f>
        <v>Female</v>
      </c>
      <c r="N772" s="23" t="str">
        <f>VLOOKUP(A772,'Product-details'!$A$1:$B$1001,2,FALSE)</f>
        <v>Sports and travel</v>
      </c>
      <c r="O772" s="23" t="str">
        <f>VLOOKUP(A772,'City-details'!$A$1:$C$1001,3,FALSE)</f>
        <v>Mandalay</v>
      </c>
      <c r="P772" s="23" t="str">
        <f>VLOOKUP(A772,'City-details'!$A$1:$C$1001,2,FALSE)</f>
        <v>B</v>
      </c>
      <c r="Q772" s="23" t="str">
        <f t="shared" si="36"/>
        <v>Feb</v>
      </c>
      <c r="R772" s="26" t="str">
        <f t="shared" si="37"/>
        <v>Tue</v>
      </c>
      <c r="S772">
        <f t="shared" si="38"/>
        <v>15</v>
      </c>
      <c r="T772" t="str" cm="1">
        <f t="array" ref="T772">_xlfn.IFS(S772&lt;=12,"Morning",S772&lt;=16,"Afternoon",S772&lt;=21,"Evening",S772&lt;=24,"Night")</f>
        <v>Afternoon</v>
      </c>
    </row>
    <row r="773" spans="1:20" x14ac:dyDescent="0.25">
      <c r="A773" s="31" t="s">
        <v>807</v>
      </c>
      <c r="B773" s="27">
        <v>85.87</v>
      </c>
      <c r="C773" s="28">
        <v>7</v>
      </c>
      <c r="D773" s="27">
        <v>30.054500000000001</v>
      </c>
      <c r="E773" s="27">
        <v>631.14449999999999</v>
      </c>
      <c r="F773" s="29">
        <v>43523</v>
      </c>
      <c r="G773" s="30">
        <v>32.672222222222203</v>
      </c>
      <c r="H773" s="31" t="s">
        <v>33</v>
      </c>
      <c r="I773" s="27">
        <v>601.09</v>
      </c>
      <c r="J773" s="32">
        <v>4.7619047620000003</v>
      </c>
      <c r="K773" s="33">
        <v>8</v>
      </c>
      <c r="L773" s="31" t="str">
        <f>VLOOKUP(A773,'Customer-details'!$A$1:$C$1001,2,FALSE)</f>
        <v>Member</v>
      </c>
      <c r="M773" s="31" t="str">
        <f>VLOOKUP(A773,'Customer-details'!$A$1:$C$1001,3,FALSE)</f>
        <v>Female</v>
      </c>
      <c r="N773" s="31" t="str">
        <f>VLOOKUP(A773,'Product-details'!$A$1:$B$1001,2,FALSE)</f>
        <v>Health and beauty</v>
      </c>
      <c r="O773" s="31" t="str">
        <f>VLOOKUP(A773,'City-details'!$A$1:$C$1001,3,FALSE)</f>
        <v>Naypyitaw</v>
      </c>
      <c r="P773" s="31" t="str">
        <f>VLOOKUP(A773,'City-details'!$A$1:$C$1001,2,FALSE)</f>
        <v>C</v>
      </c>
      <c r="Q773" s="31" t="str">
        <f t="shared" si="36"/>
        <v>Feb</v>
      </c>
      <c r="R773" s="34" t="str">
        <f t="shared" si="37"/>
        <v>Wed</v>
      </c>
      <c r="S773">
        <f t="shared" si="38"/>
        <v>16</v>
      </c>
      <c r="T773" t="str" cm="1">
        <f t="array" ref="T773">_xlfn.IFS(S773&lt;=12,"Morning",S773&lt;=16,"Afternoon",S773&lt;=21,"Evening",S773&lt;=24,"Night")</f>
        <v>Afternoon</v>
      </c>
    </row>
    <row r="774" spans="1:20" x14ac:dyDescent="0.25">
      <c r="A774" s="23" t="s">
        <v>808</v>
      </c>
      <c r="B774" s="19">
        <v>67.989999999999995</v>
      </c>
      <c r="C774" s="20">
        <v>7</v>
      </c>
      <c r="D774" s="19">
        <v>23.796500000000002</v>
      </c>
      <c r="E774" s="19">
        <v>499.72649999999999</v>
      </c>
      <c r="F774" s="21">
        <v>43513</v>
      </c>
      <c r="G774" s="22">
        <v>32.713888888888903</v>
      </c>
      <c r="H774" s="23" t="s">
        <v>23</v>
      </c>
      <c r="I774" s="19">
        <v>475.93</v>
      </c>
      <c r="J774" s="24">
        <v>4.7619047620000003</v>
      </c>
      <c r="K774" s="25">
        <v>5.7</v>
      </c>
      <c r="L774" s="23" t="str">
        <f>VLOOKUP(A774,'Customer-details'!$A$1:$C$1001,2,FALSE)</f>
        <v>Member</v>
      </c>
      <c r="M774" s="23" t="str">
        <f>VLOOKUP(A774,'Customer-details'!$A$1:$C$1001,3,FALSE)</f>
        <v>Female</v>
      </c>
      <c r="N774" s="23" t="str">
        <f>VLOOKUP(A774,'Product-details'!$A$1:$B$1001,2,FALSE)</f>
        <v>Sports and travel</v>
      </c>
      <c r="O774" s="23" t="str">
        <f>VLOOKUP(A774,'City-details'!$A$1:$C$1001,3,FALSE)</f>
        <v>Naypyitaw</v>
      </c>
      <c r="P774" s="23" t="str">
        <f>VLOOKUP(A774,'City-details'!$A$1:$C$1001,2,FALSE)</f>
        <v>C</v>
      </c>
      <c r="Q774" s="23" t="str">
        <f t="shared" si="36"/>
        <v>Feb</v>
      </c>
      <c r="R774" s="26" t="str">
        <f t="shared" si="37"/>
        <v>Sun</v>
      </c>
      <c r="S774">
        <f t="shared" si="38"/>
        <v>17</v>
      </c>
      <c r="T774" t="str" cm="1">
        <f t="array" ref="T774">_xlfn.IFS(S774&lt;=12,"Morning",S774&lt;=16,"Afternoon",S774&lt;=21,"Evening",S774&lt;=24,"Night")</f>
        <v>Evening</v>
      </c>
    </row>
    <row r="775" spans="1:20" x14ac:dyDescent="0.25">
      <c r="A775" s="31" t="s">
        <v>809</v>
      </c>
      <c r="B775" s="27">
        <v>52.42</v>
      </c>
      <c r="C775" s="28">
        <v>1</v>
      </c>
      <c r="D775" s="27">
        <v>2.621</v>
      </c>
      <c r="E775" s="27">
        <v>55.040999999999997</v>
      </c>
      <c r="F775" s="29">
        <v>43502</v>
      </c>
      <c r="G775" s="30">
        <v>32.755555555555603</v>
      </c>
      <c r="H775" s="31" t="s">
        <v>33</v>
      </c>
      <c r="I775" s="27">
        <v>52.42</v>
      </c>
      <c r="J775" s="32">
        <v>4.7619047620000003</v>
      </c>
      <c r="K775" s="33">
        <v>6.3</v>
      </c>
      <c r="L775" s="31" t="str">
        <f>VLOOKUP(A775,'Customer-details'!$A$1:$C$1001,2,FALSE)</f>
        <v>Normal</v>
      </c>
      <c r="M775" s="31" t="str">
        <f>VLOOKUP(A775,'Customer-details'!$A$1:$C$1001,3,FALSE)</f>
        <v>Female</v>
      </c>
      <c r="N775" s="31" t="str">
        <f>VLOOKUP(A775,'Product-details'!$A$1:$B$1001,2,FALSE)</f>
        <v>Food and beverages</v>
      </c>
      <c r="O775" s="31" t="str">
        <f>VLOOKUP(A775,'City-details'!$A$1:$C$1001,3,FALSE)</f>
        <v>Naypyitaw</v>
      </c>
      <c r="P775" s="31" t="str">
        <f>VLOOKUP(A775,'City-details'!$A$1:$C$1001,2,FALSE)</f>
        <v>C</v>
      </c>
      <c r="Q775" s="31" t="str">
        <f t="shared" si="36"/>
        <v>Feb</v>
      </c>
      <c r="R775" s="34" t="str">
        <f t="shared" si="37"/>
        <v>Wed</v>
      </c>
      <c r="S775">
        <f t="shared" si="38"/>
        <v>18</v>
      </c>
      <c r="T775" t="str" cm="1">
        <f t="array" ref="T775">_xlfn.IFS(S775&lt;=12,"Morning",S775&lt;=16,"Afternoon",S775&lt;=21,"Evening",S775&lt;=24,"Night")</f>
        <v>Evening</v>
      </c>
    </row>
    <row r="776" spans="1:20" x14ac:dyDescent="0.25">
      <c r="A776" s="23" t="s">
        <v>810</v>
      </c>
      <c r="B776" s="19">
        <v>65.650000000000006</v>
      </c>
      <c r="C776" s="20">
        <v>2</v>
      </c>
      <c r="D776" s="19">
        <v>6.5650000000000004</v>
      </c>
      <c r="E776" s="19">
        <v>137.86500000000001</v>
      </c>
      <c r="F776" s="21">
        <v>43482</v>
      </c>
      <c r="G776" s="22">
        <v>32.797222222222203</v>
      </c>
      <c r="H776" s="23" t="s">
        <v>29</v>
      </c>
      <c r="I776" s="19">
        <v>131.30000000000001</v>
      </c>
      <c r="J776" s="24">
        <v>4.7619047620000003</v>
      </c>
      <c r="K776" s="25">
        <v>6</v>
      </c>
      <c r="L776" s="23" t="str">
        <f>VLOOKUP(A776,'Customer-details'!$A$1:$C$1001,2,FALSE)</f>
        <v>Member</v>
      </c>
      <c r="M776" s="23" t="str">
        <f>VLOOKUP(A776,'Customer-details'!$A$1:$C$1001,3,FALSE)</f>
        <v>Male</v>
      </c>
      <c r="N776" s="23" t="str">
        <f>VLOOKUP(A776,'Product-details'!$A$1:$B$1001,2,FALSE)</f>
        <v>Food and beverages</v>
      </c>
      <c r="O776" s="23" t="str">
        <f>VLOOKUP(A776,'City-details'!$A$1:$C$1001,3,FALSE)</f>
        <v>Naypyitaw</v>
      </c>
      <c r="P776" s="23" t="str">
        <f>VLOOKUP(A776,'City-details'!$A$1:$C$1001,2,FALSE)</f>
        <v>C</v>
      </c>
      <c r="Q776" s="23" t="str">
        <f t="shared" si="36"/>
        <v>Jan</v>
      </c>
      <c r="R776" s="26" t="str">
        <f t="shared" si="37"/>
        <v>Thu</v>
      </c>
      <c r="S776">
        <f t="shared" si="38"/>
        <v>19</v>
      </c>
      <c r="T776" t="str" cm="1">
        <f t="array" ref="T776">_xlfn.IFS(S776&lt;=12,"Morning",S776&lt;=16,"Afternoon",S776&lt;=21,"Evening",S776&lt;=24,"Night")</f>
        <v>Evening</v>
      </c>
    </row>
    <row r="777" spans="1:20" x14ac:dyDescent="0.25">
      <c r="A777" s="31" t="s">
        <v>811</v>
      </c>
      <c r="B777" s="27">
        <v>28.86</v>
      </c>
      <c r="C777" s="28">
        <v>5</v>
      </c>
      <c r="D777" s="27">
        <v>7.2149999999999999</v>
      </c>
      <c r="E777" s="27">
        <v>151.51499999999999</v>
      </c>
      <c r="F777" s="29">
        <v>43487</v>
      </c>
      <c r="G777" s="30">
        <v>32.838888888888903</v>
      </c>
      <c r="H777" s="31" t="s">
        <v>33</v>
      </c>
      <c r="I777" s="27">
        <v>144.30000000000001</v>
      </c>
      <c r="J777" s="32">
        <v>4.7619047620000003</v>
      </c>
      <c r="K777" s="33">
        <v>8</v>
      </c>
      <c r="L777" s="31" t="str">
        <f>VLOOKUP(A777,'Customer-details'!$A$1:$C$1001,2,FALSE)</f>
        <v>Normal</v>
      </c>
      <c r="M777" s="31" t="str">
        <f>VLOOKUP(A777,'Customer-details'!$A$1:$C$1001,3,FALSE)</f>
        <v>Female</v>
      </c>
      <c r="N777" s="31" t="str">
        <f>VLOOKUP(A777,'Product-details'!$A$1:$B$1001,2,FALSE)</f>
        <v>Food and beverages</v>
      </c>
      <c r="O777" s="31" t="str">
        <f>VLOOKUP(A777,'City-details'!$A$1:$C$1001,3,FALSE)</f>
        <v>Mandalay</v>
      </c>
      <c r="P777" s="31" t="str">
        <f>VLOOKUP(A777,'City-details'!$A$1:$C$1001,2,FALSE)</f>
        <v>B</v>
      </c>
      <c r="Q777" s="31" t="str">
        <f t="shared" si="36"/>
        <v>Jan</v>
      </c>
      <c r="R777" s="34" t="str">
        <f t="shared" si="37"/>
        <v>Tue</v>
      </c>
      <c r="S777">
        <f t="shared" si="38"/>
        <v>20</v>
      </c>
      <c r="T777" t="str" cm="1">
        <f t="array" ref="T777">_xlfn.IFS(S777&lt;=12,"Morning",S777&lt;=16,"Afternoon",S777&lt;=21,"Evening",S777&lt;=24,"Night")</f>
        <v>Evening</v>
      </c>
    </row>
    <row r="778" spans="1:20" x14ac:dyDescent="0.25">
      <c r="A778" s="23" t="s">
        <v>812</v>
      </c>
      <c r="B778" s="19">
        <v>65.31</v>
      </c>
      <c r="C778" s="20">
        <v>7</v>
      </c>
      <c r="D778" s="19">
        <v>22.858499999999999</v>
      </c>
      <c r="E778" s="19">
        <v>480.02850000000001</v>
      </c>
      <c r="F778" s="21">
        <v>43529</v>
      </c>
      <c r="G778" s="22">
        <v>32.880555555555603</v>
      </c>
      <c r="H778" s="23" t="s">
        <v>33</v>
      </c>
      <c r="I778" s="19">
        <v>457.17</v>
      </c>
      <c r="J778" s="24">
        <v>4.7619047620000003</v>
      </c>
      <c r="K778" s="25">
        <v>4.2</v>
      </c>
      <c r="L778" s="23" t="str">
        <f>VLOOKUP(A778,'Customer-details'!$A$1:$C$1001,2,FALSE)</f>
        <v>Member</v>
      </c>
      <c r="M778" s="23" t="str">
        <f>VLOOKUP(A778,'Customer-details'!$A$1:$C$1001,3,FALSE)</f>
        <v>Male</v>
      </c>
      <c r="N778" s="23" t="str">
        <f>VLOOKUP(A778,'Product-details'!$A$1:$B$1001,2,FALSE)</f>
        <v>Health and beauty</v>
      </c>
      <c r="O778" s="23" t="str">
        <f>VLOOKUP(A778,'City-details'!$A$1:$C$1001,3,FALSE)</f>
        <v>Naypyitaw</v>
      </c>
      <c r="P778" s="23" t="str">
        <f>VLOOKUP(A778,'City-details'!$A$1:$C$1001,2,FALSE)</f>
        <v>C</v>
      </c>
      <c r="Q778" s="23" t="str">
        <f t="shared" si="36"/>
        <v>Mar</v>
      </c>
      <c r="R778" s="26" t="str">
        <f t="shared" si="37"/>
        <v>Tue</v>
      </c>
      <c r="S778">
        <f t="shared" si="38"/>
        <v>21</v>
      </c>
      <c r="T778" t="str" cm="1">
        <f t="array" ref="T778">_xlfn.IFS(S778&lt;=12,"Morning",S778&lt;=16,"Afternoon",S778&lt;=21,"Evening",S778&lt;=24,"Night")</f>
        <v>Evening</v>
      </c>
    </row>
    <row r="779" spans="1:20" x14ac:dyDescent="0.25">
      <c r="A779" s="31" t="s">
        <v>813</v>
      </c>
      <c r="B779" s="27">
        <v>93.38</v>
      </c>
      <c r="C779" s="28">
        <v>1</v>
      </c>
      <c r="D779" s="27">
        <v>4.6689999999999996</v>
      </c>
      <c r="E779" s="27">
        <v>98.049000000000007</v>
      </c>
      <c r="F779" s="29">
        <v>43468</v>
      </c>
      <c r="G779" s="30">
        <v>32.922222222222203</v>
      </c>
      <c r="H779" s="31" t="s">
        <v>29</v>
      </c>
      <c r="I779" s="27">
        <v>93.38</v>
      </c>
      <c r="J779" s="32">
        <v>4.7619047620000003</v>
      </c>
      <c r="K779" s="33">
        <v>9.6</v>
      </c>
      <c r="L779" s="31" t="str">
        <f>VLOOKUP(A779,'Customer-details'!$A$1:$C$1001,2,FALSE)</f>
        <v>Normal</v>
      </c>
      <c r="M779" s="31" t="str">
        <f>VLOOKUP(A779,'Customer-details'!$A$1:$C$1001,3,FALSE)</f>
        <v>Male</v>
      </c>
      <c r="N779" s="31" t="str">
        <f>VLOOKUP(A779,'Product-details'!$A$1:$B$1001,2,FALSE)</f>
        <v>Sports and travel</v>
      </c>
      <c r="O779" s="31" t="str">
        <f>VLOOKUP(A779,'City-details'!$A$1:$C$1001,3,FALSE)</f>
        <v>Mandalay</v>
      </c>
      <c r="P779" s="31" t="str">
        <f>VLOOKUP(A779,'City-details'!$A$1:$C$1001,2,FALSE)</f>
        <v>B</v>
      </c>
      <c r="Q779" s="31" t="str">
        <f t="shared" si="36"/>
        <v>Jan</v>
      </c>
      <c r="R779" s="34" t="str">
        <f t="shared" si="37"/>
        <v>Thu</v>
      </c>
      <c r="S779">
        <f t="shared" si="38"/>
        <v>22</v>
      </c>
      <c r="T779" t="str" cm="1">
        <f t="array" ref="T779">_xlfn.IFS(S779&lt;=12,"Morning",S779&lt;=16,"Afternoon",S779&lt;=21,"Evening",S779&lt;=24,"Night")</f>
        <v>Night</v>
      </c>
    </row>
    <row r="780" spans="1:20" x14ac:dyDescent="0.25">
      <c r="A780" s="23" t="s">
        <v>814</v>
      </c>
      <c r="B780" s="19">
        <v>25.25</v>
      </c>
      <c r="C780" s="20">
        <v>5</v>
      </c>
      <c r="D780" s="19">
        <v>6.3125</v>
      </c>
      <c r="E780" s="19">
        <v>132.5625</v>
      </c>
      <c r="F780" s="21">
        <v>43544</v>
      </c>
      <c r="G780" s="22">
        <v>32.963888888888903</v>
      </c>
      <c r="H780" s="23" t="s">
        <v>29</v>
      </c>
      <c r="I780" s="19">
        <v>126.25</v>
      </c>
      <c r="J780" s="24">
        <v>4.7619047620000003</v>
      </c>
      <c r="K780" s="25">
        <v>6.1</v>
      </c>
      <c r="L780" s="23" t="str">
        <f>VLOOKUP(A780,'Customer-details'!$A$1:$C$1001,2,FALSE)</f>
        <v>Member</v>
      </c>
      <c r="M780" s="23" t="str">
        <f>VLOOKUP(A780,'Customer-details'!$A$1:$C$1001,3,FALSE)</f>
        <v>Male</v>
      </c>
      <c r="N780" s="23" t="str">
        <f>VLOOKUP(A780,'Product-details'!$A$1:$B$1001,2,FALSE)</f>
        <v>Sports and travel</v>
      </c>
      <c r="O780" s="23" t="str">
        <f>VLOOKUP(A780,'City-details'!$A$1:$C$1001,3,FALSE)</f>
        <v>Naypyitaw</v>
      </c>
      <c r="P780" s="23" t="str">
        <f>VLOOKUP(A780,'City-details'!$A$1:$C$1001,2,FALSE)</f>
        <v>C</v>
      </c>
      <c r="Q780" s="23" t="str">
        <f t="shared" si="36"/>
        <v>Mar</v>
      </c>
      <c r="R780" s="26" t="str">
        <f t="shared" si="37"/>
        <v>Wed</v>
      </c>
      <c r="S780">
        <f t="shared" si="38"/>
        <v>23</v>
      </c>
      <c r="T780" t="str" cm="1">
        <f t="array" ref="T780">_xlfn.IFS(S780&lt;=12,"Morning",S780&lt;=16,"Afternoon",S780&lt;=21,"Evening",S780&lt;=24,"Night")</f>
        <v>Night</v>
      </c>
    </row>
    <row r="781" spans="1:20" x14ac:dyDescent="0.25">
      <c r="A781" s="31" t="s">
        <v>815</v>
      </c>
      <c r="B781" s="27">
        <v>87.87</v>
      </c>
      <c r="C781" s="28">
        <v>9</v>
      </c>
      <c r="D781" s="27">
        <v>39.541499999999999</v>
      </c>
      <c r="E781" s="27">
        <v>830.37149999999997</v>
      </c>
      <c r="F781" s="29">
        <v>43496</v>
      </c>
      <c r="G781" s="30">
        <v>33.005555555555603</v>
      </c>
      <c r="H781" s="31" t="s">
        <v>23</v>
      </c>
      <c r="I781" s="27">
        <v>790.83</v>
      </c>
      <c r="J781" s="32">
        <v>4.7619047620000003</v>
      </c>
      <c r="K781" s="33">
        <v>5.6</v>
      </c>
      <c r="L781" s="31" t="str">
        <f>VLOOKUP(A781,'Customer-details'!$A$1:$C$1001,2,FALSE)</f>
        <v>Member</v>
      </c>
      <c r="M781" s="31" t="str">
        <f>VLOOKUP(A781,'Customer-details'!$A$1:$C$1001,3,FALSE)</f>
        <v>Male</v>
      </c>
      <c r="N781" s="31" t="str">
        <f>VLOOKUP(A781,'Product-details'!$A$1:$B$1001,2,FALSE)</f>
        <v>Electronic accessories</v>
      </c>
      <c r="O781" s="31" t="str">
        <f>VLOOKUP(A781,'City-details'!$A$1:$C$1001,3,FALSE)</f>
        <v>Mandalay</v>
      </c>
      <c r="P781" s="31" t="str">
        <f>VLOOKUP(A781,'City-details'!$A$1:$C$1001,2,FALSE)</f>
        <v>B</v>
      </c>
      <c r="Q781" s="31" t="str">
        <f t="shared" si="36"/>
        <v>Jan</v>
      </c>
      <c r="R781" s="34" t="str">
        <f t="shared" si="37"/>
        <v>Thu</v>
      </c>
      <c r="S781">
        <f t="shared" si="38"/>
        <v>0</v>
      </c>
      <c r="T781" t="str" cm="1">
        <f t="array" ref="T781">_xlfn.IFS(S781&lt;=12,"Morning",S781&lt;=16,"Afternoon",S781&lt;=21,"Evening",S781&lt;=24,"Night")</f>
        <v>Morning</v>
      </c>
    </row>
    <row r="782" spans="1:20" x14ac:dyDescent="0.25">
      <c r="A782" s="23" t="s">
        <v>816</v>
      </c>
      <c r="B782" s="19">
        <v>21.8</v>
      </c>
      <c r="C782" s="20">
        <v>8</v>
      </c>
      <c r="D782" s="19">
        <v>8.7200000000000006</v>
      </c>
      <c r="E782" s="19">
        <v>183.12</v>
      </c>
      <c r="F782" s="21">
        <v>43515</v>
      </c>
      <c r="G782" s="22">
        <v>33.047222222222203</v>
      </c>
      <c r="H782" s="23" t="s">
        <v>29</v>
      </c>
      <c r="I782" s="19">
        <v>174.4</v>
      </c>
      <c r="J782" s="24">
        <v>4.7619047620000003</v>
      </c>
      <c r="K782" s="25">
        <v>8.3000000000000007</v>
      </c>
      <c r="L782" s="23" t="str">
        <f>VLOOKUP(A782,'Customer-details'!$A$1:$C$1001,2,FALSE)</f>
        <v>Normal</v>
      </c>
      <c r="M782" s="23" t="str">
        <f>VLOOKUP(A782,'Customer-details'!$A$1:$C$1001,3,FALSE)</f>
        <v>Male</v>
      </c>
      <c r="N782" s="23" t="str">
        <f>VLOOKUP(A782,'Product-details'!$A$1:$B$1001,2,FALSE)</f>
        <v>Health and beauty</v>
      </c>
      <c r="O782" s="23" t="str">
        <f>VLOOKUP(A782,'City-details'!$A$1:$C$1001,3,FALSE)</f>
        <v>Naypyitaw</v>
      </c>
      <c r="P782" s="23" t="str">
        <f>VLOOKUP(A782,'City-details'!$A$1:$C$1001,2,FALSE)</f>
        <v>C</v>
      </c>
      <c r="Q782" s="23" t="str">
        <f t="shared" si="36"/>
        <v>Feb</v>
      </c>
      <c r="R782" s="26" t="str">
        <f t="shared" si="37"/>
        <v>Tue</v>
      </c>
      <c r="S782">
        <f t="shared" si="38"/>
        <v>1</v>
      </c>
      <c r="T782" t="str" cm="1">
        <f t="array" ref="T782">_xlfn.IFS(S782&lt;=12,"Morning",S782&lt;=16,"Afternoon",S782&lt;=21,"Evening",S782&lt;=24,"Night")</f>
        <v>Morning</v>
      </c>
    </row>
    <row r="783" spans="1:20" x14ac:dyDescent="0.25">
      <c r="A783" s="31" t="s">
        <v>817</v>
      </c>
      <c r="B783" s="27">
        <v>94.76</v>
      </c>
      <c r="C783" s="28">
        <v>4</v>
      </c>
      <c r="D783" s="27">
        <v>18.952000000000002</v>
      </c>
      <c r="E783" s="27">
        <v>397.99200000000002</v>
      </c>
      <c r="F783" s="29">
        <v>43507</v>
      </c>
      <c r="G783" s="30">
        <v>33.088888888888903</v>
      </c>
      <c r="H783" s="31" t="s">
        <v>23</v>
      </c>
      <c r="I783" s="27">
        <v>379.04</v>
      </c>
      <c r="J783" s="32">
        <v>4.7619047620000003</v>
      </c>
      <c r="K783" s="33">
        <v>7.8</v>
      </c>
      <c r="L783" s="31" t="str">
        <f>VLOOKUP(A783,'Customer-details'!$A$1:$C$1001,2,FALSE)</f>
        <v>Normal</v>
      </c>
      <c r="M783" s="31" t="str">
        <f>VLOOKUP(A783,'Customer-details'!$A$1:$C$1001,3,FALSE)</f>
        <v>Female</v>
      </c>
      <c r="N783" s="31" t="str">
        <f>VLOOKUP(A783,'Product-details'!$A$1:$B$1001,2,FALSE)</f>
        <v>Sports and travel</v>
      </c>
      <c r="O783" s="31" t="str">
        <f>VLOOKUP(A783,'City-details'!$A$1:$C$1001,3,FALSE)</f>
        <v>Yangon</v>
      </c>
      <c r="P783" s="31" t="str">
        <f>VLOOKUP(A783,'City-details'!$A$1:$C$1001,2,FALSE)</f>
        <v>A</v>
      </c>
      <c r="Q783" s="31" t="str">
        <f t="shared" si="36"/>
        <v>Feb</v>
      </c>
      <c r="R783" s="34" t="str">
        <f t="shared" si="37"/>
        <v>Mon</v>
      </c>
      <c r="S783">
        <f t="shared" si="38"/>
        <v>2</v>
      </c>
      <c r="T783" t="str" cm="1">
        <f t="array" ref="T783">_xlfn.IFS(S783&lt;=12,"Morning",S783&lt;=16,"Afternoon",S783&lt;=21,"Evening",S783&lt;=24,"Night")</f>
        <v>Morning</v>
      </c>
    </row>
    <row r="784" spans="1:20" x14ac:dyDescent="0.25">
      <c r="A784" s="23" t="s">
        <v>818</v>
      </c>
      <c r="B784" s="19">
        <v>30.62</v>
      </c>
      <c r="C784" s="20">
        <v>1</v>
      </c>
      <c r="D784" s="19">
        <v>1.5309999999999999</v>
      </c>
      <c r="E784" s="19">
        <v>32.151000000000003</v>
      </c>
      <c r="F784" s="21">
        <v>43501</v>
      </c>
      <c r="G784" s="22">
        <v>33.130555555555603</v>
      </c>
      <c r="H784" s="23" t="s">
        <v>33</v>
      </c>
      <c r="I784" s="19">
        <v>30.62</v>
      </c>
      <c r="J784" s="24">
        <v>4.7619047620000003</v>
      </c>
      <c r="K784" s="25">
        <v>4.0999999999999996</v>
      </c>
      <c r="L784" s="23" t="str">
        <f>VLOOKUP(A784,'Customer-details'!$A$1:$C$1001,2,FALSE)</f>
        <v>Member</v>
      </c>
      <c r="M784" s="23" t="str">
        <f>VLOOKUP(A784,'Customer-details'!$A$1:$C$1001,3,FALSE)</f>
        <v>Female</v>
      </c>
      <c r="N784" s="23" t="str">
        <f>VLOOKUP(A784,'Product-details'!$A$1:$B$1001,2,FALSE)</f>
        <v>Fashion accessories</v>
      </c>
      <c r="O784" s="23" t="str">
        <f>VLOOKUP(A784,'City-details'!$A$1:$C$1001,3,FALSE)</f>
        <v>Yangon</v>
      </c>
      <c r="P784" s="23" t="str">
        <f>VLOOKUP(A784,'City-details'!$A$1:$C$1001,2,FALSE)</f>
        <v>A</v>
      </c>
      <c r="Q784" s="23" t="str">
        <f t="shared" si="36"/>
        <v>Feb</v>
      </c>
      <c r="R784" s="26" t="str">
        <f t="shared" si="37"/>
        <v>Tue</v>
      </c>
      <c r="S784">
        <f t="shared" si="38"/>
        <v>3</v>
      </c>
      <c r="T784" t="str" cm="1">
        <f t="array" ref="T784">_xlfn.IFS(S784&lt;=12,"Morning",S784&lt;=16,"Afternoon",S784&lt;=21,"Evening",S784&lt;=24,"Night")</f>
        <v>Morning</v>
      </c>
    </row>
    <row r="785" spans="1:20" x14ac:dyDescent="0.25">
      <c r="A785" s="31" t="s">
        <v>819</v>
      </c>
      <c r="B785" s="27">
        <v>44.01</v>
      </c>
      <c r="C785" s="28">
        <v>8</v>
      </c>
      <c r="D785" s="27">
        <v>17.603999999999999</v>
      </c>
      <c r="E785" s="27">
        <v>369.68400000000003</v>
      </c>
      <c r="F785" s="29">
        <v>43527</v>
      </c>
      <c r="G785" s="30">
        <v>33.172222222222203</v>
      </c>
      <c r="H785" s="31" t="s">
        <v>29</v>
      </c>
      <c r="I785" s="27">
        <v>352.08</v>
      </c>
      <c r="J785" s="32">
        <v>4.7619047620000003</v>
      </c>
      <c r="K785" s="33">
        <v>8.8000000000000007</v>
      </c>
      <c r="L785" s="31" t="str">
        <f>VLOOKUP(A785,'Customer-details'!$A$1:$C$1001,2,FALSE)</f>
        <v>Normal</v>
      </c>
      <c r="M785" s="31" t="str">
        <f>VLOOKUP(A785,'Customer-details'!$A$1:$C$1001,3,FALSE)</f>
        <v>Female</v>
      </c>
      <c r="N785" s="31" t="str">
        <f>VLOOKUP(A785,'Product-details'!$A$1:$B$1001,2,FALSE)</f>
        <v>Home and lifestyle</v>
      </c>
      <c r="O785" s="31" t="str">
        <f>VLOOKUP(A785,'City-details'!$A$1:$C$1001,3,FALSE)</f>
        <v>Naypyitaw</v>
      </c>
      <c r="P785" s="31" t="str">
        <f>VLOOKUP(A785,'City-details'!$A$1:$C$1001,2,FALSE)</f>
        <v>C</v>
      </c>
      <c r="Q785" s="31" t="str">
        <f t="shared" si="36"/>
        <v>Mar</v>
      </c>
      <c r="R785" s="34" t="str">
        <f t="shared" si="37"/>
        <v>Sun</v>
      </c>
      <c r="S785">
        <f t="shared" si="38"/>
        <v>4</v>
      </c>
      <c r="T785" t="str" cm="1">
        <f t="array" ref="T785">_xlfn.IFS(S785&lt;=12,"Morning",S785&lt;=16,"Afternoon",S785&lt;=21,"Evening",S785&lt;=24,"Night")</f>
        <v>Morning</v>
      </c>
    </row>
    <row r="786" spans="1:20" x14ac:dyDescent="0.25">
      <c r="A786" s="23" t="s">
        <v>820</v>
      </c>
      <c r="B786" s="19">
        <v>10.16</v>
      </c>
      <c r="C786" s="20">
        <v>5</v>
      </c>
      <c r="D786" s="19">
        <v>2.54</v>
      </c>
      <c r="E786" s="19">
        <v>53.34</v>
      </c>
      <c r="F786" s="21">
        <v>43520</v>
      </c>
      <c r="G786" s="22">
        <v>33.213888888888903</v>
      </c>
      <c r="H786" s="23" t="s">
        <v>23</v>
      </c>
      <c r="I786" s="19">
        <v>50.8</v>
      </c>
      <c r="J786" s="24">
        <v>4.7619047620000003</v>
      </c>
      <c r="K786" s="25">
        <v>4.0999999999999996</v>
      </c>
      <c r="L786" s="23" t="str">
        <f>VLOOKUP(A786,'Customer-details'!$A$1:$C$1001,2,FALSE)</f>
        <v>Member</v>
      </c>
      <c r="M786" s="23" t="str">
        <f>VLOOKUP(A786,'Customer-details'!$A$1:$C$1001,3,FALSE)</f>
        <v>Female</v>
      </c>
      <c r="N786" s="23" t="str">
        <f>VLOOKUP(A786,'Product-details'!$A$1:$B$1001,2,FALSE)</f>
        <v>Health and beauty</v>
      </c>
      <c r="O786" s="23" t="str">
        <f>VLOOKUP(A786,'City-details'!$A$1:$C$1001,3,FALSE)</f>
        <v>Naypyitaw</v>
      </c>
      <c r="P786" s="23" t="str">
        <f>VLOOKUP(A786,'City-details'!$A$1:$C$1001,2,FALSE)</f>
        <v>C</v>
      </c>
      <c r="Q786" s="23" t="str">
        <f t="shared" si="36"/>
        <v>Feb</v>
      </c>
      <c r="R786" s="26" t="str">
        <f t="shared" si="37"/>
        <v>Sun</v>
      </c>
      <c r="S786">
        <f t="shared" si="38"/>
        <v>5</v>
      </c>
      <c r="T786" t="str" cm="1">
        <f t="array" ref="T786">_xlfn.IFS(S786&lt;=12,"Morning",S786&lt;=16,"Afternoon",S786&lt;=21,"Evening",S786&lt;=24,"Night")</f>
        <v>Morning</v>
      </c>
    </row>
    <row r="787" spans="1:20" x14ac:dyDescent="0.25">
      <c r="A787" s="31" t="s">
        <v>821</v>
      </c>
      <c r="B787" s="27">
        <v>74.58</v>
      </c>
      <c r="C787" s="28">
        <v>7</v>
      </c>
      <c r="D787" s="27">
        <v>26.103000000000002</v>
      </c>
      <c r="E787" s="27">
        <v>548.16300000000001</v>
      </c>
      <c r="F787" s="29">
        <v>43500</v>
      </c>
      <c r="G787" s="30">
        <v>33.255555555555603</v>
      </c>
      <c r="H787" s="31" t="s">
        <v>33</v>
      </c>
      <c r="I787" s="27">
        <v>522.05999999999995</v>
      </c>
      <c r="J787" s="32">
        <v>4.7619047620000003</v>
      </c>
      <c r="K787" s="33">
        <v>9</v>
      </c>
      <c r="L787" s="31" t="str">
        <f>VLOOKUP(A787,'Customer-details'!$A$1:$C$1001,2,FALSE)</f>
        <v>Normal</v>
      </c>
      <c r="M787" s="31" t="str">
        <f>VLOOKUP(A787,'Customer-details'!$A$1:$C$1001,3,FALSE)</f>
        <v>Male</v>
      </c>
      <c r="N787" s="31" t="str">
        <f>VLOOKUP(A787,'Product-details'!$A$1:$B$1001,2,FALSE)</f>
        <v>Electronic accessories</v>
      </c>
      <c r="O787" s="31" t="str">
        <f>VLOOKUP(A787,'City-details'!$A$1:$C$1001,3,FALSE)</f>
        <v>Yangon</v>
      </c>
      <c r="P787" s="31" t="str">
        <f>VLOOKUP(A787,'City-details'!$A$1:$C$1001,2,FALSE)</f>
        <v>A</v>
      </c>
      <c r="Q787" s="31" t="str">
        <f t="shared" si="36"/>
        <v>Feb</v>
      </c>
      <c r="R787" s="34" t="str">
        <f t="shared" si="37"/>
        <v>Mon</v>
      </c>
      <c r="S787">
        <f t="shared" si="38"/>
        <v>6</v>
      </c>
      <c r="T787" t="str" cm="1">
        <f t="array" ref="T787">_xlfn.IFS(S787&lt;=12,"Morning",S787&lt;=16,"Afternoon",S787&lt;=21,"Evening",S787&lt;=24,"Night")</f>
        <v>Morning</v>
      </c>
    </row>
    <row r="788" spans="1:20" x14ac:dyDescent="0.25">
      <c r="A788" s="23" t="s">
        <v>822</v>
      </c>
      <c r="B788" s="19">
        <v>71.89</v>
      </c>
      <c r="C788" s="20">
        <v>8</v>
      </c>
      <c r="D788" s="19">
        <v>28.756</v>
      </c>
      <c r="E788" s="19">
        <v>603.87599999999998</v>
      </c>
      <c r="F788" s="21">
        <v>43515</v>
      </c>
      <c r="G788" s="22">
        <v>33.297222222222203</v>
      </c>
      <c r="H788" s="23" t="s">
        <v>23</v>
      </c>
      <c r="I788" s="19">
        <v>575.12</v>
      </c>
      <c r="J788" s="24">
        <v>4.7619047620000003</v>
      </c>
      <c r="K788" s="25">
        <v>5.5</v>
      </c>
      <c r="L788" s="23" t="str">
        <f>VLOOKUP(A788,'Customer-details'!$A$1:$C$1001,2,FALSE)</f>
        <v>Normal</v>
      </c>
      <c r="M788" s="23" t="str">
        <f>VLOOKUP(A788,'Customer-details'!$A$1:$C$1001,3,FALSE)</f>
        <v>Male</v>
      </c>
      <c r="N788" s="23" t="str">
        <f>VLOOKUP(A788,'Product-details'!$A$1:$B$1001,2,FALSE)</f>
        <v>Electronic accessories</v>
      </c>
      <c r="O788" s="23" t="str">
        <f>VLOOKUP(A788,'City-details'!$A$1:$C$1001,3,FALSE)</f>
        <v>Naypyitaw</v>
      </c>
      <c r="P788" s="23" t="str">
        <f>VLOOKUP(A788,'City-details'!$A$1:$C$1001,2,FALSE)</f>
        <v>C</v>
      </c>
      <c r="Q788" s="23" t="str">
        <f t="shared" si="36"/>
        <v>Feb</v>
      </c>
      <c r="R788" s="26" t="str">
        <f t="shared" si="37"/>
        <v>Tue</v>
      </c>
      <c r="S788">
        <f t="shared" si="38"/>
        <v>7</v>
      </c>
      <c r="T788" t="str" cm="1">
        <f t="array" ref="T788">_xlfn.IFS(S788&lt;=12,"Morning",S788&lt;=16,"Afternoon",S788&lt;=21,"Evening",S788&lt;=24,"Night")</f>
        <v>Morning</v>
      </c>
    </row>
    <row r="789" spans="1:20" x14ac:dyDescent="0.25">
      <c r="A789" s="31" t="s">
        <v>823</v>
      </c>
      <c r="B789" s="27">
        <v>10.99</v>
      </c>
      <c r="C789" s="28">
        <v>5</v>
      </c>
      <c r="D789" s="27">
        <v>2.7475000000000001</v>
      </c>
      <c r="E789" s="27">
        <v>57.697499999999998</v>
      </c>
      <c r="F789" s="29">
        <v>43488</v>
      </c>
      <c r="G789" s="30">
        <v>33.338888888888903</v>
      </c>
      <c r="H789" s="31" t="s">
        <v>33</v>
      </c>
      <c r="I789" s="27">
        <v>54.95</v>
      </c>
      <c r="J789" s="32">
        <v>4.7619047620000003</v>
      </c>
      <c r="K789" s="33">
        <v>9.3000000000000007</v>
      </c>
      <c r="L789" s="31" t="str">
        <f>VLOOKUP(A789,'Customer-details'!$A$1:$C$1001,2,FALSE)</f>
        <v>Normal</v>
      </c>
      <c r="M789" s="31" t="str">
        <f>VLOOKUP(A789,'Customer-details'!$A$1:$C$1001,3,FALSE)</f>
        <v>Female</v>
      </c>
      <c r="N789" s="31" t="str">
        <f>VLOOKUP(A789,'Product-details'!$A$1:$B$1001,2,FALSE)</f>
        <v>Health and beauty</v>
      </c>
      <c r="O789" s="31" t="str">
        <f>VLOOKUP(A789,'City-details'!$A$1:$C$1001,3,FALSE)</f>
        <v>Naypyitaw</v>
      </c>
      <c r="P789" s="31" t="str">
        <f>VLOOKUP(A789,'City-details'!$A$1:$C$1001,2,FALSE)</f>
        <v>C</v>
      </c>
      <c r="Q789" s="31" t="str">
        <f t="shared" si="36"/>
        <v>Jan</v>
      </c>
      <c r="R789" s="34" t="str">
        <f t="shared" si="37"/>
        <v>Wed</v>
      </c>
      <c r="S789">
        <f t="shared" si="38"/>
        <v>8</v>
      </c>
      <c r="T789" t="str" cm="1">
        <f t="array" ref="T789">_xlfn.IFS(S789&lt;=12,"Morning",S789&lt;=16,"Afternoon",S789&lt;=21,"Evening",S789&lt;=24,"Night")</f>
        <v>Morning</v>
      </c>
    </row>
    <row r="790" spans="1:20" x14ac:dyDescent="0.25">
      <c r="A790" s="23" t="s">
        <v>824</v>
      </c>
      <c r="B790" s="19">
        <v>60.47</v>
      </c>
      <c r="C790" s="20">
        <v>3</v>
      </c>
      <c r="D790" s="19">
        <v>9.0704999999999991</v>
      </c>
      <c r="E790" s="19">
        <v>190.48050000000001</v>
      </c>
      <c r="F790" s="21">
        <v>43479</v>
      </c>
      <c r="G790" s="22">
        <v>33.380555555555603</v>
      </c>
      <c r="H790" s="23" t="s">
        <v>33</v>
      </c>
      <c r="I790" s="19">
        <v>181.41</v>
      </c>
      <c r="J790" s="24">
        <v>4.7619047620000003</v>
      </c>
      <c r="K790" s="25">
        <v>5.6</v>
      </c>
      <c r="L790" s="23" t="str">
        <f>VLOOKUP(A790,'Customer-details'!$A$1:$C$1001,2,FALSE)</f>
        <v>Member</v>
      </c>
      <c r="M790" s="23" t="str">
        <f>VLOOKUP(A790,'Customer-details'!$A$1:$C$1001,3,FALSE)</f>
        <v>Male</v>
      </c>
      <c r="N790" s="23" t="str">
        <f>VLOOKUP(A790,'Product-details'!$A$1:$B$1001,2,FALSE)</f>
        <v>Health and beauty</v>
      </c>
      <c r="O790" s="23" t="str">
        <f>VLOOKUP(A790,'City-details'!$A$1:$C$1001,3,FALSE)</f>
        <v>Naypyitaw</v>
      </c>
      <c r="P790" s="23" t="str">
        <f>VLOOKUP(A790,'City-details'!$A$1:$C$1001,2,FALSE)</f>
        <v>C</v>
      </c>
      <c r="Q790" s="23" t="str">
        <f t="shared" si="36"/>
        <v>Jan</v>
      </c>
      <c r="R790" s="26" t="str">
        <f t="shared" si="37"/>
        <v>Mon</v>
      </c>
      <c r="S790">
        <f t="shared" si="38"/>
        <v>9</v>
      </c>
      <c r="T790" t="str" cm="1">
        <f t="array" ref="T790">_xlfn.IFS(S790&lt;=12,"Morning",S790&lt;=16,"Afternoon",S790&lt;=21,"Evening",S790&lt;=24,"Night")</f>
        <v>Morning</v>
      </c>
    </row>
    <row r="791" spans="1:20" x14ac:dyDescent="0.25">
      <c r="A791" s="31" t="s">
        <v>825</v>
      </c>
      <c r="B791" s="27">
        <v>58.91</v>
      </c>
      <c r="C791" s="28">
        <v>7</v>
      </c>
      <c r="D791" s="27">
        <v>20.618500000000001</v>
      </c>
      <c r="E791" s="27">
        <v>432.98849999999999</v>
      </c>
      <c r="F791" s="29">
        <v>43482</v>
      </c>
      <c r="G791" s="30">
        <v>33.422222222222203</v>
      </c>
      <c r="H791" s="31" t="s">
        <v>23</v>
      </c>
      <c r="I791" s="27">
        <v>412.37</v>
      </c>
      <c r="J791" s="32">
        <v>4.7619047620000003</v>
      </c>
      <c r="K791" s="33">
        <v>9.6999999999999993</v>
      </c>
      <c r="L791" s="31" t="str">
        <f>VLOOKUP(A791,'Customer-details'!$A$1:$C$1001,2,FALSE)</f>
        <v>Normal</v>
      </c>
      <c r="M791" s="31" t="str">
        <f>VLOOKUP(A791,'Customer-details'!$A$1:$C$1001,3,FALSE)</f>
        <v>Male</v>
      </c>
      <c r="N791" s="31" t="str">
        <f>VLOOKUP(A791,'Product-details'!$A$1:$B$1001,2,FALSE)</f>
        <v>Sports and travel</v>
      </c>
      <c r="O791" s="31" t="str">
        <f>VLOOKUP(A791,'City-details'!$A$1:$C$1001,3,FALSE)</f>
        <v>Yangon</v>
      </c>
      <c r="P791" s="31" t="str">
        <f>VLOOKUP(A791,'City-details'!$A$1:$C$1001,2,FALSE)</f>
        <v>A</v>
      </c>
      <c r="Q791" s="31" t="str">
        <f t="shared" si="36"/>
        <v>Jan</v>
      </c>
      <c r="R791" s="34" t="str">
        <f t="shared" si="37"/>
        <v>Thu</v>
      </c>
      <c r="S791">
        <f t="shared" si="38"/>
        <v>10</v>
      </c>
      <c r="T791" t="str" cm="1">
        <f t="array" ref="T791">_xlfn.IFS(S791&lt;=12,"Morning",S791&lt;=16,"Afternoon",S791&lt;=21,"Evening",S791&lt;=24,"Night")</f>
        <v>Morning</v>
      </c>
    </row>
    <row r="792" spans="1:20" x14ac:dyDescent="0.25">
      <c r="A792" s="23" t="s">
        <v>826</v>
      </c>
      <c r="B792" s="19">
        <v>46.41</v>
      </c>
      <c r="C792" s="20">
        <v>1</v>
      </c>
      <c r="D792" s="19">
        <v>2.3205</v>
      </c>
      <c r="E792" s="19">
        <v>48.730499999999999</v>
      </c>
      <c r="F792" s="21">
        <v>43527</v>
      </c>
      <c r="G792" s="22">
        <v>33.463888888888903</v>
      </c>
      <c r="H792" s="23" t="s">
        <v>33</v>
      </c>
      <c r="I792" s="19">
        <v>46.41</v>
      </c>
      <c r="J792" s="24">
        <v>4.7619047620000003</v>
      </c>
      <c r="K792" s="25">
        <v>4</v>
      </c>
      <c r="L792" s="23" t="str">
        <f>VLOOKUP(A792,'Customer-details'!$A$1:$C$1001,2,FALSE)</f>
        <v>Normal</v>
      </c>
      <c r="M792" s="23" t="str">
        <f>VLOOKUP(A792,'Customer-details'!$A$1:$C$1001,3,FALSE)</f>
        <v>Male</v>
      </c>
      <c r="N792" s="23" t="str">
        <f>VLOOKUP(A792,'Product-details'!$A$1:$B$1001,2,FALSE)</f>
        <v>Fashion accessories</v>
      </c>
      <c r="O792" s="23" t="str">
        <f>VLOOKUP(A792,'City-details'!$A$1:$C$1001,3,FALSE)</f>
        <v>Yangon</v>
      </c>
      <c r="P792" s="23" t="str">
        <f>VLOOKUP(A792,'City-details'!$A$1:$C$1001,2,FALSE)</f>
        <v>A</v>
      </c>
      <c r="Q792" s="23" t="str">
        <f t="shared" si="36"/>
        <v>Mar</v>
      </c>
      <c r="R792" s="26" t="str">
        <f t="shared" si="37"/>
        <v>Sun</v>
      </c>
      <c r="S792">
        <f t="shared" si="38"/>
        <v>11</v>
      </c>
      <c r="T792" t="str" cm="1">
        <f t="array" ref="T792">_xlfn.IFS(S792&lt;=12,"Morning",S792&lt;=16,"Afternoon",S792&lt;=21,"Evening",S792&lt;=24,"Night")</f>
        <v>Morning</v>
      </c>
    </row>
    <row r="793" spans="1:20" x14ac:dyDescent="0.25">
      <c r="A793" s="31" t="s">
        <v>827</v>
      </c>
      <c r="B793" s="27">
        <v>68.55</v>
      </c>
      <c r="C793" s="28">
        <v>4</v>
      </c>
      <c r="D793" s="27">
        <v>13.71</v>
      </c>
      <c r="E793" s="27">
        <v>287.91000000000003</v>
      </c>
      <c r="F793" s="29">
        <v>43511</v>
      </c>
      <c r="G793" s="30">
        <v>33.505555555555603</v>
      </c>
      <c r="H793" s="31" t="s">
        <v>33</v>
      </c>
      <c r="I793" s="27">
        <v>274.2</v>
      </c>
      <c r="J793" s="32">
        <v>4.7619047620000003</v>
      </c>
      <c r="K793" s="33">
        <v>9.1999999999999993</v>
      </c>
      <c r="L793" s="31" t="str">
        <f>VLOOKUP(A793,'Customer-details'!$A$1:$C$1001,2,FALSE)</f>
        <v>Member</v>
      </c>
      <c r="M793" s="31" t="str">
        <f>VLOOKUP(A793,'Customer-details'!$A$1:$C$1001,3,FALSE)</f>
        <v>Male</v>
      </c>
      <c r="N793" s="31" t="str">
        <f>VLOOKUP(A793,'Product-details'!$A$1:$B$1001,2,FALSE)</f>
        <v>Health and beauty</v>
      </c>
      <c r="O793" s="31" t="str">
        <f>VLOOKUP(A793,'City-details'!$A$1:$C$1001,3,FALSE)</f>
        <v>Naypyitaw</v>
      </c>
      <c r="P793" s="31" t="str">
        <f>VLOOKUP(A793,'City-details'!$A$1:$C$1001,2,FALSE)</f>
        <v>C</v>
      </c>
      <c r="Q793" s="31" t="str">
        <f t="shared" si="36"/>
        <v>Feb</v>
      </c>
      <c r="R793" s="34" t="str">
        <f t="shared" si="37"/>
        <v>Fri</v>
      </c>
      <c r="S793">
        <f t="shared" si="38"/>
        <v>12</v>
      </c>
      <c r="T793" t="str" cm="1">
        <f t="array" ref="T793">_xlfn.IFS(S793&lt;=12,"Morning",S793&lt;=16,"Afternoon",S793&lt;=21,"Evening",S793&lt;=24,"Night")</f>
        <v>Morning</v>
      </c>
    </row>
    <row r="794" spans="1:20" x14ac:dyDescent="0.25">
      <c r="A794" s="23" t="s">
        <v>828</v>
      </c>
      <c r="B794" s="19">
        <v>97.37</v>
      </c>
      <c r="C794" s="20">
        <v>10</v>
      </c>
      <c r="D794" s="19">
        <v>48.685000000000002</v>
      </c>
      <c r="E794" s="19">
        <v>1022.385</v>
      </c>
      <c r="F794" s="21">
        <v>43480</v>
      </c>
      <c r="G794" s="22">
        <v>33.547222222222203</v>
      </c>
      <c r="H794" s="23" t="s">
        <v>33</v>
      </c>
      <c r="I794" s="19">
        <v>973.7</v>
      </c>
      <c r="J794" s="24">
        <v>4.7619047620000003</v>
      </c>
      <c r="K794" s="25">
        <v>4.9000000000000004</v>
      </c>
      <c r="L794" s="23" t="str">
        <f>VLOOKUP(A794,'Customer-details'!$A$1:$C$1001,2,FALSE)</f>
        <v>Normal</v>
      </c>
      <c r="M794" s="23" t="str">
        <f>VLOOKUP(A794,'Customer-details'!$A$1:$C$1001,3,FALSE)</f>
        <v>Female</v>
      </c>
      <c r="N794" s="23" t="str">
        <f>VLOOKUP(A794,'Product-details'!$A$1:$B$1001,2,FALSE)</f>
        <v>Home and lifestyle</v>
      </c>
      <c r="O794" s="23" t="str">
        <f>VLOOKUP(A794,'City-details'!$A$1:$C$1001,3,FALSE)</f>
        <v>Mandalay</v>
      </c>
      <c r="P794" s="23" t="str">
        <f>VLOOKUP(A794,'City-details'!$A$1:$C$1001,2,FALSE)</f>
        <v>B</v>
      </c>
      <c r="Q794" s="23" t="str">
        <f t="shared" si="36"/>
        <v>Jan</v>
      </c>
      <c r="R794" s="26" t="str">
        <f t="shared" si="37"/>
        <v>Tue</v>
      </c>
      <c r="S794">
        <f t="shared" si="38"/>
        <v>13</v>
      </c>
      <c r="T794" t="str" cm="1">
        <f t="array" ref="T794">_xlfn.IFS(S794&lt;=12,"Morning",S794&lt;=16,"Afternoon",S794&lt;=21,"Evening",S794&lt;=24,"Night")</f>
        <v>Afternoon</v>
      </c>
    </row>
    <row r="795" spans="1:20" x14ac:dyDescent="0.25">
      <c r="A795" s="31" t="s">
        <v>829</v>
      </c>
      <c r="B795" s="27">
        <v>92.6</v>
      </c>
      <c r="C795" s="28">
        <v>7</v>
      </c>
      <c r="D795" s="27">
        <v>32.409999999999997</v>
      </c>
      <c r="E795" s="27">
        <v>680.61</v>
      </c>
      <c r="F795" s="29">
        <v>43523</v>
      </c>
      <c r="G795" s="30">
        <v>33.588888888888903</v>
      </c>
      <c r="H795" s="31" t="s">
        <v>33</v>
      </c>
      <c r="I795" s="27">
        <v>648.20000000000005</v>
      </c>
      <c r="J795" s="32">
        <v>4.7619047620000003</v>
      </c>
      <c r="K795" s="33">
        <v>9.3000000000000007</v>
      </c>
      <c r="L795" s="31" t="str">
        <f>VLOOKUP(A795,'Customer-details'!$A$1:$C$1001,2,FALSE)</f>
        <v>Member</v>
      </c>
      <c r="M795" s="31" t="str">
        <f>VLOOKUP(A795,'Customer-details'!$A$1:$C$1001,3,FALSE)</f>
        <v>Male</v>
      </c>
      <c r="N795" s="31" t="str">
        <f>VLOOKUP(A795,'Product-details'!$A$1:$B$1001,2,FALSE)</f>
        <v>Electronic accessories</v>
      </c>
      <c r="O795" s="31" t="str">
        <f>VLOOKUP(A795,'City-details'!$A$1:$C$1001,3,FALSE)</f>
        <v>Yangon</v>
      </c>
      <c r="P795" s="31" t="str">
        <f>VLOOKUP(A795,'City-details'!$A$1:$C$1001,2,FALSE)</f>
        <v>A</v>
      </c>
      <c r="Q795" s="31" t="str">
        <f t="shared" si="36"/>
        <v>Feb</v>
      </c>
      <c r="R795" s="34" t="str">
        <f t="shared" si="37"/>
        <v>Wed</v>
      </c>
      <c r="S795">
        <f t="shared" si="38"/>
        <v>14</v>
      </c>
      <c r="T795" t="str" cm="1">
        <f t="array" ref="T795">_xlfn.IFS(S795&lt;=12,"Morning",S795&lt;=16,"Afternoon",S795&lt;=21,"Evening",S795&lt;=24,"Night")</f>
        <v>Afternoon</v>
      </c>
    </row>
    <row r="796" spans="1:20" x14ac:dyDescent="0.25">
      <c r="A796" s="23" t="s">
        <v>830</v>
      </c>
      <c r="B796" s="19">
        <v>46.61</v>
      </c>
      <c r="C796" s="20">
        <v>2</v>
      </c>
      <c r="D796" s="19">
        <v>4.6609999999999996</v>
      </c>
      <c r="E796" s="19">
        <v>97.881</v>
      </c>
      <c r="F796" s="21">
        <v>43522</v>
      </c>
      <c r="G796" s="22">
        <v>33.630555555555603</v>
      </c>
      <c r="H796" s="23" t="s">
        <v>33</v>
      </c>
      <c r="I796" s="19">
        <v>93.22</v>
      </c>
      <c r="J796" s="24">
        <v>4.7619047620000003</v>
      </c>
      <c r="K796" s="25">
        <v>6.6</v>
      </c>
      <c r="L796" s="23" t="str">
        <f>VLOOKUP(A796,'Customer-details'!$A$1:$C$1001,2,FALSE)</f>
        <v>Normal</v>
      </c>
      <c r="M796" s="23" t="str">
        <f>VLOOKUP(A796,'Customer-details'!$A$1:$C$1001,3,FALSE)</f>
        <v>Female</v>
      </c>
      <c r="N796" s="23" t="str">
        <f>VLOOKUP(A796,'Product-details'!$A$1:$B$1001,2,FALSE)</f>
        <v>Electronic accessories</v>
      </c>
      <c r="O796" s="23" t="str">
        <f>VLOOKUP(A796,'City-details'!$A$1:$C$1001,3,FALSE)</f>
        <v>Yangon</v>
      </c>
      <c r="P796" s="23" t="str">
        <f>VLOOKUP(A796,'City-details'!$A$1:$C$1001,2,FALSE)</f>
        <v>A</v>
      </c>
      <c r="Q796" s="23" t="str">
        <f t="shared" si="36"/>
        <v>Feb</v>
      </c>
      <c r="R796" s="26" t="str">
        <f t="shared" si="37"/>
        <v>Tue</v>
      </c>
      <c r="S796">
        <f t="shared" si="38"/>
        <v>15</v>
      </c>
      <c r="T796" t="str" cm="1">
        <f t="array" ref="T796">_xlfn.IFS(S796&lt;=12,"Morning",S796&lt;=16,"Afternoon",S796&lt;=21,"Evening",S796&lt;=24,"Night")</f>
        <v>Afternoon</v>
      </c>
    </row>
    <row r="797" spans="1:20" x14ac:dyDescent="0.25">
      <c r="A797" s="31" t="s">
        <v>831</v>
      </c>
      <c r="B797" s="27">
        <v>27.18</v>
      </c>
      <c r="C797" s="28">
        <v>2</v>
      </c>
      <c r="D797" s="27">
        <v>2.718</v>
      </c>
      <c r="E797" s="27">
        <v>57.078000000000003</v>
      </c>
      <c r="F797" s="29">
        <v>43539</v>
      </c>
      <c r="G797" s="30">
        <v>33.672222222222203</v>
      </c>
      <c r="H797" s="31" t="s">
        <v>23</v>
      </c>
      <c r="I797" s="27">
        <v>54.36</v>
      </c>
      <c r="J797" s="32">
        <v>4.7619047620000003</v>
      </c>
      <c r="K797" s="33">
        <v>4.3</v>
      </c>
      <c r="L797" s="31" t="str">
        <f>VLOOKUP(A797,'Customer-details'!$A$1:$C$1001,2,FALSE)</f>
        <v>Normal</v>
      </c>
      <c r="M797" s="31" t="str">
        <f>VLOOKUP(A797,'Customer-details'!$A$1:$C$1001,3,FALSE)</f>
        <v>Male</v>
      </c>
      <c r="N797" s="31" t="str">
        <f>VLOOKUP(A797,'Product-details'!$A$1:$B$1001,2,FALSE)</f>
        <v>Fashion accessories</v>
      </c>
      <c r="O797" s="31" t="str">
        <f>VLOOKUP(A797,'City-details'!$A$1:$C$1001,3,FALSE)</f>
        <v>Mandalay</v>
      </c>
      <c r="P797" s="31" t="str">
        <f>VLOOKUP(A797,'City-details'!$A$1:$C$1001,2,FALSE)</f>
        <v>B</v>
      </c>
      <c r="Q797" s="31" t="str">
        <f t="shared" si="36"/>
        <v>Mar</v>
      </c>
      <c r="R797" s="34" t="str">
        <f t="shared" si="37"/>
        <v>Fri</v>
      </c>
      <c r="S797">
        <f t="shared" si="38"/>
        <v>16</v>
      </c>
      <c r="T797" t="str" cm="1">
        <f t="array" ref="T797">_xlfn.IFS(S797&lt;=12,"Morning",S797&lt;=16,"Afternoon",S797&lt;=21,"Evening",S797&lt;=24,"Night")</f>
        <v>Afternoon</v>
      </c>
    </row>
    <row r="798" spans="1:20" x14ac:dyDescent="0.25">
      <c r="A798" s="23" t="s">
        <v>832</v>
      </c>
      <c r="B798" s="19">
        <v>60.87</v>
      </c>
      <c r="C798" s="20">
        <v>1</v>
      </c>
      <c r="D798" s="19">
        <v>3.0434999999999999</v>
      </c>
      <c r="E798" s="19">
        <v>63.913499999999999</v>
      </c>
      <c r="F798" s="21">
        <v>43489</v>
      </c>
      <c r="G798" s="22">
        <v>33.713888888888903</v>
      </c>
      <c r="H798" s="23" t="s">
        <v>29</v>
      </c>
      <c r="I798" s="19">
        <v>60.87</v>
      </c>
      <c r="J798" s="24">
        <v>4.7619047620000003</v>
      </c>
      <c r="K798" s="25">
        <v>5.5</v>
      </c>
      <c r="L798" s="23" t="str">
        <f>VLOOKUP(A798,'Customer-details'!$A$1:$C$1001,2,FALSE)</f>
        <v>Member</v>
      </c>
      <c r="M798" s="23" t="str">
        <f>VLOOKUP(A798,'Customer-details'!$A$1:$C$1001,3,FALSE)</f>
        <v>Female</v>
      </c>
      <c r="N798" s="23" t="str">
        <f>VLOOKUP(A798,'Product-details'!$A$1:$B$1001,2,FALSE)</f>
        <v>Home and lifestyle</v>
      </c>
      <c r="O798" s="23" t="str">
        <f>VLOOKUP(A798,'City-details'!$A$1:$C$1001,3,FALSE)</f>
        <v>Naypyitaw</v>
      </c>
      <c r="P798" s="23" t="str">
        <f>VLOOKUP(A798,'City-details'!$A$1:$C$1001,2,FALSE)</f>
        <v>C</v>
      </c>
      <c r="Q798" s="23" t="str">
        <f t="shared" si="36"/>
        <v>Jan</v>
      </c>
      <c r="R798" s="26" t="str">
        <f t="shared" si="37"/>
        <v>Thu</v>
      </c>
      <c r="S798">
        <f t="shared" si="38"/>
        <v>17</v>
      </c>
      <c r="T798" t="str" cm="1">
        <f t="array" ref="T798">_xlfn.IFS(S798&lt;=12,"Morning",S798&lt;=16,"Afternoon",S798&lt;=21,"Evening",S798&lt;=24,"Night")</f>
        <v>Evening</v>
      </c>
    </row>
    <row r="799" spans="1:20" x14ac:dyDescent="0.25">
      <c r="A799" s="31" t="s">
        <v>833</v>
      </c>
      <c r="B799" s="27">
        <v>24.49</v>
      </c>
      <c r="C799" s="28">
        <v>10</v>
      </c>
      <c r="D799" s="27">
        <v>12.244999999999999</v>
      </c>
      <c r="E799" s="27">
        <v>257.14499999999998</v>
      </c>
      <c r="F799" s="29">
        <v>43518</v>
      </c>
      <c r="G799" s="30">
        <v>33.755555555555603</v>
      </c>
      <c r="H799" s="31" t="s">
        <v>29</v>
      </c>
      <c r="I799" s="27">
        <v>244.9</v>
      </c>
      <c r="J799" s="32">
        <v>4.7619047620000003</v>
      </c>
      <c r="K799" s="33">
        <v>8.1</v>
      </c>
      <c r="L799" s="31" t="str">
        <f>VLOOKUP(A799,'Customer-details'!$A$1:$C$1001,2,FALSE)</f>
        <v>Member</v>
      </c>
      <c r="M799" s="31" t="str">
        <f>VLOOKUP(A799,'Customer-details'!$A$1:$C$1001,3,FALSE)</f>
        <v>Female</v>
      </c>
      <c r="N799" s="31" t="str">
        <f>VLOOKUP(A799,'Product-details'!$A$1:$B$1001,2,FALSE)</f>
        <v>Sports and travel</v>
      </c>
      <c r="O799" s="31" t="str">
        <f>VLOOKUP(A799,'City-details'!$A$1:$C$1001,3,FALSE)</f>
        <v>Yangon</v>
      </c>
      <c r="P799" s="31" t="str">
        <f>VLOOKUP(A799,'City-details'!$A$1:$C$1001,2,FALSE)</f>
        <v>A</v>
      </c>
      <c r="Q799" s="31" t="str">
        <f t="shared" si="36"/>
        <v>Feb</v>
      </c>
      <c r="R799" s="34" t="str">
        <f t="shared" si="37"/>
        <v>Fri</v>
      </c>
      <c r="S799">
        <f t="shared" si="38"/>
        <v>18</v>
      </c>
      <c r="T799" t="str" cm="1">
        <f t="array" ref="T799">_xlfn.IFS(S799&lt;=12,"Morning",S799&lt;=16,"Afternoon",S799&lt;=21,"Evening",S799&lt;=24,"Night")</f>
        <v>Evening</v>
      </c>
    </row>
    <row r="800" spans="1:20" x14ac:dyDescent="0.25">
      <c r="A800" s="23" t="s">
        <v>834</v>
      </c>
      <c r="B800" s="19">
        <v>92.78</v>
      </c>
      <c r="C800" s="20">
        <v>1</v>
      </c>
      <c r="D800" s="19">
        <v>4.6390000000000002</v>
      </c>
      <c r="E800" s="19">
        <v>97.418999999999997</v>
      </c>
      <c r="F800" s="21">
        <v>43539</v>
      </c>
      <c r="G800" s="22">
        <v>33.797222222222203</v>
      </c>
      <c r="H800" s="23" t="s">
        <v>33</v>
      </c>
      <c r="I800" s="19">
        <v>92.78</v>
      </c>
      <c r="J800" s="24">
        <v>4.7619047620000003</v>
      </c>
      <c r="K800" s="25">
        <v>9.8000000000000007</v>
      </c>
      <c r="L800" s="23" t="str">
        <f>VLOOKUP(A800,'Customer-details'!$A$1:$C$1001,2,FALSE)</f>
        <v>Normal</v>
      </c>
      <c r="M800" s="23" t="str">
        <f>VLOOKUP(A800,'Customer-details'!$A$1:$C$1001,3,FALSE)</f>
        <v>Male</v>
      </c>
      <c r="N800" s="23" t="str">
        <f>VLOOKUP(A800,'Product-details'!$A$1:$B$1001,2,FALSE)</f>
        <v>Health and beauty</v>
      </c>
      <c r="O800" s="23" t="str">
        <f>VLOOKUP(A800,'City-details'!$A$1:$C$1001,3,FALSE)</f>
        <v>Mandalay</v>
      </c>
      <c r="P800" s="23" t="str">
        <f>VLOOKUP(A800,'City-details'!$A$1:$C$1001,2,FALSE)</f>
        <v>B</v>
      </c>
      <c r="Q800" s="23" t="str">
        <f t="shared" si="36"/>
        <v>Mar</v>
      </c>
      <c r="R800" s="26" t="str">
        <f t="shared" si="37"/>
        <v>Fri</v>
      </c>
      <c r="S800">
        <f t="shared" si="38"/>
        <v>19</v>
      </c>
      <c r="T800" t="str" cm="1">
        <f t="array" ref="T800">_xlfn.IFS(S800&lt;=12,"Morning",S800&lt;=16,"Afternoon",S800&lt;=21,"Evening",S800&lt;=24,"Night")</f>
        <v>Evening</v>
      </c>
    </row>
    <row r="801" spans="1:20" x14ac:dyDescent="0.25">
      <c r="A801" s="31" t="s">
        <v>835</v>
      </c>
      <c r="B801" s="27">
        <v>86.69</v>
      </c>
      <c r="C801" s="28">
        <v>5</v>
      </c>
      <c r="D801" s="27">
        <v>21.672499999999999</v>
      </c>
      <c r="E801" s="27">
        <v>455.1225</v>
      </c>
      <c r="F801" s="29">
        <v>43507</v>
      </c>
      <c r="G801" s="30">
        <v>33.838888888888903</v>
      </c>
      <c r="H801" s="31" t="s">
        <v>23</v>
      </c>
      <c r="I801" s="27">
        <v>433.45</v>
      </c>
      <c r="J801" s="32">
        <v>4.7619047620000003</v>
      </c>
      <c r="K801" s="33">
        <v>9.4</v>
      </c>
      <c r="L801" s="31" t="str">
        <f>VLOOKUP(A801,'Customer-details'!$A$1:$C$1001,2,FALSE)</f>
        <v>Member</v>
      </c>
      <c r="M801" s="31" t="str">
        <f>VLOOKUP(A801,'Customer-details'!$A$1:$C$1001,3,FALSE)</f>
        <v>Male</v>
      </c>
      <c r="N801" s="31" t="str">
        <f>VLOOKUP(A801,'Product-details'!$A$1:$B$1001,2,FALSE)</f>
        <v>Home and lifestyle</v>
      </c>
      <c r="O801" s="31" t="str">
        <f>VLOOKUP(A801,'City-details'!$A$1:$C$1001,3,FALSE)</f>
        <v>Naypyitaw</v>
      </c>
      <c r="P801" s="31" t="str">
        <f>VLOOKUP(A801,'City-details'!$A$1:$C$1001,2,FALSE)</f>
        <v>C</v>
      </c>
      <c r="Q801" s="31" t="str">
        <f t="shared" si="36"/>
        <v>Feb</v>
      </c>
      <c r="R801" s="34" t="str">
        <f t="shared" si="37"/>
        <v>Mon</v>
      </c>
      <c r="S801">
        <f t="shared" si="38"/>
        <v>20</v>
      </c>
      <c r="T801" t="str" cm="1">
        <f t="array" ref="T801">_xlfn.IFS(S801&lt;=12,"Morning",S801&lt;=16,"Afternoon",S801&lt;=21,"Evening",S801&lt;=24,"Night")</f>
        <v>Evening</v>
      </c>
    </row>
    <row r="802" spans="1:20" x14ac:dyDescent="0.25">
      <c r="A802" s="23" t="s">
        <v>836</v>
      </c>
      <c r="B802" s="19">
        <v>23.01</v>
      </c>
      <c r="C802" s="20">
        <v>6</v>
      </c>
      <c r="D802" s="19">
        <v>6.9029999999999996</v>
      </c>
      <c r="E802" s="19">
        <v>144.96299999999999</v>
      </c>
      <c r="F802" s="21">
        <v>43477</v>
      </c>
      <c r="G802" s="22">
        <v>33.880555555555603</v>
      </c>
      <c r="H802" s="23" t="s">
        <v>23</v>
      </c>
      <c r="I802" s="19">
        <v>138.06</v>
      </c>
      <c r="J802" s="24">
        <v>4.7619047620000003</v>
      </c>
      <c r="K802" s="25">
        <v>7.9</v>
      </c>
      <c r="L802" s="23" t="str">
        <f>VLOOKUP(A802,'Customer-details'!$A$1:$C$1001,2,FALSE)</f>
        <v>Normal</v>
      </c>
      <c r="M802" s="23" t="str">
        <f>VLOOKUP(A802,'Customer-details'!$A$1:$C$1001,3,FALSE)</f>
        <v>Male</v>
      </c>
      <c r="N802" s="23" t="str">
        <f>VLOOKUP(A802,'Product-details'!$A$1:$B$1001,2,FALSE)</f>
        <v>Sports and travel</v>
      </c>
      <c r="O802" s="23" t="str">
        <f>VLOOKUP(A802,'City-details'!$A$1:$C$1001,3,FALSE)</f>
        <v>Mandalay</v>
      </c>
      <c r="P802" s="23" t="str">
        <f>VLOOKUP(A802,'City-details'!$A$1:$C$1001,2,FALSE)</f>
        <v>B</v>
      </c>
      <c r="Q802" s="23" t="str">
        <f t="shared" si="36"/>
        <v>Jan</v>
      </c>
      <c r="R802" s="26" t="str">
        <f t="shared" si="37"/>
        <v>Sat</v>
      </c>
      <c r="S802">
        <f t="shared" si="38"/>
        <v>21</v>
      </c>
      <c r="T802" t="str" cm="1">
        <f t="array" ref="T802">_xlfn.IFS(S802&lt;=12,"Morning",S802&lt;=16,"Afternoon",S802&lt;=21,"Evening",S802&lt;=24,"Night")</f>
        <v>Evening</v>
      </c>
    </row>
    <row r="803" spans="1:20" x14ac:dyDescent="0.25">
      <c r="A803" s="31" t="s">
        <v>837</v>
      </c>
      <c r="B803" s="27">
        <v>30.2</v>
      </c>
      <c r="C803" s="28">
        <v>8</v>
      </c>
      <c r="D803" s="27">
        <v>12.08</v>
      </c>
      <c r="E803" s="27">
        <v>253.68</v>
      </c>
      <c r="F803" s="29">
        <v>43527</v>
      </c>
      <c r="G803" s="30">
        <v>33.922222222222203</v>
      </c>
      <c r="H803" s="31" t="s">
        <v>23</v>
      </c>
      <c r="I803" s="27">
        <v>241.6</v>
      </c>
      <c r="J803" s="32">
        <v>4.7619047620000003</v>
      </c>
      <c r="K803" s="33">
        <v>5.0999999999999996</v>
      </c>
      <c r="L803" s="31" t="str">
        <f>VLOOKUP(A803,'Customer-details'!$A$1:$C$1001,2,FALSE)</f>
        <v>Member</v>
      </c>
      <c r="M803" s="31" t="str">
        <f>VLOOKUP(A803,'Customer-details'!$A$1:$C$1001,3,FALSE)</f>
        <v>Female</v>
      </c>
      <c r="N803" s="31" t="str">
        <f>VLOOKUP(A803,'Product-details'!$A$1:$B$1001,2,FALSE)</f>
        <v>Electronic accessories</v>
      </c>
      <c r="O803" s="31" t="str">
        <f>VLOOKUP(A803,'City-details'!$A$1:$C$1001,3,FALSE)</f>
        <v>Naypyitaw</v>
      </c>
      <c r="P803" s="31" t="str">
        <f>VLOOKUP(A803,'City-details'!$A$1:$C$1001,2,FALSE)</f>
        <v>C</v>
      </c>
      <c r="Q803" s="31" t="str">
        <f t="shared" si="36"/>
        <v>Mar</v>
      </c>
      <c r="R803" s="34" t="str">
        <f t="shared" si="37"/>
        <v>Sun</v>
      </c>
      <c r="S803">
        <f t="shared" si="38"/>
        <v>22</v>
      </c>
      <c r="T803" t="str" cm="1">
        <f t="array" ref="T803">_xlfn.IFS(S803&lt;=12,"Morning",S803&lt;=16,"Afternoon",S803&lt;=21,"Evening",S803&lt;=24,"Night")</f>
        <v>Night</v>
      </c>
    </row>
    <row r="804" spans="1:20" x14ac:dyDescent="0.25">
      <c r="A804" s="23" t="s">
        <v>838</v>
      </c>
      <c r="B804" s="19">
        <v>67.39</v>
      </c>
      <c r="C804" s="20">
        <v>7</v>
      </c>
      <c r="D804" s="19">
        <v>23.586500000000001</v>
      </c>
      <c r="E804" s="19">
        <v>495.31650000000002</v>
      </c>
      <c r="F804" s="21">
        <v>43547</v>
      </c>
      <c r="G804" s="22">
        <v>33.963888888888903</v>
      </c>
      <c r="H804" s="23" t="s">
        <v>23</v>
      </c>
      <c r="I804" s="19">
        <v>471.73</v>
      </c>
      <c r="J804" s="24">
        <v>4.7619047620000003</v>
      </c>
      <c r="K804" s="25">
        <v>6.9</v>
      </c>
      <c r="L804" s="23" t="str">
        <f>VLOOKUP(A804,'Customer-details'!$A$1:$C$1001,2,FALSE)</f>
        <v>Member</v>
      </c>
      <c r="M804" s="23" t="str">
        <f>VLOOKUP(A804,'Customer-details'!$A$1:$C$1001,3,FALSE)</f>
        <v>Male</v>
      </c>
      <c r="N804" s="23" t="str">
        <f>VLOOKUP(A804,'Product-details'!$A$1:$B$1001,2,FALSE)</f>
        <v>Fashion accessories</v>
      </c>
      <c r="O804" s="23" t="str">
        <f>VLOOKUP(A804,'City-details'!$A$1:$C$1001,3,FALSE)</f>
        <v>Naypyitaw</v>
      </c>
      <c r="P804" s="23" t="str">
        <f>VLOOKUP(A804,'City-details'!$A$1:$C$1001,2,FALSE)</f>
        <v>C</v>
      </c>
      <c r="Q804" s="23" t="str">
        <f t="shared" si="36"/>
        <v>Mar</v>
      </c>
      <c r="R804" s="26" t="str">
        <f t="shared" si="37"/>
        <v>Sat</v>
      </c>
      <c r="S804">
        <f t="shared" si="38"/>
        <v>23</v>
      </c>
      <c r="T804" t="str" cm="1">
        <f t="array" ref="T804">_xlfn.IFS(S804&lt;=12,"Morning",S804&lt;=16,"Afternoon",S804&lt;=21,"Evening",S804&lt;=24,"Night")</f>
        <v>Night</v>
      </c>
    </row>
    <row r="805" spans="1:20" x14ac:dyDescent="0.25">
      <c r="A805" s="31" t="s">
        <v>839</v>
      </c>
      <c r="B805" s="27">
        <v>48.96</v>
      </c>
      <c r="C805" s="28">
        <v>9</v>
      </c>
      <c r="D805" s="27">
        <v>22.032</v>
      </c>
      <c r="E805" s="27">
        <v>462.67200000000003</v>
      </c>
      <c r="F805" s="29">
        <v>43528</v>
      </c>
      <c r="G805" s="30">
        <v>34.005555555555603</v>
      </c>
      <c r="H805" s="31" t="s">
        <v>29</v>
      </c>
      <c r="I805" s="27">
        <v>440.64</v>
      </c>
      <c r="J805" s="32">
        <v>4.7619047620000003</v>
      </c>
      <c r="K805" s="33">
        <v>8</v>
      </c>
      <c r="L805" s="31" t="str">
        <f>VLOOKUP(A805,'Customer-details'!$A$1:$C$1001,2,FALSE)</f>
        <v>Member</v>
      </c>
      <c r="M805" s="31" t="str">
        <f>VLOOKUP(A805,'Customer-details'!$A$1:$C$1001,3,FALSE)</f>
        <v>Female</v>
      </c>
      <c r="N805" s="31" t="str">
        <f>VLOOKUP(A805,'Product-details'!$A$1:$B$1001,2,FALSE)</f>
        <v>Fashion accessories</v>
      </c>
      <c r="O805" s="31" t="str">
        <f>VLOOKUP(A805,'City-details'!$A$1:$C$1001,3,FALSE)</f>
        <v>Yangon</v>
      </c>
      <c r="P805" s="31" t="str">
        <f>VLOOKUP(A805,'City-details'!$A$1:$C$1001,2,FALSE)</f>
        <v>A</v>
      </c>
      <c r="Q805" s="31" t="str">
        <f t="shared" si="36"/>
        <v>Mar</v>
      </c>
      <c r="R805" s="34" t="str">
        <f t="shared" si="37"/>
        <v>Mon</v>
      </c>
      <c r="S805">
        <f t="shared" si="38"/>
        <v>0</v>
      </c>
      <c r="T805" t="str" cm="1">
        <f t="array" ref="T805">_xlfn.IFS(S805&lt;=12,"Morning",S805&lt;=16,"Afternoon",S805&lt;=21,"Evening",S805&lt;=24,"Night")</f>
        <v>Morning</v>
      </c>
    </row>
    <row r="806" spans="1:20" x14ac:dyDescent="0.25">
      <c r="A806" s="23" t="s">
        <v>840</v>
      </c>
      <c r="B806" s="19">
        <v>75.59</v>
      </c>
      <c r="C806" s="20">
        <v>9</v>
      </c>
      <c r="D806" s="19">
        <v>34.015500000000003</v>
      </c>
      <c r="E806" s="19">
        <v>714.32550000000003</v>
      </c>
      <c r="F806" s="21">
        <v>43519</v>
      </c>
      <c r="G806" s="22">
        <v>34.047222222222203</v>
      </c>
      <c r="H806" s="23" t="s">
        <v>29</v>
      </c>
      <c r="I806" s="19">
        <v>680.31</v>
      </c>
      <c r="J806" s="24">
        <v>4.7619047620000003</v>
      </c>
      <c r="K806" s="25">
        <v>8</v>
      </c>
      <c r="L806" s="23" t="str">
        <f>VLOOKUP(A806,'Customer-details'!$A$1:$C$1001,2,FALSE)</f>
        <v>Member</v>
      </c>
      <c r="M806" s="23" t="str">
        <f>VLOOKUP(A806,'Customer-details'!$A$1:$C$1001,3,FALSE)</f>
        <v>Female</v>
      </c>
      <c r="N806" s="23" t="str">
        <f>VLOOKUP(A806,'Product-details'!$A$1:$B$1001,2,FALSE)</f>
        <v>Electronic accessories</v>
      </c>
      <c r="O806" s="23" t="str">
        <f>VLOOKUP(A806,'City-details'!$A$1:$C$1001,3,FALSE)</f>
        <v>Mandalay</v>
      </c>
      <c r="P806" s="23" t="str">
        <f>VLOOKUP(A806,'City-details'!$A$1:$C$1001,2,FALSE)</f>
        <v>B</v>
      </c>
      <c r="Q806" s="23" t="str">
        <f t="shared" si="36"/>
        <v>Feb</v>
      </c>
      <c r="R806" s="26" t="str">
        <f t="shared" si="37"/>
        <v>Sat</v>
      </c>
      <c r="S806">
        <f t="shared" si="38"/>
        <v>1</v>
      </c>
      <c r="T806" t="str" cm="1">
        <f t="array" ref="T806">_xlfn.IFS(S806&lt;=12,"Morning",S806&lt;=16,"Afternoon",S806&lt;=21,"Evening",S806&lt;=24,"Night")</f>
        <v>Morning</v>
      </c>
    </row>
    <row r="807" spans="1:20" x14ac:dyDescent="0.25">
      <c r="A807" s="31" t="s">
        <v>841</v>
      </c>
      <c r="B807" s="27">
        <v>77.47</v>
      </c>
      <c r="C807" s="28">
        <v>4</v>
      </c>
      <c r="D807" s="27">
        <v>15.494</v>
      </c>
      <c r="E807" s="27">
        <v>325.37400000000002</v>
      </c>
      <c r="F807" s="29">
        <v>43541</v>
      </c>
      <c r="G807" s="30">
        <v>34.088888888888903</v>
      </c>
      <c r="H807" s="31" t="s">
        <v>29</v>
      </c>
      <c r="I807" s="27">
        <v>309.88</v>
      </c>
      <c r="J807" s="32">
        <v>4.7619047620000003</v>
      </c>
      <c r="K807" s="33">
        <v>4.2</v>
      </c>
      <c r="L807" s="31" t="str">
        <f>VLOOKUP(A807,'Customer-details'!$A$1:$C$1001,2,FALSE)</f>
        <v>Normal</v>
      </c>
      <c r="M807" s="31" t="str">
        <f>VLOOKUP(A807,'Customer-details'!$A$1:$C$1001,3,FALSE)</f>
        <v>Female</v>
      </c>
      <c r="N807" s="31" t="str">
        <f>VLOOKUP(A807,'Product-details'!$A$1:$B$1001,2,FALSE)</f>
        <v>Home and lifestyle</v>
      </c>
      <c r="O807" s="31" t="str">
        <f>VLOOKUP(A807,'City-details'!$A$1:$C$1001,3,FALSE)</f>
        <v>Yangon</v>
      </c>
      <c r="P807" s="31" t="str">
        <f>VLOOKUP(A807,'City-details'!$A$1:$C$1001,2,FALSE)</f>
        <v>A</v>
      </c>
      <c r="Q807" s="31" t="str">
        <f t="shared" si="36"/>
        <v>Mar</v>
      </c>
      <c r="R807" s="34" t="str">
        <f t="shared" si="37"/>
        <v>Sun</v>
      </c>
      <c r="S807">
        <f t="shared" si="38"/>
        <v>2</v>
      </c>
      <c r="T807" t="str" cm="1">
        <f t="array" ref="T807">_xlfn.IFS(S807&lt;=12,"Morning",S807&lt;=16,"Afternoon",S807&lt;=21,"Evening",S807&lt;=24,"Night")</f>
        <v>Morning</v>
      </c>
    </row>
    <row r="808" spans="1:20" x14ac:dyDescent="0.25">
      <c r="A808" s="23" t="s">
        <v>842</v>
      </c>
      <c r="B808" s="19">
        <v>93.18</v>
      </c>
      <c r="C808" s="20">
        <v>2</v>
      </c>
      <c r="D808" s="19">
        <v>9.3179999999999996</v>
      </c>
      <c r="E808" s="19">
        <v>195.678</v>
      </c>
      <c r="F808" s="21">
        <v>43481</v>
      </c>
      <c r="G808" s="22">
        <v>34.130555555555603</v>
      </c>
      <c r="H808" s="23" t="s">
        <v>33</v>
      </c>
      <c r="I808" s="19">
        <v>186.36</v>
      </c>
      <c r="J808" s="24">
        <v>4.7619047620000003</v>
      </c>
      <c r="K808" s="25">
        <v>8.5</v>
      </c>
      <c r="L808" s="23" t="str">
        <f>VLOOKUP(A808,'Customer-details'!$A$1:$C$1001,2,FALSE)</f>
        <v>Normal</v>
      </c>
      <c r="M808" s="23" t="str">
        <f>VLOOKUP(A808,'Customer-details'!$A$1:$C$1001,3,FALSE)</f>
        <v>Female</v>
      </c>
      <c r="N808" s="23" t="str">
        <f>VLOOKUP(A808,'Product-details'!$A$1:$B$1001,2,FALSE)</f>
        <v>Sports and travel</v>
      </c>
      <c r="O808" s="23" t="str">
        <f>VLOOKUP(A808,'City-details'!$A$1:$C$1001,3,FALSE)</f>
        <v>Yangon</v>
      </c>
      <c r="P808" s="23" t="str">
        <f>VLOOKUP(A808,'City-details'!$A$1:$C$1001,2,FALSE)</f>
        <v>A</v>
      </c>
      <c r="Q808" s="23" t="str">
        <f t="shared" si="36"/>
        <v>Jan</v>
      </c>
      <c r="R808" s="26" t="str">
        <f t="shared" si="37"/>
        <v>Wed</v>
      </c>
      <c r="S808">
        <f t="shared" si="38"/>
        <v>3</v>
      </c>
      <c r="T808" t="str" cm="1">
        <f t="array" ref="T808">_xlfn.IFS(S808&lt;=12,"Morning",S808&lt;=16,"Afternoon",S808&lt;=21,"Evening",S808&lt;=24,"Night")</f>
        <v>Morning</v>
      </c>
    </row>
    <row r="809" spans="1:20" x14ac:dyDescent="0.25">
      <c r="A809" s="31" t="s">
        <v>843</v>
      </c>
      <c r="B809" s="27">
        <v>50.23</v>
      </c>
      <c r="C809" s="28">
        <v>4</v>
      </c>
      <c r="D809" s="27">
        <v>10.045999999999999</v>
      </c>
      <c r="E809" s="27">
        <v>210.96600000000001</v>
      </c>
      <c r="F809" s="29">
        <v>43473</v>
      </c>
      <c r="G809" s="30">
        <v>34.172222222222203</v>
      </c>
      <c r="H809" s="31" t="s">
        <v>29</v>
      </c>
      <c r="I809" s="27">
        <v>200.92</v>
      </c>
      <c r="J809" s="32">
        <v>4.7619047620000003</v>
      </c>
      <c r="K809" s="33">
        <v>9</v>
      </c>
      <c r="L809" s="31" t="str">
        <f>VLOOKUP(A809,'Customer-details'!$A$1:$C$1001,2,FALSE)</f>
        <v>Normal</v>
      </c>
      <c r="M809" s="31" t="str">
        <f>VLOOKUP(A809,'Customer-details'!$A$1:$C$1001,3,FALSE)</f>
        <v>Female</v>
      </c>
      <c r="N809" s="31" t="str">
        <f>VLOOKUP(A809,'Product-details'!$A$1:$B$1001,2,FALSE)</f>
        <v>Electronic accessories</v>
      </c>
      <c r="O809" s="31" t="str">
        <f>VLOOKUP(A809,'City-details'!$A$1:$C$1001,3,FALSE)</f>
        <v>Yangon</v>
      </c>
      <c r="P809" s="31" t="str">
        <f>VLOOKUP(A809,'City-details'!$A$1:$C$1001,2,FALSE)</f>
        <v>A</v>
      </c>
      <c r="Q809" s="31" t="str">
        <f t="shared" si="36"/>
        <v>Jan</v>
      </c>
      <c r="R809" s="34" t="str">
        <f t="shared" si="37"/>
        <v>Tue</v>
      </c>
      <c r="S809">
        <f t="shared" si="38"/>
        <v>4</v>
      </c>
      <c r="T809" t="str" cm="1">
        <f t="array" ref="T809">_xlfn.IFS(S809&lt;=12,"Morning",S809&lt;=16,"Afternoon",S809&lt;=21,"Evening",S809&lt;=24,"Night")</f>
        <v>Morning</v>
      </c>
    </row>
    <row r="810" spans="1:20" x14ac:dyDescent="0.25">
      <c r="A810" s="23" t="s">
        <v>844</v>
      </c>
      <c r="B810" s="19">
        <v>17.75</v>
      </c>
      <c r="C810" s="20">
        <v>1</v>
      </c>
      <c r="D810" s="19">
        <v>0.88749999999999996</v>
      </c>
      <c r="E810" s="19">
        <v>18.637499999999999</v>
      </c>
      <c r="F810" s="21">
        <v>43479</v>
      </c>
      <c r="G810" s="22">
        <v>34.213888888888903</v>
      </c>
      <c r="H810" s="23" t="s">
        <v>29</v>
      </c>
      <c r="I810" s="19">
        <v>17.75</v>
      </c>
      <c r="J810" s="24">
        <v>4.7619047620000003</v>
      </c>
      <c r="K810" s="25">
        <v>8.6</v>
      </c>
      <c r="L810" s="23" t="str">
        <f>VLOOKUP(A810,'Customer-details'!$A$1:$C$1001,2,FALSE)</f>
        <v>Normal</v>
      </c>
      <c r="M810" s="23" t="str">
        <f>VLOOKUP(A810,'Customer-details'!$A$1:$C$1001,3,FALSE)</f>
        <v>Female</v>
      </c>
      <c r="N810" s="23" t="str">
        <f>VLOOKUP(A810,'Product-details'!$A$1:$B$1001,2,FALSE)</f>
        <v>Health and beauty</v>
      </c>
      <c r="O810" s="23" t="str">
        <f>VLOOKUP(A810,'City-details'!$A$1:$C$1001,3,FALSE)</f>
        <v>Mandalay</v>
      </c>
      <c r="P810" s="23" t="str">
        <f>VLOOKUP(A810,'City-details'!$A$1:$C$1001,2,FALSE)</f>
        <v>B</v>
      </c>
      <c r="Q810" s="23" t="str">
        <f t="shared" si="36"/>
        <v>Jan</v>
      </c>
      <c r="R810" s="26" t="str">
        <f t="shared" si="37"/>
        <v>Mon</v>
      </c>
      <c r="S810">
        <f t="shared" si="38"/>
        <v>5</v>
      </c>
      <c r="T810" t="str" cm="1">
        <f t="array" ref="T810">_xlfn.IFS(S810&lt;=12,"Morning",S810&lt;=16,"Afternoon",S810&lt;=21,"Evening",S810&lt;=24,"Night")</f>
        <v>Morning</v>
      </c>
    </row>
    <row r="811" spans="1:20" x14ac:dyDescent="0.25">
      <c r="A811" s="31" t="s">
        <v>845</v>
      </c>
      <c r="B811" s="27">
        <v>62.18</v>
      </c>
      <c r="C811" s="28">
        <v>10</v>
      </c>
      <c r="D811" s="27">
        <v>31.09</v>
      </c>
      <c r="E811" s="27">
        <v>652.89</v>
      </c>
      <c r="F811" s="29">
        <v>43496</v>
      </c>
      <c r="G811" s="30">
        <v>34.255555555555603</v>
      </c>
      <c r="H811" s="31" t="s">
        <v>23</v>
      </c>
      <c r="I811" s="27">
        <v>621.79999999999995</v>
      </c>
      <c r="J811" s="32">
        <v>4.7619047620000003</v>
      </c>
      <c r="K811" s="33">
        <v>6</v>
      </c>
      <c r="L811" s="31" t="str">
        <f>VLOOKUP(A811,'Customer-details'!$A$1:$C$1001,2,FALSE)</f>
        <v>Normal</v>
      </c>
      <c r="M811" s="31" t="str">
        <f>VLOOKUP(A811,'Customer-details'!$A$1:$C$1001,3,FALSE)</f>
        <v>Female</v>
      </c>
      <c r="N811" s="31" t="str">
        <f>VLOOKUP(A811,'Product-details'!$A$1:$B$1001,2,FALSE)</f>
        <v>Fashion accessories</v>
      </c>
      <c r="O811" s="31" t="str">
        <f>VLOOKUP(A811,'City-details'!$A$1:$C$1001,3,FALSE)</f>
        <v>Naypyitaw</v>
      </c>
      <c r="P811" s="31" t="str">
        <f>VLOOKUP(A811,'City-details'!$A$1:$C$1001,2,FALSE)</f>
        <v>C</v>
      </c>
      <c r="Q811" s="31" t="str">
        <f t="shared" si="36"/>
        <v>Jan</v>
      </c>
      <c r="R811" s="34" t="str">
        <f t="shared" si="37"/>
        <v>Thu</v>
      </c>
      <c r="S811">
        <f t="shared" si="38"/>
        <v>6</v>
      </c>
      <c r="T811" t="str" cm="1">
        <f t="array" ref="T811">_xlfn.IFS(S811&lt;=12,"Morning",S811&lt;=16,"Afternoon",S811&lt;=21,"Evening",S811&lt;=24,"Night")</f>
        <v>Morning</v>
      </c>
    </row>
    <row r="812" spans="1:20" x14ac:dyDescent="0.25">
      <c r="A812" s="23" t="s">
        <v>846</v>
      </c>
      <c r="B812" s="19">
        <v>10.75</v>
      </c>
      <c r="C812" s="20">
        <v>8</v>
      </c>
      <c r="D812" s="19">
        <v>4.3</v>
      </c>
      <c r="E812" s="19">
        <v>90.3</v>
      </c>
      <c r="F812" s="21">
        <v>43539</v>
      </c>
      <c r="G812" s="22">
        <v>34.297222222222203</v>
      </c>
      <c r="H812" s="23" t="s">
        <v>23</v>
      </c>
      <c r="I812" s="19">
        <v>86</v>
      </c>
      <c r="J812" s="24">
        <v>4.7619047620000003</v>
      </c>
      <c r="K812" s="25">
        <v>6.2</v>
      </c>
      <c r="L812" s="23" t="str">
        <f>VLOOKUP(A812,'Customer-details'!$A$1:$C$1001,2,FALSE)</f>
        <v>Normal</v>
      </c>
      <c r="M812" s="23" t="str">
        <f>VLOOKUP(A812,'Customer-details'!$A$1:$C$1001,3,FALSE)</f>
        <v>Male</v>
      </c>
      <c r="N812" s="23" t="str">
        <f>VLOOKUP(A812,'Product-details'!$A$1:$B$1001,2,FALSE)</f>
        <v>Health and beauty</v>
      </c>
      <c r="O812" s="23" t="str">
        <f>VLOOKUP(A812,'City-details'!$A$1:$C$1001,3,FALSE)</f>
        <v>Mandalay</v>
      </c>
      <c r="P812" s="23" t="str">
        <f>VLOOKUP(A812,'City-details'!$A$1:$C$1001,2,FALSE)</f>
        <v>B</v>
      </c>
      <c r="Q812" s="23" t="str">
        <f t="shared" si="36"/>
        <v>Mar</v>
      </c>
      <c r="R812" s="26" t="str">
        <f t="shared" si="37"/>
        <v>Fri</v>
      </c>
      <c r="S812">
        <f t="shared" si="38"/>
        <v>7</v>
      </c>
      <c r="T812" t="str" cm="1">
        <f t="array" ref="T812">_xlfn.IFS(S812&lt;=12,"Morning",S812&lt;=16,"Afternoon",S812&lt;=21,"Evening",S812&lt;=24,"Night")</f>
        <v>Morning</v>
      </c>
    </row>
    <row r="813" spans="1:20" x14ac:dyDescent="0.25">
      <c r="A813" s="31" t="s">
        <v>847</v>
      </c>
      <c r="B813" s="27">
        <v>40.26</v>
      </c>
      <c r="C813" s="28">
        <v>10</v>
      </c>
      <c r="D813" s="27">
        <v>20.13</v>
      </c>
      <c r="E813" s="27">
        <v>422.73</v>
      </c>
      <c r="F813" s="29">
        <v>43520</v>
      </c>
      <c r="G813" s="30">
        <v>34.338888888888903</v>
      </c>
      <c r="H813" s="31" t="s">
        <v>33</v>
      </c>
      <c r="I813" s="27">
        <v>402.6</v>
      </c>
      <c r="J813" s="32">
        <v>4.7619047620000003</v>
      </c>
      <c r="K813" s="33">
        <v>5</v>
      </c>
      <c r="L813" s="31" t="str">
        <f>VLOOKUP(A813,'Customer-details'!$A$1:$C$1001,2,FALSE)</f>
        <v>Normal</v>
      </c>
      <c r="M813" s="31" t="str">
        <f>VLOOKUP(A813,'Customer-details'!$A$1:$C$1001,3,FALSE)</f>
        <v>Female</v>
      </c>
      <c r="N813" s="31" t="str">
        <f>VLOOKUP(A813,'Product-details'!$A$1:$B$1001,2,FALSE)</f>
        <v>Electronic accessories</v>
      </c>
      <c r="O813" s="31" t="str">
        <f>VLOOKUP(A813,'City-details'!$A$1:$C$1001,3,FALSE)</f>
        <v>Yangon</v>
      </c>
      <c r="P813" s="31" t="str">
        <f>VLOOKUP(A813,'City-details'!$A$1:$C$1001,2,FALSE)</f>
        <v>A</v>
      </c>
      <c r="Q813" s="31" t="str">
        <f t="shared" si="36"/>
        <v>Feb</v>
      </c>
      <c r="R813" s="34" t="str">
        <f t="shared" si="37"/>
        <v>Sun</v>
      </c>
      <c r="S813">
        <f t="shared" si="38"/>
        <v>8</v>
      </c>
      <c r="T813" t="str" cm="1">
        <f t="array" ref="T813">_xlfn.IFS(S813&lt;=12,"Morning",S813&lt;=16,"Afternoon",S813&lt;=21,"Evening",S813&lt;=24,"Night")</f>
        <v>Morning</v>
      </c>
    </row>
    <row r="814" spans="1:20" x14ac:dyDescent="0.25">
      <c r="A814" s="23" t="s">
        <v>848</v>
      </c>
      <c r="B814" s="19">
        <v>64.97</v>
      </c>
      <c r="C814" s="20">
        <v>5</v>
      </c>
      <c r="D814" s="19">
        <v>16.2425</v>
      </c>
      <c r="E814" s="19">
        <v>341.09249999999997</v>
      </c>
      <c r="F814" s="21">
        <v>43504</v>
      </c>
      <c r="G814" s="22">
        <v>34.380555555555603</v>
      </c>
      <c r="H814" s="23" t="s">
        <v>33</v>
      </c>
      <c r="I814" s="19">
        <v>324.85000000000002</v>
      </c>
      <c r="J814" s="24">
        <v>4.7619047620000003</v>
      </c>
      <c r="K814" s="25">
        <v>6.5</v>
      </c>
      <c r="L814" s="23" t="str">
        <f>VLOOKUP(A814,'Customer-details'!$A$1:$C$1001,2,FALSE)</f>
        <v>Member</v>
      </c>
      <c r="M814" s="23" t="str">
        <f>VLOOKUP(A814,'Customer-details'!$A$1:$C$1001,3,FALSE)</f>
        <v>Female</v>
      </c>
      <c r="N814" s="23" t="str">
        <f>VLOOKUP(A814,'Product-details'!$A$1:$B$1001,2,FALSE)</f>
        <v>Sports and travel</v>
      </c>
      <c r="O814" s="23" t="str">
        <f>VLOOKUP(A814,'City-details'!$A$1:$C$1001,3,FALSE)</f>
        <v>Naypyitaw</v>
      </c>
      <c r="P814" s="23" t="str">
        <f>VLOOKUP(A814,'City-details'!$A$1:$C$1001,2,FALSE)</f>
        <v>C</v>
      </c>
      <c r="Q814" s="23" t="str">
        <f t="shared" si="36"/>
        <v>Feb</v>
      </c>
      <c r="R814" s="26" t="str">
        <f t="shared" si="37"/>
        <v>Fri</v>
      </c>
      <c r="S814">
        <f t="shared" si="38"/>
        <v>9</v>
      </c>
      <c r="T814" t="str" cm="1">
        <f t="array" ref="T814">_xlfn.IFS(S814&lt;=12,"Morning",S814&lt;=16,"Afternoon",S814&lt;=21,"Evening",S814&lt;=24,"Night")</f>
        <v>Morning</v>
      </c>
    </row>
    <row r="815" spans="1:20" x14ac:dyDescent="0.25">
      <c r="A815" s="31" t="s">
        <v>849</v>
      </c>
      <c r="B815" s="27">
        <v>95.15</v>
      </c>
      <c r="C815" s="28">
        <v>1</v>
      </c>
      <c r="D815" s="27">
        <v>4.7575000000000003</v>
      </c>
      <c r="E815" s="27">
        <v>99.907499999999999</v>
      </c>
      <c r="F815" s="29">
        <v>43546</v>
      </c>
      <c r="G815" s="30">
        <v>34.422222222222203</v>
      </c>
      <c r="H815" s="31" t="s">
        <v>29</v>
      </c>
      <c r="I815" s="27">
        <v>95.15</v>
      </c>
      <c r="J815" s="32">
        <v>4.7619047620000003</v>
      </c>
      <c r="K815" s="33">
        <v>6</v>
      </c>
      <c r="L815" s="31" t="str">
        <f>VLOOKUP(A815,'Customer-details'!$A$1:$C$1001,2,FALSE)</f>
        <v>Normal</v>
      </c>
      <c r="M815" s="31" t="str">
        <f>VLOOKUP(A815,'Customer-details'!$A$1:$C$1001,3,FALSE)</f>
        <v>Male</v>
      </c>
      <c r="N815" s="31" t="str">
        <f>VLOOKUP(A815,'Product-details'!$A$1:$B$1001,2,FALSE)</f>
        <v>Electronic accessories</v>
      </c>
      <c r="O815" s="31" t="str">
        <f>VLOOKUP(A815,'City-details'!$A$1:$C$1001,3,FALSE)</f>
        <v>Yangon</v>
      </c>
      <c r="P815" s="31" t="str">
        <f>VLOOKUP(A815,'City-details'!$A$1:$C$1001,2,FALSE)</f>
        <v>A</v>
      </c>
      <c r="Q815" s="31" t="str">
        <f t="shared" si="36"/>
        <v>Mar</v>
      </c>
      <c r="R815" s="34" t="str">
        <f t="shared" si="37"/>
        <v>Fri</v>
      </c>
      <c r="S815">
        <f t="shared" si="38"/>
        <v>10</v>
      </c>
      <c r="T815" t="str" cm="1">
        <f t="array" ref="T815">_xlfn.IFS(S815&lt;=12,"Morning",S815&lt;=16,"Afternoon",S815&lt;=21,"Evening",S815&lt;=24,"Night")</f>
        <v>Morning</v>
      </c>
    </row>
    <row r="816" spans="1:20" x14ac:dyDescent="0.25">
      <c r="A816" s="23" t="s">
        <v>850</v>
      </c>
      <c r="B816" s="19">
        <v>48.62</v>
      </c>
      <c r="C816" s="20">
        <v>8</v>
      </c>
      <c r="D816" s="19">
        <v>19.448</v>
      </c>
      <c r="E816" s="19">
        <v>408.40800000000002</v>
      </c>
      <c r="F816" s="21">
        <v>43489</v>
      </c>
      <c r="G816" s="22">
        <v>34.463888888888903</v>
      </c>
      <c r="H816" s="23" t="s">
        <v>29</v>
      </c>
      <c r="I816" s="19">
        <v>388.96</v>
      </c>
      <c r="J816" s="24">
        <v>4.7619047620000003</v>
      </c>
      <c r="K816" s="25">
        <v>5</v>
      </c>
      <c r="L816" s="23" t="str">
        <f>VLOOKUP(A816,'Customer-details'!$A$1:$C$1001,2,FALSE)</f>
        <v>Member</v>
      </c>
      <c r="M816" s="23" t="str">
        <f>VLOOKUP(A816,'Customer-details'!$A$1:$C$1001,3,FALSE)</f>
        <v>Female</v>
      </c>
      <c r="N816" s="23" t="str">
        <f>VLOOKUP(A816,'Product-details'!$A$1:$B$1001,2,FALSE)</f>
        <v>Electronic accessories</v>
      </c>
      <c r="O816" s="23" t="str">
        <f>VLOOKUP(A816,'City-details'!$A$1:$C$1001,3,FALSE)</f>
        <v>Yangon</v>
      </c>
      <c r="P816" s="23" t="str">
        <f>VLOOKUP(A816,'City-details'!$A$1:$C$1001,2,FALSE)</f>
        <v>A</v>
      </c>
      <c r="Q816" s="23" t="str">
        <f t="shared" si="36"/>
        <v>Jan</v>
      </c>
      <c r="R816" s="26" t="str">
        <f t="shared" si="37"/>
        <v>Thu</v>
      </c>
      <c r="S816">
        <f t="shared" si="38"/>
        <v>11</v>
      </c>
      <c r="T816" t="str" cm="1">
        <f t="array" ref="T816">_xlfn.IFS(S816&lt;=12,"Morning",S816&lt;=16,"Afternoon",S816&lt;=21,"Evening",S816&lt;=24,"Night")</f>
        <v>Morning</v>
      </c>
    </row>
    <row r="817" spans="1:20" x14ac:dyDescent="0.25">
      <c r="A817" s="31" t="s">
        <v>851</v>
      </c>
      <c r="B817" s="27">
        <v>53.21</v>
      </c>
      <c r="C817" s="28">
        <v>8</v>
      </c>
      <c r="D817" s="27">
        <v>21.283999999999999</v>
      </c>
      <c r="E817" s="27">
        <v>446.964</v>
      </c>
      <c r="F817" s="29">
        <v>43538</v>
      </c>
      <c r="G817" s="30">
        <v>34.505555555555603</v>
      </c>
      <c r="H817" s="31" t="s">
        <v>23</v>
      </c>
      <c r="I817" s="27">
        <v>425.68</v>
      </c>
      <c r="J817" s="32">
        <v>4.7619047620000003</v>
      </c>
      <c r="K817" s="33">
        <v>5</v>
      </c>
      <c r="L817" s="31" t="str">
        <f>VLOOKUP(A817,'Customer-details'!$A$1:$C$1001,2,FALSE)</f>
        <v>Normal</v>
      </c>
      <c r="M817" s="31" t="str">
        <f>VLOOKUP(A817,'Customer-details'!$A$1:$C$1001,3,FALSE)</f>
        <v>Female</v>
      </c>
      <c r="N817" s="31" t="str">
        <f>VLOOKUP(A817,'Product-details'!$A$1:$B$1001,2,FALSE)</f>
        <v>Food and beverages</v>
      </c>
      <c r="O817" s="31" t="str">
        <f>VLOOKUP(A817,'City-details'!$A$1:$C$1001,3,FALSE)</f>
        <v>Mandalay</v>
      </c>
      <c r="P817" s="31" t="str">
        <f>VLOOKUP(A817,'City-details'!$A$1:$C$1001,2,FALSE)</f>
        <v>B</v>
      </c>
      <c r="Q817" s="31" t="str">
        <f t="shared" si="36"/>
        <v>Mar</v>
      </c>
      <c r="R817" s="34" t="str">
        <f t="shared" si="37"/>
        <v>Thu</v>
      </c>
      <c r="S817">
        <f t="shared" si="38"/>
        <v>12</v>
      </c>
      <c r="T817" t="str" cm="1">
        <f t="array" ref="T817">_xlfn.IFS(S817&lt;=12,"Morning",S817&lt;=16,"Afternoon",S817&lt;=21,"Evening",S817&lt;=24,"Night")</f>
        <v>Morning</v>
      </c>
    </row>
    <row r="818" spans="1:20" x14ac:dyDescent="0.25">
      <c r="A818" s="23" t="s">
        <v>852</v>
      </c>
      <c r="B818" s="19">
        <v>45.44</v>
      </c>
      <c r="C818" s="20">
        <v>7</v>
      </c>
      <c r="D818" s="19">
        <v>15.904</v>
      </c>
      <c r="E818" s="19">
        <v>333.98399999999998</v>
      </c>
      <c r="F818" s="21">
        <v>43488</v>
      </c>
      <c r="G818" s="22">
        <v>34.547222222222203</v>
      </c>
      <c r="H818" s="23" t="s">
        <v>29</v>
      </c>
      <c r="I818" s="19">
        <v>318.08</v>
      </c>
      <c r="J818" s="24">
        <v>4.7619047620000003</v>
      </c>
      <c r="K818" s="25">
        <v>9.1999999999999993</v>
      </c>
      <c r="L818" s="23" t="str">
        <f>VLOOKUP(A818,'Customer-details'!$A$1:$C$1001,2,FALSE)</f>
        <v>Normal</v>
      </c>
      <c r="M818" s="23" t="str">
        <f>VLOOKUP(A818,'Customer-details'!$A$1:$C$1001,3,FALSE)</f>
        <v>Female</v>
      </c>
      <c r="N818" s="23" t="str">
        <f>VLOOKUP(A818,'Product-details'!$A$1:$B$1001,2,FALSE)</f>
        <v>Fashion accessories</v>
      </c>
      <c r="O818" s="23" t="str">
        <f>VLOOKUP(A818,'City-details'!$A$1:$C$1001,3,FALSE)</f>
        <v>Naypyitaw</v>
      </c>
      <c r="P818" s="23" t="str">
        <f>VLOOKUP(A818,'City-details'!$A$1:$C$1001,2,FALSE)</f>
        <v>C</v>
      </c>
      <c r="Q818" s="23" t="str">
        <f t="shared" si="36"/>
        <v>Jan</v>
      </c>
      <c r="R818" s="26" t="str">
        <f t="shared" si="37"/>
        <v>Wed</v>
      </c>
      <c r="S818">
        <f t="shared" si="38"/>
        <v>13</v>
      </c>
      <c r="T818" t="str" cm="1">
        <f t="array" ref="T818">_xlfn.IFS(S818&lt;=12,"Morning",S818&lt;=16,"Afternoon",S818&lt;=21,"Evening",S818&lt;=24,"Night")</f>
        <v>Afternoon</v>
      </c>
    </row>
    <row r="819" spans="1:20" x14ac:dyDescent="0.25">
      <c r="A819" s="31" t="s">
        <v>853</v>
      </c>
      <c r="B819" s="27">
        <v>33.880000000000003</v>
      </c>
      <c r="C819" s="28">
        <v>8</v>
      </c>
      <c r="D819" s="27">
        <v>13.552</v>
      </c>
      <c r="E819" s="27">
        <v>284.59199999999998</v>
      </c>
      <c r="F819" s="29">
        <v>43484</v>
      </c>
      <c r="G819" s="30">
        <v>34.588888888888903</v>
      </c>
      <c r="H819" s="31" t="s">
        <v>23</v>
      </c>
      <c r="I819" s="27">
        <v>271.04000000000002</v>
      </c>
      <c r="J819" s="32">
        <v>4.7619047620000003</v>
      </c>
      <c r="K819" s="33">
        <v>9.6</v>
      </c>
      <c r="L819" s="31" t="str">
        <f>VLOOKUP(A819,'Customer-details'!$A$1:$C$1001,2,FALSE)</f>
        <v>Normal</v>
      </c>
      <c r="M819" s="31" t="str">
        <f>VLOOKUP(A819,'Customer-details'!$A$1:$C$1001,3,FALSE)</f>
        <v>Male</v>
      </c>
      <c r="N819" s="31" t="str">
        <f>VLOOKUP(A819,'Product-details'!$A$1:$B$1001,2,FALSE)</f>
        <v>Food and beverages</v>
      </c>
      <c r="O819" s="31" t="str">
        <f>VLOOKUP(A819,'City-details'!$A$1:$C$1001,3,FALSE)</f>
        <v>Yangon</v>
      </c>
      <c r="P819" s="31" t="str">
        <f>VLOOKUP(A819,'City-details'!$A$1:$C$1001,2,FALSE)</f>
        <v>A</v>
      </c>
      <c r="Q819" s="31" t="str">
        <f t="shared" si="36"/>
        <v>Jan</v>
      </c>
      <c r="R819" s="34" t="str">
        <f t="shared" si="37"/>
        <v>Sat</v>
      </c>
      <c r="S819">
        <f t="shared" si="38"/>
        <v>14</v>
      </c>
      <c r="T819" t="str" cm="1">
        <f t="array" ref="T819">_xlfn.IFS(S819&lt;=12,"Morning",S819&lt;=16,"Afternoon",S819&lt;=21,"Evening",S819&lt;=24,"Night")</f>
        <v>Afternoon</v>
      </c>
    </row>
    <row r="820" spans="1:20" x14ac:dyDescent="0.25">
      <c r="A820" s="23" t="s">
        <v>854</v>
      </c>
      <c r="B820" s="19">
        <v>96.16</v>
      </c>
      <c r="C820" s="20">
        <v>4</v>
      </c>
      <c r="D820" s="19">
        <v>19.231999999999999</v>
      </c>
      <c r="E820" s="19">
        <v>403.87200000000001</v>
      </c>
      <c r="F820" s="21">
        <v>43492</v>
      </c>
      <c r="G820" s="22">
        <v>34.630555555555603</v>
      </c>
      <c r="H820" s="23" t="s">
        <v>33</v>
      </c>
      <c r="I820" s="19">
        <v>384.64</v>
      </c>
      <c r="J820" s="24">
        <v>4.7619047620000003</v>
      </c>
      <c r="K820" s="25">
        <v>8.4</v>
      </c>
      <c r="L820" s="23" t="str">
        <f>VLOOKUP(A820,'Customer-details'!$A$1:$C$1001,2,FALSE)</f>
        <v>Member</v>
      </c>
      <c r="M820" s="23" t="str">
        <f>VLOOKUP(A820,'Customer-details'!$A$1:$C$1001,3,FALSE)</f>
        <v>Male</v>
      </c>
      <c r="N820" s="23" t="str">
        <f>VLOOKUP(A820,'Product-details'!$A$1:$B$1001,2,FALSE)</f>
        <v>Health and beauty</v>
      </c>
      <c r="O820" s="23" t="str">
        <f>VLOOKUP(A820,'City-details'!$A$1:$C$1001,3,FALSE)</f>
        <v>Mandalay</v>
      </c>
      <c r="P820" s="23" t="str">
        <f>VLOOKUP(A820,'City-details'!$A$1:$C$1001,2,FALSE)</f>
        <v>B</v>
      </c>
      <c r="Q820" s="23" t="str">
        <f t="shared" si="36"/>
        <v>Jan</v>
      </c>
      <c r="R820" s="26" t="str">
        <f t="shared" si="37"/>
        <v>Sun</v>
      </c>
      <c r="S820">
        <f t="shared" si="38"/>
        <v>15</v>
      </c>
      <c r="T820" t="str" cm="1">
        <f t="array" ref="T820">_xlfn.IFS(S820&lt;=12,"Morning",S820&lt;=16,"Afternoon",S820&lt;=21,"Evening",S820&lt;=24,"Night")</f>
        <v>Afternoon</v>
      </c>
    </row>
    <row r="821" spans="1:20" x14ac:dyDescent="0.25">
      <c r="A821" s="31" t="s">
        <v>855</v>
      </c>
      <c r="B821" s="27">
        <v>47.16</v>
      </c>
      <c r="C821" s="28">
        <v>5</v>
      </c>
      <c r="D821" s="27">
        <v>11.79</v>
      </c>
      <c r="E821" s="27">
        <v>247.59</v>
      </c>
      <c r="F821" s="29">
        <v>43499</v>
      </c>
      <c r="G821" s="30">
        <v>34.672222222222203</v>
      </c>
      <c r="H821" s="31" t="s">
        <v>33</v>
      </c>
      <c r="I821" s="27">
        <v>235.8</v>
      </c>
      <c r="J821" s="32">
        <v>4.7619047620000003</v>
      </c>
      <c r="K821" s="33">
        <v>6</v>
      </c>
      <c r="L821" s="31" t="str">
        <f>VLOOKUP(A821,'Customer-details'!$A$1:$C$1001,2,FALSE)</f>
        <v>Member</v>
      </c>
      <c r="M821" s="31" t="str">
        <f>VLOOKUP(A821,'Customer-details'!$A$1:$C$1001,3,FALSE)</f>
        <v>Male</v>
      </c>
      <c r="N821" s="31" t="str">
        <f>VLOOKUP(A821,'Product-details'!$A$1:$B$1001,2,FALSE)</f>
        <v>Food and beverages</v>
      </c>
      <c r="O821" s="31" t="str">
        <f>VLOOKUP(A821,'City-details'!$A$1:$C$1001,3,FALSE)</f>
        <v>Mandalay</v>
      </c>
      <c r="P821" s="31" t="str">
        <f>VLOOKUP(A821,'City-details'!$A$1:$C$1001,2,FALSE)</f>
        <v>B</v>
      </c>
      <c r="Q821" s="31" t="str">
        <f t="shared" si="36"/>
        <v>Feb</v>
      </c>
      <c r="R821" s="34" t="str">
        <f t="shared" si="37"/>
        <v>Sun</v>
      </c>
      <c r="S821">
        <f t="shared" si="38"/>
        <v>16</v>
      </c>
      <c r="T821" t="str" cm="1">
        <f t="array" ref="T821">_xlfn.IFS(S821&lt;=12,"Morning",S821&lt;=16,"Afternoon",S821&lt;=21,"Evening",S821&lt;=24,"Night")</f>
        <v>Afternoon</v>
      </c>
    </row>
    <row r="822" spans="1:20" x14ac:dyDescent="0.25">
      <c r="A822" s="23" t="s">
        <v>856</v>
      </c>
      <c r="B822" s="19">
        <v>52.89</v>
      </c>
      <c r="C822" s="20">
        <v>4</v>
      </c>
      <c r="D822" s="19">
        <v>10.577999999999999</v>
      </c>
      <c r="E822" s="19">
        <v>222.13800000000001</v>
      </c>
      <c r="F822" s="21">
        <v>43549</v>
      </c>
      <c r="G822" s="22">
        <v>34.713888888888903</v>
      </c>
      <c r="H822" s="23" t="s">
        <v>23</v>
      </c>
      <c r="I822" s="19">
        <v>211.56</v>
      </c>
      <c r="J822" s="24">
        <v>4.7619047620000003</v>
      </c>
      <c r="K822" s="25">
        <v>6.7</v>
      </c>
      <c r="L822" s="23" t="str">
        <f>VLOOKUP(A822,'Customer-details'!$A$1:$C$1001,2,FALSE)</f>
        <v>Normal</v>
      </c>
      <c r="M822" s="23" t="str">
        <f>VLOOKUP(A822,'Customer-details'!$A$1:$C$1001,3,FALSE)</f>
        <v>Male</v>
      </c>
      <c r="N822" s="23" t="str">
        <f>VLOOKUP(A822,'Product-details'!$A$1:$B$1001,2,FALSE)</f>
        <v>Electronic accessories</v>
      </c>
      <c r="O822" s="23" t="str">
        <f>VLOOKUP(A822,'City-details'!$A$1:$C$1001,3,FALSE)</f>
        <v>Mandalay</v>
      </c>
      <c r="P822" s="23" t="str">
        <f>VLOOKUP(A822,'City-details'!$A$1:$C$1001,2,FALSE)</f>
        <v>B</v>
      </c>
      <c r="Q822" s="23" t="str">
        <f t="shared" si="36"/>
        <v>Mar</v>
      </c>
      <c r="R822" s="26" t="str">
        <f t="shared" si="37"/>
        <v>Mon</v>
      </c>
      <c r="S822">
        <f t="shared" si="38"/>
        <v>17</v>
      </c>
      <c r="T822" t="str" cm="1">
        <f t="array" ref="T822">_xlfn.IFS(S822&lt;=12,"Morning",S822&lt;=16,"Afternoon",S822&lt;=21,"Evening",S822&lt;=24,"Night")</f>
        <v>Evening</v>
      </c>
    </row>
    <row r="823" spans="1:20" x14ac:dyDescent="0.25">
      <c r="A823" s="31" t="s">
        <v>857</v>
      </c>
      <c r="B823" s="27">
        <v>47.68</v>
      </c>
      <c r="C823" s="28">
        <v>2</v>
      </c>
      <c r="D823" s="27">
        <v>4.7679999999999998</v>
      </c>
      <c r="E823" s="27">
        <v>100.128</v>
      </c>
      <c r="F823" s="29">
        <v>43520</v>
      </c>
      <c r="G823" s="30">
        <v>34.755555555555603</v>
      </c>
      <c r="H823" s="31" t="s">
        <v>33</v>
      </c>
      <c r="I823" s="27">
        <v>95.36</v>
      </c>
      <c r="J823" s="32">
        <v>4.7619047620000003</v>
      </c>
      <c r="K823" s="33">
        <v>4.0999999999999996</v>
      </c>
      <c r="L823" s="31" t="str">
        <f>VLOOKUP(A823,'Customer-details'!$A$1:$C$1001,2,FALSE)</f>
        <v>Member</v>
      </c>
      <c r="M823" s="31" t="str">
        <f>VLOOKUP(A823,'Customer-details'!$A$1:$C$1001,3,FALSE)</f>
        <v>Female</v>
      </c>
      <c r="N823" s="31" t="str">
        <f>VLOOKUP(A823,'Product-details'!$A$1:$B$1001,2,FALSE)</f>
        <v>Home and lifestyle</v>
      </c>
      <c r="O823" s="31" t="str">
        <f>VLOOKUP(A823,'City-details'!$A$1:$C$1001,3,FALSE)</f>
        <v>Yangon</v>
      </c>
      <c r="P823" s="31" t="str">
        <f>VLOOKUP(A823,'City-details'!$A$1:$C$1001,2,FALSE)</f>
        <v>A</v>
      </c>
      <c r="Q823" s="31" t="str">
        <f t="shared" si="36"/>
        <v>Feb</v>
      </c>
      <c r="R823" s="34" t="str">
        <f t="shared" si="37"/>
        <v>Sun</v>
      </c>
      <c r="S823">
        <f t="shared" si="38"/>
        <v>18</v>
      </c>
      <c r="T823" t="str" cm="1">
        <f t="array" ref="T823">_xlfn.IFS(S823&lt;=12,"Morning",S823&lt;=16,"Afternoon",S823&lt;=21,"Evening",S823&lt;=24,"Night")</f>
        <v>Evening</v>
      </c>
    </row>
    <row r="824" spans="1:20" x14ac:dyDescent="0.25">
      <c r="A824" s="23" t="s">
        <v>858</v>
      </c>
      <c r="B824" s="19">
        <v>10.17</v>
      </c>
      <c r="C824" s="20">
        <v>1</v>
      </c>
      <c r="D824" s="19">
        <v>0.50849999999999995</v>
      </c>
      <c r="E824" s="19">
        <v>10.6785</v>
      </c>
      <c r="F824" s="21">
        <v>43503</v>
      </c>
      <c r="G824" s="22">
        <v>34.797222222222203</v>
      </c>
      <c r="H824" s="23" t="s">
        <v>29</v>
      </c>
      <c r="I824" s="19">
        <v>10.17</v>
      </c>
      <c r="J824" s="24">
        <v>4.7619047620000003</v>
      </c>
      <c r="K824" s="25">
        <v>5.9</v>
      </c>
      <c r="L824" s="23" t="str">
        <f>VLOOKUP(A824,'Customer-details'!$A$1:$C$1001,2,FALSE)</f>
        <v>Member</v>
      </c>
      <c r="M824" s="23" t="str">
        <f>VLOOKUP(A824,'Customer-details'!$A$1:$C$1001,3,FALSE)</f>
        <v>Male</v>
      </c>
      <c r="N824" s="23" t="str">
        <f>VLOOKUP(A824,'Product-details'!$A$1:$B$1001,2,FALSE)</f>
        <v>Sports and travel</v>
      </c>
      <c r="O824" s="23" t="str">
        <f>VLOOKUP(A824,'City-details'!$A$1:$C$1001,3,FALSE)</f>
        <v>Naypyitaw</v>
      </c>
      <c r="P824" s="23" t="str">
        <f>VLOOKUP(A824,'City-details'!$A$1:$C$1001,2,FALSE)</f>
        <v>C</v>
      </c>
      <c r="Q824" s="23" t="str">
        <f t="shared" si="36"/>
        <v>Feb</v>
      </c>
      <c r="R824" s="26" t="str">
        <f t="shared" si="37"/>
        <v>Thu</v>
      </c>
      <c r="S824">
        <f t="shared" si="38"/>
        <v>19</v>
      </c>
      <c r="T824" t="str" cm="1">
        <f t="array" ref="T824">_xlfn.IFS(S824&lt;=12,"Morning",S824&lt;=16,"Afternoon",S824&lt;=21,"Evening",S824&lt;=24,"Night")</f>
        <v>Evening</v>
      </c>
    </row>
    <row r="825" spans="1:20" x14ac:dyDescent="0.25">
      <c r="A825" s="31" t="s">
        <v>859</v>
      </c>
      <c r="B825" s="27">
        <v>68.709999999999994</v>
      </c>
      <c r="C825" s="28">
        <v>3</v>
      </c>
      <c r="D825" s="27">
        <v>10.3065</v>
      </c>
      <c r="E825" s="27">
        <v>216.4365</v>
      </c>
      <c r="F825" s="29">
        <v>43528</v>
      </c>
      <c r="G825" s="30">
        <v>34.838888888888903</v>
      </c>
      <c r="H825" s="31" t="s">
        <v>29</v>
      </c>
      <c r="I825" s="27">
        <v>206.13</v>
      </c>
      <c r="J825" s="32">
        <v>4.7619047620000003</v>
      </c>
      <c r="K825" s="33">
        <v>8.6999999999999993</v>
      </c>
      <c r="L825" s="31" t="str">
        <f>VLOOKUP(A825,'Customer-details'!$A$1:$C$1001,2,FALSE)</f>
        <v>Normal</v>
      </c>
      <c r="M825" s="31" t="str">
        <f>VLOOKUP(A825,'Customer-details'!$A$1:$C$1001,3,FALSE)</f>
        <v>Female</v>
      </c>
      <c r="N825" s="31" t="str">
        <f>VLOOKUP(A825,'Product-details'!$A$1:$B$1001,2,FALSE)</f>
        <v>Health and beauty</v>
      </c>
      <c r="O825" s="31" t="str">
        <f>VLOOKUP(A825,'City-details'!$A$1:$C$1001,3,FALSE)</f>
        <v>Yangon</v>
      </c>
      <c r="P825" s="31" t="str">
        <f>VLOOKUP(A825,'City-details'!$A$1:$C$1001,2,FALSE)</f>
        <v>A</v>
      </c>
      <c r="Q825" s="31" t="str">
        <f t="shared" si="36"/>
        <v>Mar</v>
      </c>
      <c r="R825" s="34" t="str">
        <f t="shared" si="37"/>
        <v>Mon</v>
      </c>
      <c r="S825">
        <f t="shared" si="38"/>
        <v>20</v>
      </c>
      <c r="T825" t="str" cm="1">
        <f t="array" ref="T825">_xlfn.IFS(S825&lt;=12,"Morning",S825&lt;=16,"Afternoon",S825&lt;=21,"Evening",S825&lt;=24,"Night")</f>
        <v>Evening</v>
      </c>
    </row>
    <row r="826" spans="1:20" x14ac:dyDescent="0.25">
      <c r="A826" s="23" t="s">
        <v>860</v>
      </c>
      <c r="B826" s="19">
        <v>60.08</v>
      </c>
      <c r="C826" s="20">
        <v>7</v>
      </c>
      <c r="D826" s="19">
        <v>21.027999999999999</v>
      </c>
      <c r="E826" s="19">
        <v>441.58800000000002</v>
      </c>
      <c r="F826" s="21">
        <v>43510</v>
      </c>
      <c r="G826" s="22">
        <v>34.880555555555603</v>
      </c>
      <c r="H826" s="23" t="s">
        <v>33</v>
      </c>
      <c r="I826" s="19">
        <v>420.56</v>
      </c>
      <c r="J826" s="24">
        <v>4.7619047620000003</v>
      </c>
      <c r="K826" s="25">
        <v>4.5</v>
      </c>
      <c r="L826" s="23" t="str">
        <f>VLOOKUP(A826,'Customer-details'!$A$1:$C$1001,2,FALSE)</f>
        <v>Member</v>
      </c>
      <c r="M826" s="23" t="str">
        <f>VLOOKUP(A826,'Customer-details'!$A$1:$C$1001,3,FALSE)</f>
        <v>Female</v>
      </c>
      <c r="N826" s="23" t="str">
        <f>VLOOKUP(A826,'Product-details'!$A$1:$B$1001,2,FALSE)</f>
        <v>Sports and travel</v>
      </c>
      <c r="O826" s="23" t="str">
        <f>VLOOKUP(A826,'City-details'!$A$1:$C$1001,3,FALSE)</f>
        <v>Mandalay</v>
      </c>
      <c r="P826" s="23" t="str">
        <f>VLOOKUP(A826,'City-details'!$A$1:$C$1001,2,FALSE)</f>
        <v>B</v>
      </c>
      <c r="Q826" s="23" t="str">
        <f t="shared" si="36"/>
        <v>Feb</v>
      </c>
      <c r="R826" s="26" t="str">
        <f t="shared" si="37"/>
        <v>Thu</v>
      </c>
      <c r="S826">
        <f t="shared" si="38"/>
        <v>21</v>
      </c>
      <c r="T826" t="str" cm="1">
        <f t="array" ref="T826">_xlfn.IFS(S826&lt;=12,"Morning",S826&lt;=16,"Afternoon",S826&lt;=21,"Evening",S826&lt;=24,"Night")</f>
        <v>Evening</v>
      </c>
    </row>
    <row r="827" spans="1:20" x14ac:dyDescent="0.25">
      <c r="A827" s="31" t="s">
        <v>861</v>
      </c>
      <c r="B827" s="27">
        <v>22.01</v>
      </c>
      <c r="C827" s="28">
        <v>4</v>
      </c>
      <c r="D827" s="27">
        <v>4.4020000000000001</v>
      </c>
      <c r="E827" s="27">
        <v>92.441999999999993</v>
      </c>
      <c r="F827" s="29">
        <v>43494</v>
      </c>
      <c r="G827" s="30">
        <v>34.922222222222203</v>
      </c>
      <c r="H827" s="31" t="s">
        <v>33</v>
      </c>
      <c r="I827" s="27">
        <v>88.04</v>
      </c>
      <c r="J827" s="32">
        <v>4.7619047620000003</v>
      </c>
      <c r="K827" s="33">
        <v>6.6</v>
      </c>
      <c r="L827" s="31" t="str">
        <f>VLOOKUP(A827,'Customer-details'!$A$1:$C$1001,2,FALSE)</f>
        <v>Member</v>
      </c>
      <c r="M827" s="31" t="str">
        <f>VLOOKUP(A827,'Customer-details'!$A$1:$C$1001,3,FALSE)</f>
        <v>Female</v>
      </c>
      <c r="N827" s="31" t="str">
        <f>VLOOKUP(A827,'Product-details'!$A$1:$B$1001,2,FALSE)</f>
        <v>Sports and travel</v>
      </c>
      <c r="O827" s="31" t="str">
        <f>VLOOKUP(A827,'City-details'!$A$1:$C$1001,3,FALSE)</f>
        <v>Yangon</v>
      </c>
      <c r="P827" s="31" t="str">
        <f>VLOOKUP(A827,'City-details'!$A$1:$C$1001,2,FALSE)</f>
        <v>A</v>
      </c>
      <c r="Q827" s="31" t="str">
        <f t="shared" si="36"/>
        <v>Jan</v>
      </c>
      <c r="R827" s="34" t="str">
        <f t="shared" si="37"/>
        <v>Tue</v>
      </c>
      <c r="S827">
        <f t="shared" si="38"/>
        <v>22</v>
      </c>
      <c r="T827" t="str" cm="1">
        <f t="array" ref="T827">_xlfn.IFS(S827&lt;=12,"Morning",S827&lt;=16,"Afternoon",S827&lt;=21,"Evening",S827&lt;=24,"Night")</f>
        <v>Night</v>
      </c>
    </row>
    <row r="828" spans="1:20" x14ac:dyDescent="0.25">
      <c r="A828" s="23" t="s">
        <v>862</v>
      </c>
      <c r="B828" s="19">
        <v>72.11</v>
      </c>
      <c r="C828" s="20">
        <v>9</v>
      </c>
      <c r="D828" s="19">
        <v>32.4495</v>
      </c>
      <c r="E828" s="19">
        <v>681.43949999999995</v>
      </c>
      <c r="F828" s="21">
        <v>43493</v>
      </c>
      <c r="G828" s="22">
        <v>34.963888888888903</v>
      </c>
      <c r="H828" s="23" t="s">
        <v>33</v>
      </c>
      <c r="I828" s="19">
        <v>648.99</v>
      </c>
      <c r="J828" s="24">
        <v>4.7619047620000003</v>
      </c>
      <c r="K828" s="25">
        <v>7.7</v>
      </c>
      <c r="L828" s="23" t="str">
        <f>VLOOKUP(A828,'Customer-details'!$A$1:$C$1001,2,FALSE)</f>
        <v>Member</v>
      </c>
      <c r="M828" s="23" t="str">
        <f>VLOOKUP(A828,'Customer-details'!$A$1:$C$1001,3,FALSE)</f>
        <v>Female</v>
      </c>
      <c r="N828" s="23" t="str">
        <f>VLOOKUP(A828,'Product-details'!$A$1:$B$1001,2,FALSE)</f>
        <v>Health and beauty</v>
      </c>
      <c r="O828" s="23" t="str">
        <f>VLOOKUP(A828,'City-details'!$A$1:$C$1001,3,FALSE)</f>
        <v>Mandalay</v>
      </c>
      <c r="P828" s="23" t="str">
        <f>VLOOKUP(A828,'City-details'!$A$1:$C$1001,2,FALSE)</f>
        <v>B</v>
      </c>
      <c r="Q828" s="23" t="str">
        <f t="shared" si="36"/>
        <v>Jan</v>
      </c>
      <c r="R828" s="26" t="str">
        <f t="shared" si="37"/>
        <v>Mon</v>
      </c>
      <c r="S828">
        <f t="shared" si="38"/>
        <v>23</v>
      </c>
      <c r="T828" t="str" cm="1">
        <f t="array" ref="T828">_xlfn.IFS(S828&lt;=12,"Morning",S828&lt;=16,"Afternoon",S828&lt;=21,"Evening",S828&lt;=24,"Night")</f>
        <v>Night</v>
      </c>
    </row>
    <row r="829" spans="1:20" x14ac:dyDescent="0.25">
      <c r="A829" s="31" t="s">
        <v>863</v>
      </c>
      <c r="B829" s="27">
        <v>41.28</v>
      </c>
      <c r="C829" s="28">
        <v>3</v>
      </c>
      <c r="D829" s="27">
        <v>6.1920000000000002</v>
      </c>
      <c r="E829" s="27">
        <v>130.03200000000001</v>
      </c>
      <c r="F829" s="29">
        <v>43550</v>
      </c>
      <c r="G829" s="30">
        <v>35.005555555555603</v>
      </c>
      <c r="H829" s="31" t="s">
        <v>33</v>
      </c>
      <c r="I829" s="27">
        <v>123.84</v>
      </c>
      <c r="J829" s="32">
        <v>4.7619047620000003</v>
      </c>
      <c r="K829" s="33">
        <v>8.5</v>
      </c>
      <c r="L829" s="31" t="str">
        <f>VLOOKUP(A829,'Customer-details'!$A$1:$C$1001,2,FALSE)</f>
        <v>Member</v>
      </c>
      <c r="M829" s="31" t="str">
        <f>VLOOKUP(A829,'Customer-details'!$A$1:$C$1001,3,FALSE)</f>
        <v>Male</v>
      </c>
      <c r="N829" s="31" t="str">
        <f>VLOOKUP(A829,'Product-details'!$A$1:$B$1001,2,FALSE)</f>
        <v>Fashion accessories</v>
      </c>
      <c r="O829" s="31" t="str">
        <f>VLOOKUP(A829,'City-details'!$A$1:$C$1001,3,FALSE)</f>
        <v>Yangon</v>
      </c>
      <c r="P829" s="31" t="str">
        <f>VLOOKUP(A829,'City-details'!$A$1:$C$1001,2,FALSE)</f>
        <v>A</v>
      </c>
      <c r="Q829" s="31" t="str">
        <f t="shared" si="36"/>
        <v>Mar</v>
      </c>
      <c r="R829" s="34" t="str">
        <f t="shared" si="37"/>
        <v>Tue</v>
      </c>
      <c r="S829">
        <f t="shared" si="38"/>
        <v>0</v>
      </c>
      <c r="T829" t="str" cm="1">
        <f t="array" ref="T829">_xlfn.IFS(S829&lt;=12,"Morning",S829&lt;=16,"Afternoon",S829&lt;=21,"Evening",S829&lt;=24,"Night")</f>
        <v>Morning</v>
      </c>
    </row>
    <row r="830" spans="1:20" x14ac:dyDescent="0.25">
      <c r="A830" s="23" t="s">
        <v>864</v>
      </c>
      <c r="B830" s="19">
        <v>64.95</v>
      </c>
      <c r="C830" s="20">
        <v>10</v>
      </c>
      <c r="D830" s="19">
        <v>32.475000000000001</v>
      </c>
      <c r="E830" s="19">
        <v>681.97500000000002</v>
      </c>
      <c r="F830" s="21">
        <v>43548</v>
      </c>
      <c r="G830" s="22">
        <v>35.047222222222203</v>
      </c>
      <c r="H830" s="23" t="s">
        <v>29</v>
      </c>
      <c r="I830" s="19">
        <v>649.5</v>
      </c>
      <c r="J830" s="24">
        <v>4.7619047620000003</v>
      </c>
      <c r="K830" s="25">
        <v>5.2</v>
      </c>
      <c r="L830" s="23" t="str">
        <f>VLOOKUP(A830,'Customer-details'!$A$1:$C$1001,2,FALSE)</f>
        <v>Normal</v>
      </c>
      <c r="M830" s="23" t="str">
        <f>VLOOKUP(A830,'Customer-details'!$A$1:$C$1001,3,FALSE)</f>
        <v>Male</v>
      </c>
      <c r="N830" s="23" t="str">
        <f>VLOOKUP(A830,'Product-details'!$A$1:$B$1001,2,FALSE)</f>
        <v>Electronic accessories</v>
      </c>
      <c r="O830" s="23" t="str">
        <f>VLOOKUP(A830,'City-details'!$A$1:$C$1001,3,FALSE)</f>
        <v>Naypyitaw</v>
      </c>
      <c r="P830" s="23" t="str">
        <f>VLOOKUP(A830,'City-details'!$A$1:$C$1001,2,FALSE)</f>
        <v>C</v>
      </c>
      <c r="Q830" s="23" t="str">
        <f t="shared" si="36"/>
        <v>Mar</v>
      </c>
      <c r="R830" s="26" t="str">
        <f t="shared" si="37"/>
        <v>Sun</v>
      </c>
      <c r="S830">
        <f t="shared" si="38"/>
        <v>1</v>
      </c>
      <c r="T830" t="str" cm="1">
        <f t="array" ref="T830">_xlfn.IFS(S830&lt;=12,"Morning",S830&lt;=16,"Afternoon",S830&lt;=21,"Evening",S830&lt;=24,"Night")</f>
        <v>Morning</v>
      </c>
    </row>
    <row r="831" spans="1:20" x14ac:dyDescent="0.25">
      <c r="A831" s="31" t="s">
        <v>865</v>
      </c>
      <c r="B831" s="27">
        <v>74.22</v>
      </c>
      <c r="C831" s="28">
        <v>10</v>
      </c>
      <c r="D831" s="27">
        <v>37.11</v>
      </c>
      <c r="E831" s="27">
        <v>779.31</v>
      </c>
      <c r="F831" s="29">
        <v>43466</v>
      </c>
      <c r="G831" s="30">
        <v>35.088888888888903</v>
      </c>
      <c r="H831" s="31" t="s">
        <v>33</v>
      </c>
      <c r="I831" s="27">
        <v>742.2</v>
      </c>
      <c r="J831" s="32">
        <v>4.7619047620000003</v>
      </c>
      <c r="K831" s="33">
        <v>4.3</v>
      </c>
      <c r="L831" s="31" t="str">
        <f>VLOOKUP(A831,'Customer-details'!$A$1:$C$1001,2,FALSE)</f>
        <v>Member</v>
      </c>
      <c r="M831" s="31" t="str">
        <f>VLOOKUP(A831,'Customer-details'!$A$1:$C$1001,3,FALSE)</f>
        <v>Female</v>
      </c>
      <c r="N831" s="31" t="str">
        <f>VLOOKUP(A831,'Product-details'!$A$1:$B$1001,2,FALSE)</f>
        <v>Electronic accessories</v>
      </c>
      <c r="O831" s="31" t="str">
        <f>VLOOKUP(A831,'City-details'!$A$1:$C$1001,3,FALSE)</f>
        <v>Yangon</v>
      </c>
      <c r="P831" s="31" t="str">
        <f>VLOOKUP(A831,'City-details'!$A$1:$C$1001,2,FALSE)</f>
        <v>A</v>
      </c>
      <c r="Q831" s="31" t="str">
        <f t="shared" si="36"/>
        <v>Jan</v>
      </c>
      <c r="R831" s="34" t="str">
        <f t="shared" si="37"/>
        <v>Tue</v>
      </c>
      <c r="S831">
        <f t="shared" si="38"/>
        <v>2</v>
      </c>
      <c r="T831" t="str" cm="1">
        <f t="array" ref="T831">_xlfn.IFS(S831&lt;=12,"Morning",S831&lt;=16,"Afternoon",S831&lt;=21,"Evening",S831&lt;=24,"Night")</f>
        <v>Morning</v>
      </c>
    </row>
    <row r="832" spans="1:20" x14ac:dyDescent="0.25">
      <c r="A832" s="23" t="s">
        <v>866</v>
      </c>
      <c r="B832" s="19">
        <v>10.56</v>
      </c>
      <c r="C832" s="20">
        <v>8</v>
      </c>
      <c r="D832" s="19">
        <v>4.2240000000000002</v>
      </c>
      <c r="E832" s="19">
        <v>88.703999999999994</v>
      </c>
      <c r="F832" s="21">
        <v>43489</v>
      </c>
      <c r="G832" s="22">
        <v>35.130555555555603</v>
      </c>
      <c r="H832" s="23" t="s">
        <v>29</v>
      </c>
      <c r="I832" s="19">
        <v>84.48</v>
      </c>
      <c r="J832" s="24">
        <v>4.7619047620000003</v>
      </c>
      <c r="K832" s="25">
        <v>7.6</v>
      </c>
      <c r="L832" s="23" t="str">
        <f>VLOOKUP(A832,'Customer-details'!$A$1:$C$1001,2,FALSE)</f>
        <v>Normal</v>
      </c>
      <c r="M832" s="23" t="str">
        <f>VLOOKUP(A832,'Customer-details'!$A$1:$C$1001,3,FALSE)</f>
        <v>Male</v>
      </c>
      <c r="N832" s="23" t="str">
        <f>VLOOKUP(A832,'Product-details'!$A$1:$B$1001,2,FALSE)</f>
        <v>Electronic accessories</v>
      </c>
      <c r="O832" s="23" t="str">
        <f>VLOOKUP(A832,'City-details'!$A$1:$C$1001,3,FALSE)</f>
        <v>Yangon</v>
      </c>
      <c r="P832" s="23" t="str">
        <f>VLOOKUP(A832,'City-details'!$A$1:$C$1001,2,FALSE)</f>
        <v>A</v>
      </c>
      <c r="Q832" s="23" t="str">
        <f t="shared" si="36"/>
        <v>Jan</v>
      </c>
      <c r="R832" s="26" t="str">
        <f t="shared" si="37"/>
        <v>Thu</v>
      </c>
      <c r="S832">
        <f t="shared" si="38"/>
        <v>3</v>
      </c>
      <c r="T832" t="str" cm="1">
        <f t="array" ref="T832">_xlfn.IFS(S832&lt;=12,"Morning",S832&lt;=16,"Afternoon",S832&lt;=21,"Evening",S832&lt;=24,"Night")</f>
        <v>Morning</v>
      </c>
    </row>
    <row r="833" spans="1:20" x14ac:dyDescent="0.25">
      <c r="A833" s="31" t="s">
        <v>867</v>
      </c>
      <c r="B833" s="27">
        <v>62.57</v>
      </c>
      <c r="C833" s="28">
        <v>4</v>
      </c>
      <c r="D833" s="27">
        <v>12.513999999999999</v>
      </c>
      <c r="E833" s="27">
        <v>262.79399999999998</v>
      </c>
      <c r="F833" s="29">
        <v>43521</v>
      </c>
      <c r="G833" s="30">
        <v>35.172222222222203</v>
      </c>
      <c r="H833" s="31" t="s">
        <v>29</v>
      </c>
      <c r="I833" s="27">
        <v>250.28</v>
      </c>
      <c r="J833" s="32">
        <v>4.7619047620000003</v>
      </c>
      <c r="K833" s="33">
        <v>9.5</v>
      </c>
      <c r="L833" s="31" t="str">
        <f>VLOOKUP(A833,'Customer-details'!$A$1:$C$1001,2,FALSE)</f>
        <v>Normal</v>
      </c>
      <c r="M833" s="31" t="str">
        <f>VLOOKUP(A833,'Customer-details'!$A$1:$C$1001,3,FALSE)</f>
        <v>Male</v>
      </c>
      <c r="N833" s="31" t="str">
        <f>VLOOKUP(A833,'Product-details'!$A$1:$B$1001,2,FALSE)</f>
        <v>Health and beauty</v>
      </c>
      <c r="O833" s="31" t="str">
        <f>VLOOKUP(A833,'City-details'!$A$1:$C$1001,3,FALSE)</f>
        <v>Mandalay</v>
      </c>
      <c r="P833" s="31" t="str">
        <f>VLOOKUP(A833,'City-details'!$A$1:$C$1001,2,FALSE)</f>
        <v>B</v>
      </c>
      <c r="Q833" s="31" t="str">
        <f t="shared" si="36"/>
        <v>Feb</v>
      </c>
      <c r="R833" s="34" t="str">
        <f t="shared" si="37"/>
        <v>Mon</v>
      </c>
      <c r="S833">
        <f t="shared" si="38"/>
        <v>4</v>
      </c>
      <c r="T833" t="str" cm="1">
        <f t="array" ref="T833">_xlfn.IFS(S833&lt;=12,"Morning",S833&lt;=16,"Afternoon",S833&lt;=21,"Evening",S833&lt;=24,"Night")</f>
        <v>Morning</v>
      </c>
    </row>
    <row r="834" spans="1:20" x14ac:dyDescent="0.25">
      <c r="A834" s="23" t="s">
        <v>868</v>
      </c>
      <c r="B834" s="19">
        <v>11.85</v>
      </c>
      <c r="C834" s="20">
        <v>8</v>
      </c>
      <c r="D834" s="19">
        <v>4.74</v>
      </c>
      <c r="E834" s="19">
        <v>99.54</v>
      </c>
      <c r="F834" s="21">
        <v>43474</v>
      </c>
      <c r="G834" s="22">
        <v>35.213888888888903</v>
      </c>
      <c r="H834" s="23" t="s">
        <v>29</v>
      </c>
      <c r="I834" s="19">
        <v>94.8</v>
      </c>
      <c r="J834" s="24">
        <v>4.7619047620000003</v>
      </c>
      <c r="K834" s="25">
        <v>4.0999999999999996</v>
      </c>
      <c r="L834" s="23" t="str">
        <f>VLOOKUP(A834,'Customer-details'!$A$1:$C$1001,2,FALSE)</f>
        <v>Member</v>
      </c>
      <c r="M834" s="23" t="str">
        <f>VLOOKUP(A834,'Customer-details'!$A$1:$C$1001,3,FALSE)</f>
        <v>Female</v>
      </c>
      <c r="N834" s="23" t="str">
        <f>VLOOKUP(A834,'Product-details'!$A$1:$B$1001,2,FALSE)</f>
        <v>Sports and travel</v>
      </c>
      <c r="O834" s="23" t="str">
        <f>VLOOKUP(A834,'City-details'!$A$1:$C$1001,3,FALSE)</f>
        <v>Mandalay</v>
      </c>
      <c r="P834" s="23" t="str">
        <f>VLOOKUP(A834,'City-details'!$A$1:$C$1001,2,FALSE)</f>
        <v>B</v>
      </c>
      <c r="Q834" s="23" t="str">
        <f t="shared" si="36"/>
        <v>Jan</v>
      </c>
      <c r="R834" s="26" t="str">
        <f t="shared" si="37"/>
        <v>Wed</v>
      </c>
      <c r="S834">
        <f t="shared" si="38"/>
        <v>5</v>
      </c>
      <c r="T834" t="str" cm="1">
        <f t="array" ref="T834">_xlfn.IFS(S834&lt;=12,"Morning",S834&lt;=16,"Afternoon",S834&lt;=21,"Evening",S834&lt;=24,"Night")</f>
        <v>Morning</v>
      </c>
    </row>
    <row r="835" spans="1:20" x14ac:dyDescent="0.25">
      <c r="A835" s="31" t="s">
        <v>869</v>
      </c>
      <c r="B835" s="27">
        <v>91.3</v>
      </c>
      <c r="C835" s="28">
        <v>1</v>
      </c>
      <c r="D835" s="27">
        <v>4.5650000000000004</v>
      </c>
      <c r="E835" s="27">
        <v>95.864999999999995</v>
      </c>
      <c r="F835" s="29">
        <v>43510</v>
      </c>
      <c r="G835" s="30">
        <v>35.255555555555603</v>
      </c>
      <c r="H835" s="31" t="s">
        <v>23</v>
      </c>
      <c r="I835" s="27">
        <v>91.3</v>
      </c>
      <c r="J835" s="32">
        <v>4.7619047620000003</v>
      </c>
      <c r="K835" s="33">
        <v>9.1999999999999993</v>
      </c>
      <c r="L835" s="31" t="str">
        <f>VLOOKUP(A835,'Customer-details'!$A$1:$C$1001,2,FALSE)</f>
        <v>Member</v>
      </c>
      <c r="M835" s="31" t="str">
        <f>VLOOKUP(A835,'Customer-details'!$A$1:$C$1001,3,FALSE)</f>
        <v>Male</v>
      </c>
      <c r="N835" s="31" t="str">
        <f>VLOOKUP(A835,'Product-details'!$A$1:$B$1001,2,FALSE)</f>
        <v>Health and beauty</v>
      </c>
      <c r="O835" s="31" t="str">
        <f>VLOOKUP(A835,'City-details'!$A$1:$C$1001,3,FALSE)</f>
        <v>Yangon</v>
      </c>
      <c r="P835" s="31" t="str">
        <f>VLOOKUP(A835,'City-details'!$A$1:$C$1001,2,FALSE)</f>
        <v>A</v>
      </c>
      <c r="Q835" s="31" t="str">
        <f t="shared" ref="Q835:Q898" si="39">TEXT(F835,"mmm")</f>
        <v>Feb</v>
      </c>
      <c r="R835" s="34" t="str">
        <f t="shared" ref="R835:R898" si="40">TEXT(F835,"ddd")</f>
        <v>Thu</v>
      </c>
      <c r="S835">
        <f t="shared" ref="S835:S898" si="41">HOUR(G835)</f>
        <v>6</v>
      </c>
      <c r="T835" t="str" cm="1">
        <f t="array" ref="T835">_xlfn.IFS(S835&lt;=12,"Morning",S835&lt;=16,"Afternoon",S835&lt;=21,"Evening",S835&lt;=24,"Night")</f>
        <v>Morning</v>
      </c>
    </row>
    <row r="836" spans="1:20" x14ac:dyDescent="0.25">
      <c r="A836" s="23" t="s">
        <v>870</v>
      </c>
      <c r="B836" s="19">
        <v>40.729999999999997</v>
      </c>
      <c r="C836" s="20">
        <v>7</v>
      </c>
      <c r="D836" s="19">
        <v>14.2555</v>
      </c>
      <c r="E836" s="19">
        <v>299.3655</v>
      </c>
      <c r="F836" s="21">
        <v>43536</v>
      </c>
      <c r="G836" s="22">
        <v>35.297222222222203</v>
      </c>
      <c r="H836" s="23" t="s">
        <v>23</v>
      </c>
      <c r="I836" s="19">
        <v>285.11</v>
      </c>
      <c r="J836" s="24">
        <v>4.7619047620000003</v>
      </c>
      <c r="K836" s="25">
        <v>5.4</v>
      </c>
      <c r="L836" s="23" t="str">
        <f>VLOOKUP(A836,'Customer-details'!$A$1:$C$1001,2,FALSE)</f>
        <v>Member</v>
      </c>
      <c r="M836" s="23" t="str">
        <f>VLOOKUP(A836,'Customer-details'!$A$1:$C$1001,3,FALSE)</f>
        <v>Female</v>
      </c>
      <c r="N836" s="23" t="str">
        <f>VLOOKUP(A836,'Product-details'!$A$1:$B$1001,2,FALSE)</f>
        <v>Home and lifestyle</v>
      </c>
      <c r="O836" s="23" t="str">
        <f>VLOOKUP(A836,'City-details'!$A$1:$C$1001,3,FALSE)</f>
        <v>Mandalay</v>
      </c>
      <c r="P836" s="23" t="str">
        <f>VLOOKUP(A836,'City-details'!$A$1:$C$1001,2,FALSE)</f>
        <v>B</v>
      </c>
      <c r="Q836" s="23" t="str">
        <f t="shared" si="39"/>
        <v>Mar</v>
      </c>
      <c r="R836" s="26" t="str">
        <f t="shared" si="40"/>
        <v>Tue</v>
      </c>
      <c r="S836">
        <f t="shared" si="41"/>
        <v>7</v>
      </c>
      <c r="T836" t="str" cm="1">
        <f t="array" ref="T836">_xlfn.IFS(S836&lt;=12,"Morning",S836&lt;=16,"Afternoon",S836&lt;=21,"Evening",S836&lt;=24,"Night")</f>
        <v>Morning</v>
      </c>
    </row>
    <row r="837" spans="1:20" x14ac:dyDescent="0.25">
      <c r="A837" s="31" t="s">
        <v>871</v>
      </c>
      <c r="B837" s="27">
        <v>52.38</v>
      </c>
      <c r="C837" s="28">
        <v>1</v>
      </c>
      <c r="D837" s="27">
        <v>2.6190000000000002</v>
      </c>
      <c r="E837" s="27">
        <v>54.999000000000002</v>
      </c>
      <c r="F837" s="29">
        <v>43550</v>
      </c>
      <c r="G837" s="30">
        <v>35.338888888888903</v>
      </c>
      <c r="H837" s="31" t="s">
        <v>29</v>
      </c>
      <c r="I837" s="27">
        <v>52.38</v>
      </c>
      <c r="J837" s="32">
        <v>4.7619047620000003</v>
      </c>
      <c r="K837" s="33">
        <v>5.8</v>
      </c>
      <c r="L837" s="31" t="str">
        <f>VLOOKUP(A837,'Customer-details'!$A$1:$C$1001,2,FALSE)</f>
        <v>Normal</v>
      </c>
      <c r="M837" s="31" t="str">
        <f>VLOOKUP(A837,'Customer-details'!$A$1:$C$1001,3,FALSE)</f>
        <v>Male</v>
      </c>
      <c r="N837" s="31" t="str">
        <f>VLOOKUP(A837,'Product-details'!$A$1:$B$1001,2,FALSE)</f>
        <v>Fashion accessories</v>
      </c>
      <c r="O837" s="31" t="str">
        <f>VLOOKUP(A837,'City-details'!$A$1:$C$1001,3,FALSE)</f>
        <v>Yangon</v>
      </c>
      <c r="P837" s="31" t="str">
        <f>VLOOKUP(A837,'City-details'!$A$1:$C$1001,2,FALSE)</f>
        <v>A</v>
      </c>
      <c r="Q837" s="31" t="str">
        <f t="shared" si="39"/>
        <v>Mar</v>
      </c>
      <c r="R837" s="34" t="str">
        <f t="shared" si="40"/>
        <v>Tue</v>
      </c>
      <c r="S837">
        <f t="shared" si="41"/>
        <v>8</v>
      </c>
      <c r="T837" t="str" cm="1">
        <f t="array" ref="T837">_xlfn.IFS(S837&lt;=12,"Morning",S837&lt;=16,"Afternoon",S837&lt;=21,"Evening",S837&lt;=24,"Night")</f>
        <v>Morning</v>
      </c>
    </row>
    <row r="838" spans="1:20" x14ac:dyDescent="0.25">
      <c r="A838" s="23" t="s">
        <v>872</v>
      </c>
      <c r="B838" s="19">
        <v>38.54</v>
      </c>
      <c r="C838" s="20">
        <v>5</v>
      </c>
      <c r="D838" s="19">
        <v>9.6349999999999998</v>
      </c>
      <c r="E838" s="19">
        <v>202.33500000000001</v>
      </c>
      <c r="F838" s="21">
        <v>43474</v>
      </c>
      <c r="G838" s="22">
        <v>35.380555555555603</v>
      </c>
      <c r="H838" s="23" t="s">
        <v>23</v>
      </c>
      <c r="I838" s="19">
        <v>192.7</v>
      </c>
      <c r="J838" s="24">
        <v>4.7619047620000003</v>
      </c>
      <c r="K838" s="25">
        <v>5.6</v>
      </c>
      <c r="L838" s="23" t="str">
        <f>VLOOKUP(A838,'Customer-details'!$A$1:$C$1001,2,FALSE)</f>
        <v>Member</v>
      </c>
      <c r="M838" s="23" t="str">
        <f>VLOOKUP(A838,'Customer-details'!$A$1:$C$1001,3,FALSE)</f>
        <v>Male</v>
      </c>
      <c r="N838" s="23" t="str">
        <f>VLOOKUP(A838,'Product-details'!$A$1:$B$1001,2,FALSE)</f>
        <v>Fashion accessories</v>
      </c>
      <c r="O838" s="23" t="str">
        <f>VLOOKUP(A838,'City-details'!$A$1:$C$1001,3,FALSE)</f>
        <v>Yangon</v>
      </c>
      <c r="P838" s="23" t="str">
        <f>VLOOKUP(A838,'City-details'!$A$1:$C$1001,2,FALSE)</f>
        <v>A</v>
      </c>
      <c r="Q838" s="23" t="str">
        <f t="shared" si="39"/>
        <v>Jan</v>
      </c>
      <c r="R838" s="26" t="str">
        <f t="shared" si="40"/>
        <v>Wed</v>
      </c>
      <c r="S838">
        <f t="shared" si="41"/>
        <v>9</v>
      </c>
      <c r="T838" t="str" cm="1">
        <f t="array" ref="T838">_xlfn.IFS(S838&lt;=12,"Morning",S838&lt;=16,"Afternoon",S838&lt;=21,"Evening",S838&lt;=24,"Night")</f>
        <v>Morning</v>
      </c>
    </row>
    <row r="839" spans="1:20" x14ac:dyDescent="0.25">
      <c r="A839" s="31" t="s">
        <v>873</v>
      </c>
      <c r="B839" s="27">
        <v>44.63</v>
      </c>
      <c r="C839" s="28">
        <v>6</v>
      </c>
      <c r="D839" s="27">
        <v>13.388999999999999</v>
      </c>
      <c r="E839" s="27">
        <v>281.16899999999998</v>
      </c>
      <c r="F839" s="29">
        <v>43467</v>
      </c>
      <c r="G839" s="30">
        <v>35.422222222222203</v>
      </c>
      <c r="H839" s="31" t="s">
        <v>33</v>
      </c>
      <c r="I839" s="27">
        <v>267.77999999999997</v>
      </c>
      <c r="J839" s="32">
        <v>4.7619047620000003</v>
      </c>
      <c r="K839" s="33">
        <v>5.0999999999999996</v>
      </c>
      <c r="L839" s="31" t="str">
        <f>VLOOKUP(A839,'Customer-details'!$A$1:$C$1001,2,FALSE)</f>
        <v>Normal</v>
      </c>
      <c r="M839" s="31" t="str">
        <f>VLOOKUP(A839,'Customer-details'!$A$1:$C$1001,3,FALSE)</f>
        <v>Male</v>
      </c>
      <c r="N839" s="31" t="str">
        <f>VLOOKUP(A839,'Product-details'!$A$1:$B$1001,2,FALSE)</f>
        <v>Sports and travel</v>
      </c>
      <c r="O839" s="31" t="str">
        <f>VLOOKUP(A839,'City-details'!$A$1:$C$1001,3,FALSE)</f>
        <v>Mandalay</v>
      </c>
      <c r="P839" s="31" t="str">
        <f>VLOOKUP(A839,'City-details'!$A$1:$C$1001,2,FALSE)</f>
        <v>B</v>
      </c>
      <c r="Q839" s="31" t="str">
        <f t="shared" si="39"/>
        <v>Jan</v>
      </c>
      <c r="R839" s="34" t="str">
        <f t="shared" si="40"/>
        <v>Wed</v>
      </c>
      <c r="S839">
        <f t="shared" si="41"/>
        <v>10</v>
      </c>
      <c r="T839" t="str" cm="1">
        <f t="array" ref="T839">_xlfn.IFS(S839&lt;=12,"Morning",S839&lt;=16,"Afternoon",S839&lt;=21,"Evening",S839&lt;=24,"Night")</f>
        <v>Morning</v>
      </c>
    </row>
    <row r="840" spans="1:20" x14ac:dyDescent="0.25">
      <c r="A840" s="23" t="s">
        <v>874</v>
      </c>
      <c r="B840" s="19">
        <v>55.87</v>
      </c>
      <c r="C840" s="20">
        <v>10</v>
      </c>
      <c r="D840" s="19">
        <v>27.934999999999999</v>
      </c>
      <c r="E840" s="19">
        <v>586.63499999999999</v>
      </c>
      <c r="F840" s="21">
        <v>43480</v>
      </c>
      <c r="G840" s="22">
        <v>35.463888888888903</v>
      </c>
      <c r="H840" s="23" t="s">
        <v>29</v>
      </c>
      <c r="I840" s="19">
        <v>558.70000000000005</v>
      </c>
      <c r="J840" s="24">
        <v>4.7619047620000003</v>
      </c>
      <c r="K840" s="25">
        <v>5.8</v>
      </c>
      <c r="L840" s="23" t="str">
        <f>VLOOKUP(A840,'Customer-details'!$A$1:$C$1001,2,FALSE)</f>
        <v>Normal</v>
      </c>
      <c r="M840" s="23" t="str">
        <f>VLOOKUP(A840,'Customer-details'!$A$1:$C$1001,3,FALSE)</f>
        <v>Male</v>
      </c>
      <c r="N840" s="23" t="str">
        <f>VLOOKUP(A840,'Product-details'!$A$1:$B$1001,2,FALSE)</f>
        <v>Electronic accessories</v>
      </c>
      <c r="O840" s="23" t="str">
        <f>VLOOKUP(A840,'City-details'!$A$1:$C$1001,3,FALSE)</f>
        <v>Naypyitaw</v>
      </c>
      <c r="P840" s="23" t="str">
        <f>VLOOKUP(A840,'City-details'!$A$1:$C$1001,2,FALSE)</f>
        <v>C</v>
      </c>
      <c r="Q840" s="23" t="str">
        <f t="shared" si="39"/>
        <v>Jan</v>
      </c>
      <c r="R840" s="26" t="str">
        <f t="shared" si="40"/>
        <v>Tue</v>
      </c>
      <c r="S840">
        <f t="shared" si="41"/>
        <v>11</v>
      </c>
      <c r="T840" t="str" cm="1">
        <f t="array" ref="T840">_xlfn.IFS(S840&lt;=12,"Morning",S840&lt;=16,"Afternoon",S840&lt;=21,"Evening",S840&lt;=24,"Night")</f>
        <v>Morning</v>
      </c>
    </row>
    <row r="841" spans="1:20" x14ac:dyDescent="0.25">
      <c r="A841" s="31" t="s">
        <v>875</v>
      </c>
      <c r="B841" s="27">
        <v>29.22</v>
      </c>
      <c r="C841" s="28">
        <v>6</v>
      </c>
      <c r="D841" s="27">
        <v>8.766</v>
      </c>
      <c r="E841" s="27">
        <v>184.08600000000001</v>
      </c>
      <c r="F841" s="29">
        <v>43466</v>
      </c>
      <c r="G841" s="30">
        <v>35.505555555555603</v>
      </c>
      <c r="H841" s="31" t="s">
        <v>23</v>
      </c>
      <c r="I841" s="27">
        <v>175.32</v>
      </c>
      <c r="J841" s="32">
        <v>4.7619047620000003</v>
      </c>
      <c r="K841" s="33">
        <v>5</v>
      </c>
      <c r="L841" s="31" t="str">
        <f>VLOOKUP(A841,'Customer-details'!$A$1:$C$1001,2,FALSE)</f>
        <v>Member</v>
      </c>
      <c r="M841" s="31" t="str">
        <f>VLOOKUP(A841,'Customer-details'!$A$1:$C$1001,3,FALSE)</f>
        <v>Female</v>
      </c>
      <c r="N841" s="31" t="str">
        <f>VLOOKUP(A841,'Product-details'!$A$1:$B$1001,2,FALSE)</f>
        <v>Sports and travel</v>
      </c>
      <c r="O841" s="31" t="str">
        <f>VLOOKUP(A841,'City-details'!$A$1:$C$1001,3,FALSE)</f>
        <v>Naypyitaw</v>
      </c>
      <c r="P841" s="31" t="str">
        <f>VLOOKUP(A841,'City-details'!$A$1:$C$1001,2,FALSE)</f>
        <v>C</v>
      </c>
      <c r="Q841" s="31" t="str">
        <f t="shared" si="39"/>
        <v>Jan</v>
      </c>
      <c r="R841" s="34" t="str">
        <f t="shared" si="40"/>
        <v>Tue</v>
      </c>
      <c r="S841">
        <f t="shared" si="41"/>
        <v>12</v>
      </c>
      <c r="T841" t="str" cm="1">
        <f t="array" ref="T841">_xlfn.IFS(S841&lt;=12,"Morning",S841&lt;=16,"Afternoon",S841&lt;=21,"Evening",S841&lt;=24,"Night")</f>
        <v>Morning</v>
      </c>
    </row>
    <row r="842" spans="1:20" x14ac:dyDescent="0.25">
      <c r="A842" s="23" t="s">
        <v>876</v>
      </c>
      <c r="B842" s="19">
        <v>51.94</v>
      </c>
      <c r="C842" s="20">
        <v>3</v>
      </c>
      <c r="D842" s="19">
        <v>7.7910000000000004</v>
      </c>
      <c r="E842" s="19">
        <v>163.61099999999999</v>
      </c>
      <c r="F842" s="21">
        <v>43511</v>
      </c>
      <c r="G842" s="22">
        <v>35.547222222222203</v>
      </c>
      <c r="H842" s="23" t="s">
        <v>29</v>
      </c>
      <c r="I842" s="19">
        <v>155.82</v>
      </c>
      <c r="J842" s="24">
        <v>4.7619047620000003</v>
      </c>
      <c r="K842" s="25">
        <v>7.9</v>
      </c>
      <c r="L842" s="23" t="str">
        <f>VLOOKUP(A842,'Customer-details'!$A$1:$C$1001,2,FALSE)</f>
        <v>Normal</v>
      </c>
      <c r="M842" s="23" t="str">
        <f>VLOOKUP(A842,'Customer-details'!$A$1:$C$1001,3,FALSE)</f>
        <v>Male</v>
      </c>
      <c r="N842" s="23" t="str">
        <f>VLOOKUP(A842,'Product-details'!$A$1:$B$1001,2,FALSE)</f>
        <v>Fashion accessories</v>
      </c>
      <c r="O842" s="23" t="str">
        <f>VLOOKUP(A842,'City-details'!$A$1:$C$1001,3,FALSE)</f>
        <v>Yangon</v>
      </c>
      <c r="P842" s="23" t="str">
        <f>VLOOKUP(A842,'City-details'!$A$1:$C$1001,2,FALSE)</f>
        <v>A</v>
      </c>
      <c r="Q842" s="23" t="str">
        <f t="shared" si="39"/>
        <v>Feb</v>
      </c>
      <c r="R842" s="26" t="str">
        <f t="shared" si="40"/>
        <v>Fri</v>
      </c>
      <c r="S842">
        <f t="shared" si="41"/>
        <v>13</v>
      </c>
      <c r="T842" t="str" cm="1">
        <f t="array" ref="T842">_xlfn.IFS(S842&lt;=12,"Morning",S842&lt;=16,"Afternoon",S842&lt;=21,"Evening",S842&lt;=24,"Night")</f>
        <v>Afternoon</v>
      </c>
    </row>
    <row r="843" spans="1:20" x14ac:dyDescent="0.25">
      <c r="A843" s="31" t="s">
        <v>877</v>
      </c>
      <c r="B843" s="27">
        <v>60.3</v>
      </c>
      <c r="C843" s="28">
        <v>1</v>
      </c>
      <c r="D843" s="27">
        <v>3.0150000000000001</v>
      </c>
      <c r="E843" s="27">
        <v>63.314999999999998</v>
      </c>
      <c r="F843" s="29">
        <v>43524</v>
      </c>
      <c r="G843" s="30">
        <v>35.588888888888903</v>
      </c>
      <c r="H843" s="31" t="s">
        <v>29</v>
      </c>
      <c r="I843" s="27">
        <v>60.3</v>
      </c>
      <c r="J843" s="32">
        <v>4.7619047620000003</v>
      </c>
      <c r="K843" s="33">
        <v>6</v>
      </c>
      <c r="L843" s="31" t="str">
        <f>VLOOKUP(A843,'Customer-details'!$A$1:$C$1001,2,FALSE)</f>
        <v>Normal</v>
      </c>
      <c r="M843" s="31" t="str">
        <f>VLOOKUP(A843,'Customer-details'!$A$1:$C$1001,3,FALSE)</f>
        <v>Male</v>
      </c>
      <c r="N843" s="31" t="str">
        <f>VLOOKUP(A843,'Product-details'!$A$1:$B$1001,2,FALSE)</f>
        <v>Electronic accessories</v>
      </c>
      <c r="O843" s="31" t="str">
        <f>VLOOKUP(A843,'City-details'!$A$1:$C$1001,3,FALSE)</f>
        <v>Mandalay</v>
      </c>
      <c r="P843" s="31" t="str">
        <f>VLOOKUP(A843,'City-details'!$A$1:$C$1001,2,FALSE)</f>
        <v>B</v>
      </c>
      <c r="Q843" s="31" t="str">
        <f t="shared" si="39"/>
        <v>Feb</v>
      </c>
      <c r="R843" s="34" t="str">
        <f t="shared" si="40"/>
        <v>Thu</v>
      </c>
      <c r="S843">
        <f t="shared" si="41"/>
        <v>14</v>
      </c>
      <c r="T843" t="str" cm="1">
        <f t="array" ref="T843">_xlfn.IFS(S843&lt;=12,"Morning",S843&lt;=16,"Afternoon",S843&lt;=21,"Evening",S843&lt;=24,"Night")</f>
        <v>Afternoon</v>
      </c>
    </row>
    <row r="844" spans="1:20" x14ac:dyDescent="0.25">
      <c r="A844" s="23" t="s">
        <v>878</v>
      </c>
      <c r="B844" s="19">
        <v>39.47</v>
      </c>
      <c r="C844" s="20">
        <v>2</v>
      </c>
      <c r="D844" s="19">
        <v>3.9470000000000001</v>
      </c>
      <c r="E844" s="19">
        <v>82.887</v>
      </c>
      <c r="F844" s="21">
        <v>43526</v>
      </c>
      <c r="G844" s="22">
        <v>35.630555555555603</v>
      </c>
      <c r="H844" s="23" t="s">
        <v>33</v>
      </c>
      <c r="I844" s="19">
        <v>78.94</v>
      </c>
      <c r="J844" s="24">
        <v>4.7619047620000003</v>
      </c>
      <c r="K844" s="25">
        <v>5</v>
      </c>
      <c r="L844" s="23" t="str">
        <f>VLOOKUP(A844,'Customer-details'!$A$1:$C$1001,2,FALSE)</f>
        <v>Member</v>
      </c>
      <c r="M844" s="23" t="str">
        <f>VLOOKUP(A844,'Customer-details'!$A$1:$C$1001,3,FALSE)</f>
        <v>Female</v>
      </c>
      <c r="N844" s="23" t="str">
        <f>VLOOKUP(A844,'Product-details'!$A$1:$B$1001,2,FALSE)</f>
        <v>Sports and travel</v>
      </c>
      <c r="O844" s="23" t="str">
        <f>VLOOKUP(A844,'City-details'!$A$1:$C$1001,3,FALSE)</f>
        <v>Yangon</v>
      </c>
      <c r="P844" s="23" t="str">
        <f>VLOOKUP(A844,'City-details'!$A$1:$C$1001,2,FALSE)</f>
        <v>A</v>
      </c>
      <c r="Q844" s="23" t="str">
        <f t="shared" si="39"/>
        <v>Mar</v>
      </c>
      <c r="R844" s="26" t="str">
        <f t="shared" si="40"/>
        <v>Sat</v>
      </c>
      <c r="S844">
        <f t="shared" si="41"/>
        <v>15</v>
      </c>
      <c r="T844" t="str" cm="1">
        <f t="array" ref="T844">_xlfn.IFS(S844&lt;=12,"Morning",S844&lt;=16,"Afternoon",S844&lt;=21,"Evening",S844&lt;=24,"Night")</f>
        <v>Afternoon</v>
      </c>
    </row>
    <row r="845" spans="1:20" x14ac:dyDescent="0.25">
      <c r="A845" s="31" t="s">
        <v>879</v>
      </c>
      <c r="B845" s="27">
        <v>14.87</v>
      </c>
      <c r="C845" s="28">
        <v>2</v>
      </c>
      <c r="D845" s="27">
        <v>1.4870000000000001</v>
      </c>
      <c r="E845" s="27">
        <v>31.227</v>
      </c>
      <c r="F845" s="29">
        <v>43509</v>
      </c>
      <c r="G845" s="30">
        <v>35.672222222222203</v>
      </c>
      <c r="H845" s="31" t="s">
        <v>33</v>
      </c>
      <c r="I845" s="27">
        <v>29.74</v>
      </c>
      <c r="J845" s="32">
        <v>4.7619047620000003</v>
      </c>
      <c r="K845" s="33">
        <v>8.9</v>
      </c>
      <c r="L845" s="31" t="str">
        <f>VLOOKUP(A845,'Customer-details'!$A$1:$C$1001,2,FALSE)</f>
        <v>Member</v>
      </c>
      <c r="M845" s="31" t="str">
        <f>VLOOKUP(A845,'Customer-details'!$A$1:$C$1001,3,FALSE)</f>
        <v>Female</v>
      </c>
      <c r="N845" s="31" t="str">
        <f>VLOOKUP(A845,'Product-details'!$A$1:$B$1001,2,FALSE)</f>
        <v>Food and beverages</v>
      </c>
      <c r="O845" s="31" t="str">
        <f>VLOOKUP(A845,'City-details'!$A$1:$C$1001,3,FALSE)</f>
        <v>Naypyitaw</v>
      </c>
      <c r="P845" s="31" t="str">
        <f>VLOOKUP(A845,'City-details'!$A$1:$C$1001,2,FALSE)</f>
        <v>C</v>
      </c>
      <c r="Q845" s="31" t="str">
        <f t="shared" si="39"/>
        <v>Feb</v>
      </c>
      <c r="R845" s="34" t="str">
        <f t="shared" si="40"/>
        <v>Wed</v>
      </c>
      <c r="S845">
        <f t="shared" si="41"/>
        <v>16</v>
      </c>
      <c r="T845" t="str" cm="1">
        <f t="array" ref="T845">_xlfn.IFS(S845&lt;=12,"Morning",S845&lt;=16,"Afternoon",S845&lt;=21,"Evening",S845&lt;=24,"Night")</f>
        <v>Afternoon</v>
      </c>
    </row>
    <row r="846" spans="1:20" x14ac:dyDescent="0.25">
      <c r="A846" s="23" t="s">
        <v>880</v>
      </c>
      <c r="B846" s="19">
        <v>21.32</v>
      </c>
      <c r="C846" s="20">
        <v>1</v>
      </c>
      <c r="D846" s="19">
        <v>1.0660000000000001</v>
      </c>
      <c r="E846" s="19">
        <v>22.385999999999999</v>
      </c>
      <c r="F846" s="21">
        <v>43491</v>
      </c>
      <c r="G846" s="22">
        <v>35.713888888888903</v>
      </c>
      <c r="H846" s="23" t="s">
        <v>29</v>
      </c>
      <c r="I846" s="19">
        <v>21.32</v>
      </c>
      <c r="J846" s="24">
        <v>4.7619047620000003</v>
      </c>
      <c r="K846" s="25">
        <v>5.9</v>
      </c>
      <c r="L846" s="23" t="str">
        <f>VLOOKUP(A846,'Customer-details'!$A$1:$C$1001,2,FALSE)</f>
        <v>Normal</v>
      </c>
      <c r="M846" s="23" t="str">
        <f>VLOOKUP(A846,'Customer-details'!$A$1:$C$1001,3,FALSE)</f>
        <v>Male</v>
      </c>
      <c r="N846" s="23" t="str">
        <f>VLOOKUP(A846,'Product-details'!$A$1:$B$1001,2,FALSE)</f>
        <v>Fashion accessories</v>
      </c>
      <c r="O846" s="23" t="str">
        <f>VLOOKUP(A846,'City-details'!$A$1:$C$1001,3,FALSE)</f>
        <v>Yangon</v>
      </c>
      <c r="P846" s="23" t="str">
        <f>VLOOKUP(A846,'City-details'!$A$1:$C$1001,2,FALSE)</f>
        <v>A</v>
      </c>
      <c r="Q846" s="23" t="str">
        <f t="shared" si="39"/>
        <v>Jan</v>
      </c>
      <c r="R846" s="26" t="str">
        <f t="shared" si="40"/>
        <v>Sat</v>
      </c>
      <c r="S846">
        <f t="shared" si="41"/>
        <v>17</v>
      </c>
      <c r="T846" t="str" cm="1">
        <f t="array" ref="T846">_xlfn.IFS(S846&lt;=12,"Morning",S846&lt;=16,"Afternoon",S846&lt;=21,"Evening",S846&lt;=24,"Night")</f>
        <v>Evening</v>
      </c>
    </row>
    <row r="847" spans="1:20" x14ac:dyDescent="0.25">
      <c r="A847" s="31" t="s">
        <v>881</v>
      </c>
      <c r="B847" s="27">
        <v>93.78</v>
      </c>
      <c r="C847" s="28">
        <v>3</v>
      </c>
      <c r="D847" s="27">
        <v>14.067</v>
      </c>
      <c r="E847" s="27">
        <v>295.40699999999998</v>
      </c>
      <c r="F847" s="29">
        <v>43495</v>
      </c>
      <c r="G847" s="30">
        <v>35.755555555555603</v>
      </c>
      <c r="H847" s="31" t="s">
        <v>33</v>
      </c>
      <c r="I847" s="27">
        <v>281.33999999999997</v>
      </c>
      <c r="J847" s="32">
        <v>4.7619047620000003</v>
      </c>
      <c r="K847" s="33">
        <v>5.9</v>
      </c>
      <c r="L847" s="31" t="str">
        <f>VLOOKUP(A847,'Customer-details'!$A$1:$C$1001,2,FALSE)</f>
        <v>Member</v>
      </c>
      <c r="M847" s="31" t="str">
        <f>VLOOKUP(A847,'Customer-details'!$A$1:$C$1001,3,FALSE)</f>
        <v>Male</v>
      </c>
      <c r="N847" s="31" t="str">
        <f>VLOOKUP(A847,'Product-details'!$A$1:$B$1001,2,FALSE)</f>
        <v>Electronic accessories</v>
      </c>
      <c r="O847" s="31" t="str">
        <f>VLOOKUP(A847,'City-details'!$A$1:$C$1001,3,FALSE)</f>
        <v>Yangon</v>
      </c>
      <c r="P847" s="31" t="str">
        <f>VLOOKUP(A847,'City-details'!$A$1:$C$1001,2,FALSE)</f>
        <v>A</v>
      </c>
      <c r="Q847" s="31" t="str">
        <f t="shared" si="39"/>
        <v>Jan</v>
      </c>
      <c r="R847" s="34" t="str">
        <f t="shared" si="40"/>
        <v>Wed</v>
      </c>
      <c r="S847">
        <f t="shared" si="41"/>
        <v>18</v>
      </c>
      <c r="T847" t="str" cm="1">
        <f t="array" ref="T847">_xlfn.IFS(S847&lt;=12,"Morning",S847&lt;=16,"Afternoon",S847&lt;=21,"Evening",S847&lt;=24,"Night")</f>
        <v>Evening</v>
      </c>
    </row>
    <row r="848" spans="1:20" x14ac:dyDescent="0.25">
      <c r="A848" s="23" t="s">
        <v>882</v>
      </c>
      <c r="B848" s="19">
        <v>73.260000000000005</v>
      </c>
      <c r="C848" s="20">
        <v>1</v>
      </c>
      <c r="D848" s="19">
        <v>3.6629999999999998</v>
      </c>
      <c r="E848" s="19">
        <v>76.923000000000002</v>
      </c>
      <c r="F848" s="21">
        <v>43492</v>
      </c>
      <c r="G848" s="22">
        <v>35.797222222222203</v>
      </c>
      <c r="H848" s="23" t="s">
        <v>23</v>
      </c>
      <c r="I848" s="19">
        <v>73.260000000000005</v>
      </c>
      <c r="J848" s="24">
        <v>4.7619047620000003</v>
      </c>
      <c r="K848" s="25">
        <v>9.6999999999999993</v>
      </c>
      <c r="L848" s="23" t="str">
        <f>VLOOKUP(A848,'Customer-details'!$A$1:$C$1001,2,FALSE)</f>
        <v>Member</v>
      </c>
      <c r="M848" s="23" t="str">
        <f>VLOOKUP(A848,'Customer-details'!$A$1:$C$1001,3,FALSE)</f>
        <v>Male</v>
      </c>
      <c r="N848" s="23" t="str">
        <f>VLOOKUP(A848,'Product-details'!$A$1:$B$1001,2,FALSE)</f>
        <v>Electronic accessories</v>
      </c>
      <c r="O848" s="23" t="str">
        <f>VLOOKUP(A848,'City-details'!$A$1:$C$1001,3,FALSE)</f>
        <v>Yangon</v>
      </c>
      <c r="P848" s="23" t="str">
        <f>VLOOKUP(A848,'City-details'!$A$1:$C$1001,2,FALSE)</f>
        <v>A</v>
      </c>
      <c r="Q848" s="23" t="str">
        <f t="shared" si="39"/>
        <v>Jan</v>
      </c>
      <c r="R848" s="26" t="str">
        <f t="shared" si="40"/>
        <v>Sun</v>
      </c>
      <c r="S848">
        <f t="shared" si="41"/>
        <v>19</v>
      </c>
      <c r="T848" t="str" cm="1">
        <f t="array" ref="T848">_xlfn.IFS(S848&lt;=12,"Morning",S848&lt;=16,"Afternoon",S848&lt;=21,"Evening",S848&lt;=24,"Night")</f>
        <v>Evening</v>
      </c>
    </row>
    <row r="849" spans="1:20" x14ac:dyDescent="0.25">
      <c r="A849" s="31" t="s">
        <v>883</v>
      </c>
      <c r="B849" s="27">
        <v>22.38</v>
      </c>
      <c r="C849" s="28">
        <v>1</v>
      </c>
      <c r="D849" s="27">
        <v>1.119</v>
      </c>
      <c r="E849" s="27">
        <v>23.498999999999999</v>
      </c>
      <c r="F849" s="29">
        <v>43495</v>
      </c>
      <c r="G849" s="30">
        <v>35.838888888888903</v>
      </c>
      <c r="H849" s="31" t="s">
        <v>33</v>
      </c>
      <c r="I849" s="27">
        <v>22.38</v>
      </c>
      <c r="J849" s="32">
        <v>4.7619047620000003</v>
      </c>
      <c r="K849" s="33">
        <v>8.6</v>
      </c>
      <c r="L849" s="31" t="str">
        <f>VLOOKUP(A849,'Customer-details'!$A$1:$C$1001,2,FALSE)</f>
        <v>Normal</v>
      </c>
      <c r="M849" s="31" t="str">
        <f>VLOOKUP(A849,'Customer-details'!$A$1:$C$1001,3,FALSE)</f>
        <v>Female</v>
      </c>
      <c r="N849" s="31" t="str">
        <f>VLOOKUP(A849,'Product-details'!$A$1:$B$1001,2,FALSE)</f>
        <v>Sports and travel</v>
      </c>
      <c r="O849" s="31" t="str">
        <f>VLOOKUP(A849,'City-details'!$A$1:$C$1001,3,FALSE)</f>
        <v>Naypyitaw</v>
      </c>
      <c r="P849" s="31" t="str">
        <f>VLOOKUP(A849,'City-details'!$A$1:$C$1001,2,FALSE)</f>
        <v>C</v>
      </c>
      <c r="Q849" s="31" t="str">
        <f t="shared" si="39"/>
        <v>Jan</v>
      </c>
      <c r="R849" s="34" t="str">
        <f t="shared" si="40"/>
        <v>Wed</v>
      </c>
      <c r="S849">
        <f t="shared" si="41"/>
        <v>20</v>
      </c>
      <c r="T849" t="str" cm="1">
        <f t="array" ref="T849">_xlfn.IFS(S849&lt;=12,"Morning",S849&lt;=16,"Afternoon",S849&lt;=21,"Evening",S849&lt;=24,"Night")</f>
        <v>Evening</v>
      </c>
    </row>
    <row r="850" spans="1:20" x14ac:dyDescent="0.25">
      <c r="A850" s="23" t="s">
        <v>884</v>
      </c>
      <c r="B850" s="19">
        <v>72.88</v>
      </c>
      <c r="C850" s="20">
        <v>9</v>
      </c>
      <c r="D850" s="19">
        <v>32.795999999999999</v>
      </c>
      <c r="E850" s="19">
        <v>688.71600000000001</v>
      </c>
      <c r="F850" s="21">
        <v>43473</v>
      </c>
      <c r="G850" s="22">
        <v>35.880555555555603</v>
      </c>
      <c r="H850" s="23" t="s">
        <v>29</v>
      </c>
      <c r="I850" s="19">
        <v>655.92</v>
      </c>
      <c r="J850" s="24">
        <v>4.7619047620000003</v>
      </c>
      <c r="K850" s="25">
        <v>4</v>
      </c>
      <c r="L850" s="23" t="str">
        <f>VLOOKUP(A850,'Customer-details'!$A$1:$C$1001,2,FALSE)</f>
        <v>Member</v>
      </c>
      <c r="M850" s="23" t="str">
        <f>VLOOKUP(A850,'Customer-details'!$A$1:$C$1001,3,FALSE)</f>
        <v>Female</v>
      </c>
      <c r="N850" s="23" t="str">
        <f>VLOOKUP(A850,'Product-details'!$A$1:$B$1001,2,FALSE)</f>
        <v>Food and beverages</v>
      </c>
      <c r="O850" s="23" t="str">
        <f>VLOOKUP(A850,'City-details'!$A$1:$C$1001,3,FALSE)</f>
        <v>Naypyitaw</v>
      </c>
      <c r="P850" s="23" t="str">
        <f>VLOOKUP(A850,'City-details'!$A$1:$C$1001,2,FALSE)</f>
        <v>C</v>
      </c>
      <c r="Q850" s="23" t="str">
        <f t="shared" si="39"/>
        <v>Jan</v>
      </c>
      <c r="R850" s="26" t="str">
        <f t="shared" si="40"/>
        <v>Tue</v>
      </c>
      <c r="S850">
        <f t="shared" si="41"/>
        <v>21</v>
      </c>
      <c r="T850" t="str" cm="1">
        <f t="array" ref="T850">_xlfn.IFS(S850&lt;=12,"Morning",S850&lt;=16,"Afternoon",S850&lt;=21,"Evening",S850&lt;=24,"Night")</f>
        <v>Evening</v>
      </c>
    </row>
    <row r="851" spans="1:20" x14ac:dyDescent="0.25">
      <c r="A851" s="31" t="s">
        <v>885</v>
      </c>
      <c r="B851" s="27">
        <v>99.1</v>
      </c>
      <c r="C851" s="28">
        <v>6</v>
      </c>
      <c r="D851" s="27">
        <v>29.73</v>
      </c>
      <c r="E851" s="27">
        <v>624.33000000000004</v>
      </c>
      <c r="F851" s="29">
        <v>43484</v>
      </c>
      <c r="G851" s="30">
        <v>35.922222222222203</v>
      </c>
      <c r="H851" s="31" t="s">
        <v>29</v>
      </c>
      <c r="I851" s="27">
        <v>594.6</v>
      </c>
      <c r="J851" s="32">
        <v>4.7619047620000003</v>
      </c>
      <c r="K851" s="33">
        <v>4.2</v>
      </c>
      <c r="L851" s="31" t="str">
        <f>VLOOKUP(A851,'Customer-details'!$A$1:$C$1001,2,FALSE)</f>
        <v>Normal</v>
      </c>
      <c r="M851" s="31" t="str">
        <f>VLOOKUP(A851,'Customer-details'!$A$1:$C$1001,3,FALSE)</f>
        <v>Female</v>
      </c>
      <c r="N851" s="31" t="str">
        <f>VLOOKUP(A851,'Product-details'!$A$1:$B$1001,2,FALSE)</f>
        <v>Fashion accessories</v>
      </c>
      <c r="O851" s="31" t="str">
        <f>VLOOKUP(A851,'City-details'!$A$1:$C$1001,3,FALSE)</f>
        <v>Yangon</v>
      </c>
      <c r="P851" s="31" t="str">
        <f>VLOOKUP(A851,'City-details'!$A$1:$C$1001,2,FALSE)</f>
        <v>A</v>
      </c>
      <c r="Q851" s="31" t="str">
        <f t="shared" si="39"/>
        <v>Jan</v>
      </c>
      <c r="R851" s="34" t="str">
        <f t="shared" si="40"/>
        <v>Sat</v>
      </c>
      <c r="S851">
        <f t="shared" si="41"/>
        <v>22</v>
      </c>
      <c r="T851" t="str" cm="1">
        <f t="array" ref="T851">_xlfn.IFS(S851&lt;=12,"Morning",S851&lt;=16,"Afternoon",S851&lt;=21,"Evening",S851&lt;=24,"Night")</f>
        <v>Night</v>
      </c>
    </row>
    <row r="852" spans="1:20" x14ac:dyDescent="0.25">
      <c r="A852" s="23" t="s">
        <v>886</v>
      </c>
      <c r="B852" s="19">
        <v>74.099999999999994</v>
      </c>
      <c r="C852" s="20">
        <v>1</v>
      </c>
      <c r="D852" s="19">
        <v>3.7050000000000001</v>
      </c>
      <c r="E852" s="19">
        <v>77.805000000000007</v>
      </c>
      <c r="F852" s="21">
        <v>43490</v>
      </c>
      <c r="G852" s="22">
        <v>35.963888888888903</v>
      </c>
      <c r="H852" s="23" t="s">
        <v>29</v>
      </c>
      <c r="I852" s="19">
        <v>74.099999999999994</v>
      </c>
      <c r="J852" s="24">
        <v>4.7619047620000003</v>
      </c>
      <c r="K852" s="25">
        <v>9.1999999999999993</v>
      </c>
      <c r="L852" s="23" t="str">
        <f>VLOOKUP(A852,'Customer-details'!$A$1:$C$1001,2,FALSE)</f>
        <v>Normal</v>
      </c>
      <c r="M852" s="23" t="str">
        <f>VLOOKUP(A852,'Customer-details'!$A$1:$C$1001,3,FALSE)</f>
        <v>Male</v>
      </c>
      <c r="N852" s="23" t="str">
        <f>VLOOKUP(A852,'Product-details'!$A$1:$B$1001,2,FALSE)</f>
        <v>Fashion accessories</v>
      </c>
      <c r="O852" s="23" t="str">
        <f>VLOOKUP(A852,'City-details'!$A$1:$C$1001,3,FALSE)</f>
        <v>Yangon</v>
      </c>
      <c r="P852" s="23" t="str">
        <f>VLOOKUP(A852,'City-details'!$A$1:$C$1001,2,FALSE)</f>
        <v>A</v>
      </c>
      <c r="Q852" s="23" t="str">
        <f t="shared" si="39"/>
        <v>Jan</v>
      </c>
      <c r="R852" s="26" t="str">
        <f t="shared" si="40"/>
        <v>Fri</v>
      </c>
      <c r="S852">
        <f t="shared" si="41"/>
        <v>23</v>
      </c>
      <c r="T852" t="str" cm="1">
        <f t="array" ref="T852">_xlfn.IFS(S852&lt;=12,"Morning",S852&lt;=16,"Afternoon",S852&lt;=21,"Evening",S852&lt;=24,"Night")</f>
        <v>Night</v>
      </c>
    </row>
    <row r="853" spans="1:20" x14ac:dyDescent="0.25">
      <c r="A853" s="31" t="s">
        <v>887</v>
      </c>
      <c r="B853" s="27">
        <v>98.48</v>
      </c>
      <c r="C853" s="28">
        <v>2</v>
      </c>
      <c r="D853" s="27">
        <v>9.8480000000000008</v>
      </c>
      <c r="E853" s="27">
        <v>206.80799999999999</v>
      </c>
      <c r="F853" s="29">
        <v>43515</v>
      </c>
      <c r="G853" s="30">
        <v>36.005555555555603</v>
      </c>
      <c r="H853" s="31" t="s">
        <v>23</v>
      </c>
      <c r="I853" s="27">
        <v>196.96</v>
      </c>
      <c r="J853" s="32">
        <v>4.7619047620000003</v>
      </c>
      <c r="K853" s="33">
        <v>9.1999999999999993</v>
      </c>
      <c r="L853" s="31" t="str">
        <f>VLOOKUP(A853,'Customer-details'!$A$1:$C$1001,2,FALSE)</f>
        <v>Normal</v>
      </c>
      <c r="M853" s="31" t="str">
        <f>VLOOKUP(A853,'Customer-details'!$A$1:$C$1001,3,FALSE)</f>
        <v>Female</v>
      </c>
      <c r="N853" s="31" t="str">
        <f>VLOOKUP(A853,'Product-details'!$A$1:$B$1001,2,FALSE)</f>
        <v>Fashion accessories</v>
      </c>
      <c r="O853" s="31" t="str">
        <f>VLOOKUP(A853,'City-details'!$A$1:$C$1001,3,FALSE)</f>
        <v>Yangon</v>
      </c>
      <c r="P853" s="31" t="str">
        <f>VLOOKUP(A853,'City-details'!$A$1:$C$1001,2,FALSE)</f>
        <v>A</v>
      </c>
      <c r="Q853" s="31" t="str">
        <f t="shared" si="39"/>
        <v>Feb</v>
      </c>
      <c r="R853" s="34" t="str">
        <f t="shared" si="40"/>
        <v>Tue</v>
      </c>
      <c r="S853">
        <f t="shared" si="41"/>
        <v>0</v>
      </c>
      <c r="T853" t="str" cm="1">
        <f t="array" ref="T853">_xlfn.IFS(S853&lt;=12,"Morning",S853&lt;=16,"Afternoon",S853&lt;=21,"Evening",S853&lt;=24,"Night")</f>
        <v>Morning</v>
      </c>
    </row>
    <row r="854" spans="1:20" x14ac:dyDescent="0.25">
      <c r="A854" s="23" t="s">
        <v>888</v>
      </c>
      <c r="B854" s="19">
        <v>53.19</v>
      </c>
      <c r="C854" s="20">
        <v>7</v>
      </c>
      <c r="D854" s="19">
        <v>18.616499999999998</v>
      </c>
      <c r="E854" s="19">
        <v>390.94650000000001</v>
      </c>
      <c r="F854" s="21">
        <v>43479</v>
      </c>
      <c r="G854" s="22">
        <v>36.047222222222203</v>
      </c>
      <c r="H854" s="23" t="s">
        <v>23</v>
      </c>
      <c r="I854" s="19">
        <v>372.33</v>
      </c>
      <c r="J854" s="24">
        <v>4.7619047620000003</v>
      </c>
      <c r="K854" s="25">
        <v>5</v>
      </c>
      <c r="L854" s="23" t="str">
        <f>VLOOKUP(A854,'Customer-details'!$A$1:$C$1001,2,FALSE)</f>
        <v>Normal</v>
      </c>
      <c r="M854" s="23" t="str">
        <f>VLOOKUP(A854,'Customer-details'!$A$1:$C$1001,3,FALSE)</f>
        <v>Male</v>
      </c>
      <c r="N854" s="23" t="str">
        <f>VLOOKUP(A854,'Product-details'!$A$1:$B$1001,2,FALSE)</f>
        <v>Health and beauty</v>
      </c>
      <c r="O854" s="23" t="str">
        <f>VLOOKUP(A854,'City-details'!$A$1:$C$1001,3,FALSE)</f>
        <v>Naypyitaw</v>
      </c>
      <c r="P854" s="23" t="str">
        <f>VLOOKUP(A854,'City-details'!$A$1:$C$1001,2,FALSE)</f>
        <v>C</v>
      </c>
      <c r="Q854" s="23" t="str">
        <f t="shared" si="39"/>
        <v>Jan</v>
      </c>
      <c r="R854" s="26" t="str">
        <f t="shared" si="40"/>
        <v>Mon</v>
      </c>
      <c r="S854">
        <f t="shared" si="41"/>
        <v>1</v>
      </c>
      <c r="T854" t="str" cm="1">
        <f t="array" ref="T854">_xlfn.IFS(S854&lt;=12,"Morning",S854&lt;=16,"Afternoon",S854&lt;=21,"Evening",S854&lt;=24,"Night")</f>
        <v>Morning</v>
      </c>
    </row>
    <row r="855" spans="1:20" x14ac:dyDescent="0.25">
      <c r="A855" s="31" t="s">
        <v>889</v>
      </c>
      <c r="B855" s="27">
        <v>52.79</v>
      </c>
      <c r="C855" s="28">
        <v>10</v>
      </c>
      <c r="D855" s="27">
        <v>26.395</v>
      </c>
      <c r="E855" s="27">
        <v>554.29499999999996</v>
      </c>
      <c r="F855" s="29">
        <v>43521</v>
      </c>
      <c r="G855" s="30">
        <v>36.088888888888903</v>
      </c>
      <c r="H855" s="31" t="s">
        <v>23</v>
      </c>
      <c r="I855" s="27">
        <v>527.9</v>
      </c>
      <c r="J855" s="32">
        <v>4.7619047620000003</v>
      </c>
      <c r="K855" s="33">
        <v>10</v>
      </c>
      <c r="L855" s="31" t="str">
        <f>VLOOKUP(A855,'Customer-details'!$A$1:$C$1001,2,FALSE)</f>
        <v>Normal</v>
      </c>
      <c r="M855" s="31" t="str">
        <f>VLOOKUP(A855,'Customer-details'!$A$1:$C$1001,3,FALSE)</f>
        <v>Female</v>
      </c>
      <c r="N855" s="31" t="str">
        <f>VLOOKUP(A855,'Product-details'!$A$1:$B$1001,2,FALSE)</f>
        <v>Electronic accessories</v>
      </c>
      <c r="O855" s="31" t="str">
        <f>VLOOKUP(A855,'City-details'!$A$1:$C$1001,3,FALSE)</f>
        <v>Mandalay</v>
      </c>
      <c r="P855" s="31" t="str">
        <f>VLOOKUP(A855,'City-details'!$A$1:$C$1001,2,FALSE)</f>
        <v>B</v>
      </c>
      <c r="Q855" s="31" t="str">
        <f t="shared" si="39"/>
        <v>Feb</v>
      </c>
      <c r="R855" s="34" t="str">
        <f t="shared" si="40"/>
        <v>Mon</v>
      </c>
      <c r="S855">
        <f t="shared" si="41"/>
        <v>2</v>
      </c>
      <c r="T855" t="str" cm="1">
        <f t="array" ref="T855">_xlfn.IFS(S855&lt;=12,"Morning",S855&lt;=16,"Afternoon",S855&lt;=21,"Evening",S855&lt;=24,"Night")</f>
        <v>Morning</v>
      </c>
    </row>
    <row r="856" spans="1:20" x14ac:dyDescent="0.25">
      <c r="A856" s="23" t="s">
        <v>890</v>
      </c>
      <c r="B856" s="19">
        <v>95.95</v>
      </c>
      <c r="C856" s="20">
        <v>5</v>
      </c>
      <c r="D856" s="19">
        <v>23.987500000000001</v>
      </c>
      <c r="E856" s="19">
        <v>503.73750000000001</v>
      </c>
      <c r="F856" s="21">
        <v>43488</v>
      </c>
      <c r="G856" s="22">
        <v>36.130555555555603</v>
      </c>
      <c r="H856" s="23" t="s">
        <v>23</v>
      </c>
      <c r="I856" s="19">
        <v>479.75</v>
      </c>
      <c r="J856" s="24">
        <v>4.7619047620000003</v>
      </c>
      <c r="K856" s="25">
        <v>8.8000000000000007</v>
      </c>
      <c r="L856" s="23" t="str">
        <f>VLOOKUP(A856,'Customer-details'!$A$1:$C$1001,2,FALSE)</f>
        <v>Member</v>
      </c>
      <c r="M856" s="23" t="str">
        <f>VLOOKUP(A856,'Customer-details'!$A$1:$C$1001,3,FALSE)</f>
        <v>Female</v>
      </c>
      <c r="N856" s="23" t="str">
        <f>VLOOKUP(A856,'Product-details'!$A$1:$B$1001,2,FALSE)</f>
        <v>Health and beauty</v>
      </c>
      <c r="O856" s="23" t="str">
        <f>VLOOKUP(A856,'City-details'!$A$1:$C$1001,3,FALSE)</f>
        <v>Yangon</v>
      </c>
      <c r="P856" s="23" t="str">
        <f>VLOOKUP(A856,'City-details'!$A$1:$C$1001,2,FALSE)</f>
        <v>A</v>
      </c>
      <c r="Q856" s="23" t="str">
        <f t="shared" si="39"/>
        <v>Jan</v>
      </c>
      <c r="R856" s="26" t="str">
        <f t="shared" si="40"/>
        <v>Wed</v>
      </c>
      <c r="S856">
        <f t="shared" si="41"/>
        <v>3</v>
      </c>
      <c r="T856" t="str" cm="1">
        <f t="array" ref="T856">_xlfn.IFS(S856&lt;=12,"Morning",S856&lt;=16,"Afternoon",S856&lt;=21,"Evening",S856&lt;=24,"Night")</f>
        <v>Morning</v>
      </c>
    </row>
    <row r="857" spans="1:20" x14ac:dyDescent="0.25">
      <c r="A857" s="31" t="s">
        <v>891</v>
      </c>
      <c r="B857" s="27">
        <v>36.51</v>
      </c>
      <c r="C857" s="28">
        <v>9</v>
      </c>
      <c r="D857" s="27">
        <v>16.429500000000001</v>
      </c>
      <c r="E857" s="27">
        <v>345.01949999999999</v>
      </c>
      <c r="F857" s="29">
        <v>43512</v>
      </c>
      <c r="G857" s="30">
        <v>36.172222222222203</v>
      </c>
      <c r="H857" s="31" t="s">
        <v>29</v>
      </c>
      <c r="I857" s="27">
        <v>328.59</v>
      </c>
      <c r="J857" s="32">
        <v>4.7619047620000003</v>
      </c>
      <c r="K857" s="33">
        <v>4.2</v>
      </c>
      <c r="L857" s="31" t="str">
        <f>VLOOKUP(A857,'Customer-details'!$A$1:$C$1001,2,FALSE)</f>
        <v>Normal</v>
      </c>
      <c r="M857" s="31" t="str">
        <f>VLOOKUP(A857,'Customer-details'!$A$1:$C$1001,3,FALSE)</f>
        <v>Female</v>
      </c>
      <c r="N857" s="31" t="str">
        <f>VLOOKUP(A857,'Product-details'!$A$1:$B$1001,2,FALSE)</f>
        <v>Fashion accessories</v>
      </c>
      <c r="O857" s="31" t="str">
        <f>VLOOKUP(A857,'City-details'!$A$1:$C$1001,3,FALSE)</f>
        <v>Mandalay</v>
      </c>
      <c r="P857" s="31" t="str">
        <f>VLOOKUP(A857,'City-details'!$A$1:$C$1001,2,FALSE)</f>
        <v>B</v>
      </c>
      <c r="Q857" s="31" t="str">
        <f t="shared" si="39"/>
        <v>Feb</v>
      </c>
      <c r="R857" s="34" t="str">
        <f t="shared" si="40"/>
        <v>Sat</v>
      </c>
      <c r="S857">
        <f t="shared" si="41"/>
        <v>4</v>
      </c>
      <c r="T857" t="str" cm="1">
        <f t="array" ref="T857">_xlfn.IFS(S857&lt;=12,"Morning",S857&lt;=16,"Afternoon",S857&lt;=21,"Evening",S857&lt;=24,"Night")</f>
        <v>Morning</v>
      </c>
    </row>
    <row r="858" spans="1:20" x14ac:dyDescent="0.25">
      <c r="A858" s="23" t="s">
        <v>892</v>
      </c>
      <c r="B858" s="19">
        <v>21.12</v>
      </c>
      <c r="C858" s="20">
        <v>8</v>
      </c>
      <c r="D858" s="19">
        <v>8.4480000000000004</v>
      </c>
      <c r="E858" s="19">
        <v>177.40799999999999</v>
      </c>
      <c r="F858" s="21">
        <v>43466</v>
      </c>
      <c r="G858" s="22">
        <v>36.213888888888903</v>
      </c>
      <c r="H858" s="23" t="s">
        <v>29</v>
      </c>
      <c r="I858" s="19">
        <v>168.96</v>
      </c>
      <c r="J858" s="24">
        <v>4.7619047620000003</v>
      </c>
      <c r="K858" s="25">
        <v>6.3</v>
      </c>
      <c r="L858" s="23" t="str">
        <f>VLOOKUP(A858,'Customer-details'!$A$1:$C$1001,2,FALSE)</f>
        <v>Normal</v>
      </c>
      <c r="M858" s="23" t="str">
        <f>VLOOKUP(A858,'Customer-details'!$A$1:$C$1001,3,FALSE)</f>
        <v>Male</v>
      </c>
      <c r="N858" s="23" t="str">
        <f>VLOOKUP(A858,'Product-details'!$A$1:$B$1001,2,FALSE)</f>
        <v>Food and beverages</v>
      </c>
      <c r="O858" s="23" t="str">
        <f>VLOOKUP(A858,'City-details'!$A$1:$C$1001,3,FALSE)</f>
        <v>Mandalay</v>
      </c>
      <c r="P858" s="23" t="str">
        <f>VLOOKUP(A858,'City-details'!$A$1:$C$1001,2,FALSE)</f>
        <v>B</v>
      </c>
      <c r="Q858" s="23" t="str">
        <f t="shared" si="39"/>
        <v>Jan</v>
      </c>
      <c r="R858" s="26" t="str">
        <f t="shared" si="40"/>
        <v>Tue</v>
      </c>
      <c r="S858">
        <f t="shared" si="41"/>
        <v>5</v>
      </c>
      <c r="T858" t="str" cm="1">
        <f t="array" ref="T858">_xlfn.IFS(S858&lt;=12,"Morning",S858&lt;=16,"Afternoon",S858&lt;=21,"Evening",S858&lt;=24,"Night")</f>
        <v>Morning</v>
      </c>
    </row>
    <row r="859" spans="1:20" x14ac:dyDescent="0.25">
      <c r="A859" s="31" t="s">
        <v>893</v>
      </c>
      <c r="B859" s="27">
        <v>28.31</v>
      </c>
      <c r="C859" s="28">
        <v>4</v>
      </c>
      <c r="D859" s="27">
        <v>5.6619999999999999</v>
      </c>
      <c r="E859" s="27">
        <v>118.902</v>
      </c>
      <c r="F859" s="29">
        <v>43531</v>
      </c>
      <c r="G859" s="30">
        <v>36.255555555555603</v>
      </c>
      <c r="H859" s="31" t="s">
        <v>29</v>
      </c>
      <c r="I859" s="27">
        <v>113.24</v>
      </c>
      <c r="J859" s="32">
        <v>4.7619047620000003</v>
      </c>
      <c r="K859" s="33">
        <v>8.1999999999999993</v>
      </c>
      <c r="L859" s="31" t="str">
        <f>VLOOKUP(A859,'Customer-details'!$A$1:$C$1001,2,FALSE)</f>
        <v>Member</v>
      </c>
      <c r="M859" s="31" t="str">
        <f>VLOOKUP(A859,'Customer-details'!$A$1:$C$1001,3,FALSE)</f>
        <v>Female</v>
      </c>
      <c r="N859" s="31" t="str">
        <f>VLOOKUP(A859,'Product-details'!$A$1:$B$1001,2,FALSE)</f>
        <v>Home and lifestyle</v>
      </c>
      <c r="O859" s="31" t="str">
        <f>VLOOKUP(A859,'City-details'!$A$1:$C$1001,3,FALSE)</f>
        <v>Yangon</v>
      </c>
      <c r="P859" s="31" t="str">
        <f>VLOOKUP(A859,'City-details'!$A$1:$C$1001,2,FALSE)</f>
        <v>A</v>
      </c>
      <c r="Q859" s="31" t="str">
        <f t="shared" si="39"/>
        <v>Mar</v>
      </c>
      <c r="R859" s="34" t="str">
        <f t="shared" si="40"/>
        <v>Thu</v>
      </c>
      <c r="S859">
        <f t="shared" si="41"/>
        <v>6</v>
      </c>
      <c r="T859" t="str" cm="1">
        <f t="array" ref="T859">_xlfn.IFS(S859&lt;=12,"Morning",S859&lt;=16,"Afternoon",S859&lt;=21,"Evening",S859&lt;=24,"Night")</f>
        <v>Morning</v>
      </c>
    </row>
    <row r="860" spans="1:20" x14ac:dyDescent="0.25">
      <c r="A860" s="23" t="s">
        <v>894</v>
      </c>
      <c r="B860" s="19">
        <v>57.59</v>
      </c>
      <c r="C860" s="20">
        <v>6</v>
      </c>
      <c r="D860" s="19">
        <v>17.277000000000001</v>
      </c>
      <c r="E860" s="19">
        <v>362.81700000000001</v>
      </c>
      <c r="F860" s="21">
        <v>43511</v>
      </c>
      <c r="G860" s="22">
        <v>36.297222222222203</v>
      </c>
      <c r="H860" s="23" t="s">
        <v>29</v>
      </c>
      <c r="I860" s="19">
        <v>345.54</v>
      </c>
      <c r="J860" s="24">
        <v>4.7619047620000003</v>
      </c>
      <c r="K860" s="25">
        <v>5.0999999999999996</v>
      </c>
      <c r="L860" s="23" t="str">
        <f>VLOOKUP(A860,'Customer-details'!$A$1:$C$1001,2,FALSE)</f>
        <v>Normal</v>
      </c>
      <c r="M860" s="23" t="str">
        <f>VLOOKUP(A860,'Customer-details'!$A$1:$C$1001,3,FALSE)</f>
        <v>Male</v>
      </c>
      <c r="N860" s="23" t="str">
        <f>VLOOKUP(A860,'Product-details'!$A$1:$B$1001,2,FALSE)</f>
        <v>Health and beauty</v>
      </c>
      <c r="O860" s="23" t="str">
        <f>VLOOKUP(A860,'City-details'!$A$1:$C$1001,3,FALSE)</f>
        <v>Mandalay</v>
      </c>
      <c r="P860" s="23" t="str">
        <f>VLOOKUP(A860,'City-details'!$A$1:$C$1001,2,FALSE)</f>
        <v>B</v>
      </c>
      <c r="Q860" s="23" t="str">
        <f t="shared" si="39"/>
        <v>Feb</v>
      </c>
      <c r="R860" s="26" t="str">
        <f t="shared" si="40"/>
        <v>Fri</v>
      </c>
      <c r="S860">
        <f t="shared" si="41"/>
        <v>7</v>
      </c>
      <c r="T860" t="str" cm="1">
        <f t="array" ref="T860">_xlfn.IFS(S860&lt;=12,"Morning",S860&lt;=16,"Afternoon",S860&lt;=21,"Evening",S860&lt;=24,"Night")</f>
        <v>Morning</v>
      </c>
    </row>
    <row r="861" spans="1:20" x14ac:dyDescent="0.25">
      <c r="A861" s="31" t="s">
        <v>895</v>
      </c>
      <c r="B861" s="27">
        <v>47.63</v>
      </c>
      <c r="C861" s="28">
        <v>9</v>
      </c>
      <c r="D861" s="27">
        <v>21.433499999999999</v>
      </c>
      <c r="E861" s="27">
        <v>450.1035</v>
      </c>
      <c r="F861" s="29">
        <v>43488</v>
      </c>
      <c r="G861" s="30">
        <v>36.338888888888903</v>
      </c>
      <c r="H861" s="31" t="s">
        <v>29</v>
      </c>
      <c r="I861" s="27">
        <v>428.67</v>
      </c>
      <c r="J861" s="32">
        <v>4.7619047620000003</v>
      </c>
      <c r="K861" s="33">
        <v>5</v>
      </c>
      <c r="L861" s="31" t="str">
        <f>VLOOKUP(A861,'Customer-details'!$A$1:$C$1001,2,FALSE)</f>
        <v>Member</v>
      </c>
      <c r="M861" s="31" t="str">
        <f>VLOOKUP(A861,'Customer-details'!$A$1:$C$1001,3,FALSE)</f>
        <v>Female</v>
      </c>
      <c r="N861" s="31" t="str">
        <f>VLOOKUP(A861,'Product-details'!$A$1:$B$1001,2,FALSE)</f>
        <v>Food and beverages</v>
      </c>
      <c r="O861" s="31" t="str">
        <f>VLOOKUP(A861,'City-details'!$A$1:$C$1001,3,FALSE)</f>
        <v>Yangon</v>
      </c>
      <c r="P861" s="31" t="str">
        <f>VLOOKUP(A861,'City-details'!$A$1:$C$1001,2,FALSE)</f>
        <v>A</v>
      </c>
      <c r="Q861" s="31" t="str">
        <f t="shared" si="39"/>
        <v>Jan</v>
      </c>
      <c r="R861" s="34" t="str">
        <f t="shared" si="40"/>
        <v>Wed</v>
      </c>
      <c r="S861">
        <f t="shared" si="41"/>
        <v>8</v>
      </c>
      <c r="T861" t="str" cm="1">
        <f t="array" ref="T861">_xlfn.IFS(S861&lt;=12,"Morning",S861&lt;=16,"Afternoon",S861&lt;=21,"Evening",S861&lt;=24,"Night")</f>
        <v>Morning</v>
      </c>
    </row>
    <row r="862" spans="1:20" x14ac:dyDescent="0.25">
      <c r="A862" s="23" t="s">
        <v>896</v>
      </c>
      <c r="B862" s="19">
        <v>86.27</v>
      </c>
      <c r="C862" s="20">
        <v>1</v>
      </c>
      <c r="D862" s="19">
        <v>4.3135000000000003</v>
      </c>
      <c r="E862" s="19">
        <v>90.583500000000001</v>
      </c>
      <c r="F862" s="21">
        <v>43516</v>
      </c>
      <c r="G862" s="22">
        <v>36.380555555555603</v>
      </c>
      <c r="H862" s="23" t="s">
        <v>23</v>
      </c>
      <c r="I862" s="19">
        <v>86.27</v>
      </c>
      <c r="J862" s="24">
        <v>4.7619047620000003</v>
      </c>
      <c r="K862" s="25">
        <v>7</v>
      </c>
      <c r="L862" s="23" t="str">
        <f>VLOOKUP(A862,'Customer-details'!$A$1:$C$1001,2,FALSE)</f>
        <v>Member</v>
      </c>
      <c r="M862" s="23" t="str">
        <f>VLOOKUP(A862,'Customer-details'!$A$1:$C$1001,3,FALSE)</f>
        <v>Female</v>
      </c>
      <c r="N862" s="23" t="str">
        <f>VLOOKUP(A862,'Product-details'!$A$1:$B$1001,2,FALSE)</f>
        <v>Home and lifestyle</v>
      </c>
      <c r="O862" s="23" t="str">
        <f>VLOOKUP(A862,'City-details'!$A$1:$C$1001,3,FALSE)</f>
        <v>Naypyitaw</v>
      </c>
      <c r="P862" s="23" t="str">
        <f>VLOOKUP(A862,'City-details'!$A$1:$C$1001,2,FALSE)</f>
        <v>C</v>
      </c>
      <c r="Q862" s="23" t="str">
        <f t="shared" si="39"/>
        <v>Feb</v>
      </c>
      <c r="R862" s="26" t="str">
        <f t="shared" si="40"/>
        <v>Wed</v>
      </c>
      <c r="S862">
        <f t="shared" si="41"/>
        <v>9</v>
      </c>
      <c r="T862" t="str" cm="1">
        <f t="array" ref="T862">_xlfn.IFS(S862&lt;=12,"Morning",S862&lt;=16,"Afternoon",S862&lt;=21,"Evening",S862&lt;=24,"Night")</f>
        <v>Morning</v>
      </c>
    </row>
    <row r="863" spans="1:20" x14ac:dyDescent="0.25">
      <c r="A863" s="31" t="s">
        <v>897</v>
      </c>
      <c r="B863" s="27">
        <v>12.76</v>
      </c>
      <c r="C863" s="28">
        <v>2</v>
      </c>
      <c r="D863" s="27">
        <v>1.276</v>
      </c>
      <c r="E863" s="27">
        <v>26.795999999999999</v>
      </c>
      <c r="F863" s="29">
        <v>43473</v>
      </c>
      <c r="G863" s="30">
        <v>36.422222222222203</v>
      </c>
      <c r="H863" s="31" t="s">
        <v>23</v>
      </c>
      <c r="I863" s="27">
        <v>25.52</v>
      </c>
      <c r="J863" s="32">
        <v>4.7619047620000003</v>
      </c>
      <c r="K863" s="33">
        <v>7.8</v>
      </c>
      <c r="L863" s="31" t="str">
        <f>VLOOKUP(A863,'Customer-details'!$A$1:$C$1001,2,FALSE)</f>
        <v>Member</v>
      </c>
      <c r="M863" s="31" t="str">
        <f>VLOOKUP(A863,'Customer-details'!$A$1:$C$1001,3,FALSE)</f>
        <v>Male</v>
      </c>
      <c r="N863" s="31" t="str">
        <f>VLOOKUP(A863,'Product-details'!$A$1:$B$1001,2,FALSE)</f>
        <v>Sports and travel</v>
      </c>
      <c r="O863" s="31" t="str">
        <f>VLOOKUP(A863,'City-details'!$A$1:$C$1001,3,FALSE)</f>
        <v>Yangon</v>
      </c>
      <c r="P863" s="31" t="str">
        <f>VLOOKUP(A863,'City-details'!$A$1:$C$1001,2,FALSE)</f>
        <v>A</v>
      </c>
      <c r="Q863" s="31" t="str">
        <f t="shared" si="39"/>
        <v>Jan</v>
      </c>
      <c r="R863" s="34" t="str">
        <f t="shared" si="40"/>
        <v>Tue</v>
      </c>
      <c r="S863">
        <f t="shared" si="41"/>
        <v>10</v>
      </c>
      <c r="T863" t="str" cm="1">
        <f t="array" ref="T863">_xlfn.IFS(S863&lt;=12,"Morning",S863&lt;=16,"Afternoon",S863&lt;=21,"Evening",S863&lt;=24,"Night")</f>
        <v>Morning</v>
      </c>
    </row>
    <row r="864" spans="1:20" x14ac:dyDescent="0.25">
      <c r="A864" s="23" t="s">
        <v>898</v>
      </c>
      <c r="B864" s="19">
        <v>11.28</v>
      </c>
      <c r="C864" s="20">
        <v>9</v>
      </c>
      <c r="D864" s="19">
        <v>5.0759999999999996</v>
      </c>
      <c r="E864" s="19">
        <v>106.596</v>
      </c>
      <c r="F864" s="21">
        <v>43541</v>
      </c>
      <c r="G864" s="22">
        <v>36.463888888888903</v>
      </c>
      <c r="H864" s="23" t="s">
        <v>33</v>
      </c>
      <c r="I864" s="19">
        <v>101.52</v>
      </c>
      <c r="J864" s="24">
        <v>4.7619047620000003</v>
      </c>
      <c r="K864" s="25">
        <v>4.3</v>
      </c>
      <c r="L864" s="23" t="str">
        <f>VLOOKUP(A864,'Customer-details'!$A$1:$C$1001,2,FALSE)</f>
        <v>Normal</v>
      </c>
      <c r="M864" s="23" t="str">
        <f>VLOOKUP(A864,'Customer-details'!$A$1:$C$1001,3,FALSE)</f>
        <v>Female</v>
      </c>
      <c r="N864" s="23" t="str">
        <f>VLOOKUP(A864,'Product-details'!$A$1:$B$1001,2,FALSE)</f>
        <v>Home and lifestyle</v>
      </c>
      <c r="O864" s="23" t="str">
        <f>VLOOKUP(A864,'City-details'!$A$1:$C$1001,3,FALSE)</f>
        <v>Mandalay</v>
      </c>
      <c r="P864" s="23" t="str">
        <f>VLOOKUP(A864,'City-details'!$A$1:$C$1001,2,FALSE)</f>
        <v>B</v>
      </c>
      <c r="Q864" s="23" t="str">
        <f t="shared" si="39"/>
        <v>Mar</v>
      </c>
      <c r="R864" s="26" t="str">
        <f t="shared" si="40"/>
        <v>Sun</v>
      </c>
      <c r="S864">
        <f t="shared" si="41"/>
        <v>11</v>
      </c>
      <c r="T864" t="str" cm="1">
        <f t="array" ref="T864">_xlfn.IFS(S864&lt;=12,"Morning",S864&lt;=16,"Afternoon",S864&lt;=21,"Evening",S864&lt;=24,"Night")</f>
        <v>Morning</v>
      </c>
    </row>
    <row r="865" spans="1:20" x14ac:dyDescent="0.25">
      <c r="A865" s="31" t="s">
        <v>899</v>
      </c>
      <c r="B865" s="27">
        <v>51.07</v>
      </c>
      <c r="C865" s="28">
        <v>7</v>
      </c>
      <c r="D865" s="27">
        <v>17.874500000000001</v>
      </c>
      <c r="E865" s="27">
        <v>375.36450000000002</v>
      </c>
      <c r="F865" s="29">
        <v>43477</v>
      </c>
      <c r="G865" s="30">
        <v>36.505555555555603</v>
      </c>
      <c r="H865" s="31" t="s">
        <v>29</v>
      </c>
      <c r="I865" s="27">
        <v>357.49</v>
      </c>
      <c r="J865" s="32">
        <v>4.7619047620000003</v>
      </c>
      <c r="K865" s="33">
        <v>7</v>
      </c>
      <c r="L865" s="31" t="str">
        <f>VLOOKUP(A865,'Customer-details'!$A$1:$C$1001,2,FALSE)</f>
        <v>Normal</v>
      </c>
      <c r="M865" s="31" t="str">
        <f>VLOOKUP(A865,'Customer-details'!$A$1:$C$1001,3,FALSE)</f>
        <v>Female</v>
      </c>
      <c r="N865" s="31" t="str">
        <f>VLOOKUP(A865,'Product-details'!$A$1:$B$1001,2,FALSE)</f>
        <v>Home and lifestyle</v>
      </c>
      <c r="O865" s="31" t="str">
        <f>VLOOKUP(A865,'City-details'!$A$1:$C$1001,3,FALSE)</f>
        <v>Mandalay</v>
      </c>
      <c r="P865" s="31" t="str">
        <f>VLOOKUP(A865,'City-details'!$A$1:$C$1001,2,FALSE)</f>
        <v>B</v>
      </c>
      <c r="Q865" s="31" t="str">
        <f t="shared" si="39"/>
        <v>Jan</v>
      </c>
      <c r="R865" s="34" t="str">
        <f t="shared" si="40"/>
        <v>Sat</v>
      </c>
      <c r="S865">
        <f t="shared" si="41"/>
        <v>12</v>
      </c>
      <c r="T865" t="str" cm="1">
        <f t="array" ref="T865">_xlfn.IFS(S865&lt;=12,"Morning",S865&lt;=16,"Afternoon",S865&lt;=21,"Evening",S865&lt;=24,"Night")</f>
        <v>Morning</v>
      </c>
    </row>
    <row r="866" spans="1:20" x14ac:dyDescent="0.25">
      <c r="A866" s="23" t="s">
        <v>900</v>
      </c>
      <c r="B866" s="19">
        <v>79.59</v>
      </c>
      <c r="C866" s="20">
        <v>3</v>
      </c>
      <c r="D866" s="19">
        <v>11.938499999999999</v>
      </c>
      <c r="E866" s="19">
        <v>250.70849999999999</v>
      </c>
      <c r="F866" s="21">
        <v>43473</v>
      </c>
      <c r="G866" s="22">
        <v>36.547222222222203</v>
      </c>
      <c r="H866" s="23" t="s">
        <v>29</v>
      </c>
      <c r="I866" s="19">
        <v>238.77</v>
      </c>
      <c r="J866" s="24">
        <v>4.7619047620000003</v>
      </c>
      <c r="K866" s="25">
        <v>6.6</v>
      </c>
      <c r="L866" s="23" t="str">
        <f>VLOOKUP(A866,'Customer-details'!$A$1:$C$1001,2,FALSE)</f>
        <v>Member</v>
      </c>
      <c r="M866" s="23" t="str">
        <f>VLOOKUP(A866,'Customer-details'!$A$1:$C$1001,3,FALSE)</f>
        <v>Female</v>
      </c>
      <c r="N866" s="23" t="str">
        <f>VLOOKUP(A866,'Product-details'!$A$1:$B$1001,2,FALSE)</f>
        <v>Electronic accessories</v>
      </c>
      <c r="O866" s="23" t="str">
        <f>VLOOKUP(A866,'City-details'!$A$1:$C$1001,3,FALSE)</f>
        <v>Yangon</v>
      </c>
      <c r="P866" s="23" t="str">
        <f>VLOOKUP(A866,'City-details'!$A$1:$C$1001,2,FALSE)</f>
        <v>A</v>
      </c>
      <c r="Q866" s="23" t="str">
        <f t="shared" si="39"/>
        <v>Jan</v>
      </c>
      <c r="R866" s="26" t="str">
        <f t="shared" si="40"/>
        <v>Tue</v>
      </c>
      <c r="S866">
        <f t="shared" si="41"/>
        <v>13</v>
      </c>
      <c r="T866" t="str" cm="1">
        <f t="array" ref="T866">_xlfn.IFS(S866&lt;=12,"Morning",S866&lt;=16,"Afternoon",S866&lt;=21,"Evening",S866&lt;=24,"Night")</f>
        <v>Afternoon</v>
      </c>
    </row>
    <row r="867" spans="1:20" x14ac:dyDescent="0.25">
      <c r="A867" s="31" t="s">
        <v>901</v>
      </c>
      <c r="B867" s="27">
        <v>33.81</v>
      </c>
      <c r="C867" s="28">
        <v>3</v>
      </c>
      <c r="D867" s="27">
        <v>5.0715000000000003</v>
      </c>
      <c r="E867" s="27">
        <v>106.50149999999999</v>
      </c>
      <c r="F867" s="29">
        <v>43491</v>
      </c>
      <c r="G867" s="30">
        <v>36.588888888888903</v>
      </c>
      <c r="H867" s="31" t="s">
        <v>23</v>
      </c>
      <c r="I867" s="27">
        <v>101.43</v>
      </c>
      <c r="J867" s="32">
        <v>4.7619047620000003</v>
      </c>
      <c r="K867" s="33">
        <v>7.3</v>
      </c>
      <c r="L867" s="31" t="str">
        <f>VLOOKUP(A867,'Customer-details'!$A$1:$C$1001,2,FALSE)</f>
        <v>Member</v>
      </c>
      <c r="M867" s="31" t="str">
        <f>VLOOKUP(A867,'Customer-details'!$A$1:$C$1001,3,FALSE)</f>
        <v>Male</v>
      </c>
      <c r="N867" s="31" t="str">
        <f>VLOOKUP(A867,'Product-details'!$A$1:$B$1001,2,FALSE)</f>
        <v>Health and beauty</v>
      </c>
      <c r="O867" s="31" t="str">
        <f>VLOOKUP(A867,'City-details'!$A$1:$C$1001,3,FALSE)</f>
        <v>Naypyitaw</v>
      </c>
      <c r="P867" s="31" t="str">
        <f>VLOOKUP(A867,'City-details'!$A$1:$C$1001,2,FALSE)</f>
        <v>C</v>
      </c>
      <c r="Q867" s="31" t="str">
        <f t="shared" si="39"/>
        <v>Jan</v>
      </c>
      <c r="R867" s="34" t="str">
        <f t="shared" si="40"/>
        <v>Sat</v>
      </c>
      <c r="S867">
        <f t="shared" si="41"/>
        <v>14</v>
      </c>
      <c r="T867" t="str" cm="1">
        <f t="array" ref="T867">_xlfn.IFS(S867&lt;=12,"Morning",S867&lt;=16,"Afternoon",S867&lt;=21,"Evening",S867&lt;=24,"Night")</f>
        <v>Afternoon</v>
      </c>
    </row>
    <row r="868" spans="1:20" x14ac:dyDescent="0.25">
      <c r="A868" s="23" t="s">
        <v>902</v>
      </c>
      <c r="B868" s="19">
        <v>90.53</v>
      </c>
      <c r="C868" s="20">
        <v>8</v>
      </c>
      <c r="D868" s="19">
        <v>36.212000000000003</v>
      </c>
      <c r="E868" s="19">
        <v>760.452</v>
      </c>
      <c r="F868" s="21">
        <v>43539</v>
      </c>
      <c r="G868" s="22">
        <v>36.630555555555603</v>
      </c>
      <c r="H868" s="23" t="s">
        <v>33</v>
      </c>
      <c r="I868" s="19">
        <v>724.24</v>
      </c>
      <c r="J868" s="24">
        <v>4.7619047620000003</v>
      </c>
      <c r="K868" s="25">
        <v>6.5</v>
      </c>
      <c r="L868" s="23" t="str">
        <f>VLOOKUP(A868,'Customer-details'!$A$1:$C$1001,2,FALSE)</f>
        <v>Member</v>
      </c>
      <c r="M868" s="23" t="str">
        <f>VLOOKUP(A868,'Customer-details'!$A$1:$C$1001,3,FALSE)</f>
        <v>Male</v>
      </c>
      <c r="N868" s="23" t="str">
        <f>VLOOKUP(A868,'Product-details'!$A$1:$B$1001,2,FALSE)</f>
        <v>Sports and travel</v>
      </c>
      <c r="O868" s="23" t="str">
        <f>VLOOKUP(A868,'City-details'!$A$1:$C$1001,3,FALSE)</f>
        <v>Mandalay</v>
      </c>
      <c r="P868" s="23" t="str">
        <f>VLOOKUP(A868,'City-details'!$A$1:$C$1001,2,FALSE)</f>
        <v>B</v>
      </c>
      <c r="Q868" s="23" t="str">
        <f t="shared" si="39"/>
        <v>Mar</v>
      </c>
      <c r="R868" s="26" t="str">
        <f t="shared" si="40"/>
        <v>Fri</v>
      </c>
      <c r="S868">
        <f t="shared" si="41"/>
        <v>15</v>
      </c>
      <c r="T868" t="str" cm="1">
        <f t="array" ref="T868">_xlfn.IFS(S868&lt;=12,"Morning",S868&lt;=16,"Afternoon",S868&lt;=21,"Evening",S868&lt;=24,"Night")</f>
        <v>Afternoon</v>
      </c>
    </row>
    <row r="869" spans="1:20" x14ac:dyDescent="0.25">
      <c r="A869" s="31" t="s">
        <v>903</v>
      </c>
      <c r="B869" s="27">
        <v>62.82</v>
      </c>
      <c r="C869" s="28">
        <v>2</v>
      </c>
      <c r="D869" s="27">
        <v>6.282</v>
      </c>
      <c r="E869" s="27">
        <v>131.922</v>
      </c>
      <c r="F869" s="29">
        <v>43482</v>
      </c>
      <c r="G869" s="30">
        <v>36.672222222222203</v>
      </c>
      <c r="H869" s="31" t="s">
        <v>23</v>
      </c>
      <c r="I869" s="27">
        <v>125.64</v>
      </c>
      <c r="J869" s="32">
        <v>4.7619047620000003</v>
      </c>
      <c r="K869" s="33">
        <v>4.9000000000000004</v>
      </c>
      <c r="L869" s="31" t="str">
        <f>VLOOKUP(A869,'Customer-details'!$A$1:$C$1001,2,FALSE)</f>
        <v>Member</v>
      </c>
      <c r="M869" s="31" t="str">
        <f>VLOOKUP(A869,'Customer-details'!$A$1:$C$1001,3,FALSE)</f>
        <v>Female</v>
      </c>
      <c r="N869" s="31" t="str">
        <f>VLOOKUP(A869,'Product-details'!$A$1:$B$1001,2,FALSE)</f>
        <v>Health and beauty</v>
      </c>
      <c r="O869" s="31" t="str">
        <f>VLOOKUP(A869,'City-details'!$A$1:$C$1001,3,FALSE)</f>
        <v>Naypyitaw</v>
      </c>
      <c r="P869" s="31" t="str">
        <f>VLOOKUP(A869,'City-details'!$A$1:$C$1001,2,FALSE)</f>
        <v>C</v>
      </c>
      <c r="Q869" s="31" t="str">
        <f t="shared" si="39"/>
        <v>Jan</v>
      </c>
      <c r="R869" s="34" t="str">
        <f t="shared" si="40"/>
        <v>Thu</v>
      </c>
      <c r="S869">
        <f t="shared" si="41"/>
        <v>16</v>
      </c>
      <c r="T869" t="str" cm="1">
        <f t="array" ref="T869">_xlfn.IFS(S869&lt;=12,"Morning",S869&lt;=16,"Afternoon",S869&lt;=21,"Evening",S869&lt;=24,"Night")</f>
        <v>Afternoon</v>
      </c>
    </row>
    <row r="870" spans="1:20" x14ac:dyDescent="0.25">
      <c r="A870" s="23" t="s">
        <v>904</v>
      </c>
      <c r="B870" s="19">
        <v>24.31</v>
      </c>
      <c r="C870" s="20">
        <v>3</v>
      </c>
      <c r="D870" s="19">
        <v>3.6465000000000001</v>
      </c>
      <c r="E870" s="19">
        <v>76.576499999999996</v>
      </c>
      <c r="F870" s="21">
        <v>43473</v>
      </c>
      <c r="G870" s="22">
        <v>36.713888888888903</v>
      </c>
      <c r="H870" s="23" t="s">
        <v>33</v>
      </c>
      <c r="I870" s="19">
        <v>72.930000000000007</v>
      </c>
      <c r="J870" s="24">
        <v>4.7619047620000003</v>
      </c>
      <c r="K870" s="25">
        <v>4.3</v>
      </c>
      <c r="L870" s="23" t="str">
        <f>VLOOKUP(A870,'Customer-details'!$A$1:$C$1001,2,FALSE)</f>
        <v>Member</v>
      </c>
      <c r="M870" s="23" t="str">
        <f>VLOOKUP(A870,'Customer-details'!$A$1:$C$1001,3,FALSE)</f>
        <v>Male</v>
      </c>
      <c r="N870" s="23" t="str">
        <f>VLOOKUP(A870,'Product-details'!$A$1:$B$1001,2,FALSE)</f>
        <v>Food and beverages</v>
      </c>
      <c r="O870" s="23" t="str">
        <f>VLOOKUP(A870,'City-details'!$A$1:$C$1001,3,FALSE)</f>
        <v>Naypyitaw</v>
      </c>
      <c r="P870" s="23" t="str">
        <f>VLOOKUP(A870,'City-details'!$A$1:$C$1001,2,FALSE)</f>
        <v>C</v>
      </c>
      <c r="Q870" s="23" t="str">
        <f t="shared" si="39"/>
        <v>Jan</v>
      </c>
      <c r="R870" s="26" t="str">
        <f t="shared" si="40"/>
        <v>Tue</v>
      </c>
      <c r="S870">
        <f t="shared" si="41"/>
        <v>17</v>
      </c>
      <c r="T870" t="str" cm="1">
        <f t="array" ref="T870">_xlfn.IFS(S870&lt;=12,"Morning",S870&lt;=16,"Afternoon",S870&lt;=21,"Evening",S870&lt;=24,"Night")</f>
        <v>Evening</v>
      </c>
    </row>
    <row r="871" spans="1:20" x14ac:dyDescent="0.25">
      <c r="A871" s="31" t="s">
        <v>905</v>
      </c>
      <c r="B871" s="27">
        <v>64.59</v>
      </c>
      <c r="C871" s="28">
        <v>4</v>
      </c>
      <c r="D871" s="27">
        <v>12.917999999999999</v>
      </c>
      <c r="E871" s="27">
        <v>271.27800000000002</v>
      </c>
      <c r="F871" s="29">
        <v>43471</v>
      </c>
      <c r="G871" s="30">
        <v>36.755555555555603</v>
      </c>
      <c r="H871" s="31" t="s">
        <v>23</v>
      </c>
      <c r="I871" s="27">
        <v>258.36</v>
      </c>
      <c r="J871" s="32">
        <v>4.7619047620000003</v>
      </c>
      <c r="K871" s="33">
        <v>9.3000000000000007</v>
      </c>
      <c r="L871" s="31" t="str">
        <f>VLOOKUP(A871,'Customer-details'!$A$1:$C$1001,2,FALSE)</f>
        <v>Normal</v>
      </c>
      <c r="M871" s="31" t="str">
        <f>VLOOKUP(A871,'Customer-details'!$A$1:$C$1001,3,FALSE)</f>
        <v>Male</v>
      </c>
      <c r="N871" s="31" t="str">
        <f>VLOOKUP(A871,'Product-details'!$A$1:$B$1001,2,FALSE)</f>
        <v>Sports and travel</v>
      </c>
      <c r="O871" s="31" t="str">
        <f>VLOOKUP(A871,'City-details'!$A$1:$C$1001,3,FALSE)</f>
        <v>Yangon</v>
      </c>
      <c r="P871" s="31" t="str">
        <f>VLOOKUP(A871,'City-details'!$A$1:$C$1001,2,FALSE)</f>
        <v>A</v>
      </c>
      <c r="Q871" s="31" t="str">
        <f t="shared" si="39"/>
        <v>Jan</v>
      </c>
      <c r="R871" s="34" t="str">
        <f t="shared" si="40"/>
        <v>Sun</v>
      </c>
      <c r="S871">
        <f t="shared" si="41"/>
        <v>18</v>
      </c>
      <c r="T871" t="str" cm="1">
        <f t="array" ref="T871">_xlfn.IFS(S871&lt;=12,"Morning",S871&lt;=16,"Afternoon",S871&lt;=21,"Evening",S871&lt;=24,"Night")</f>
        <v>Evening</v>
      </c>
    </row>
    <row r="872" spans="1:20" x14ac:dyDescent="0.25">
      <c r="A872" s="23" t="s">
        <v>906</v>
      </c>
      <c r="B872" s="19">
        <v>24.82</v>
      </c>
      <c r="C872" s="20">
        <v>7</v>
      </c>
      <c r="D872" s="19">
        <v>8.6869999999999994</v>
      </c>
      <c r="E872" s="19">
        <v>182.42699999999999</v>
      </c>
      <c r="F872" s="21">
        <v>43512</v>
      </c>
      <c r="G872" s="22">
        <v>36.797222222222203</v>
      </c>
      <c r="H872" s="23" t="s">
        <v>33</v>
      </c>
      <c r="I872" s="19">
        <v>173.74</v>
      </c>
      <c r="J872" s="24">
        <v>4.7619047620000003</v>
      </c>
      <c r="K872" s="25">
        <v>7.1</v>
      </c>
      <c r="L872" s="23" t="str">
        <f>VLOOKUP(A872,'Customer-details'!$A$1:$C$1001,2,FALSE)</f>
        <v>Member</v>
      </c>
      <c r="M872" s="23" t="str">
        <f>VLOOKUP(A872,'Customer-details'!$A$1:$C$1001,3,FALSE)</f>
        <v>Male</v>
      </c>
      <c r="N872" s="23" t="str">
        <f>VLOOKUP(A872,'Product-details'!$A$1:$B$1001,2,FALSE)</f>
        <v>Food and beverages</v>
      </c>
      <c r="O872" s="23" t="str">
        <f>VLOOKUP(A872,'City-details'!$A$1:$C$1001,3,FALSE)</f>
        <v>Yangon</v>
      </c>
      <c r="P872" s="23" t="str">
        <f>VLOOKUP(A872,'City-details'!$A$1:$C$1001,2,FALSE)</f>
        <v>A</v>
      </c>
      <c r="Q872" s="23" t="str">
        <f t="shared" si="39"/>
        <v>Feb</v>
      </c>
      <c r="R872" s="26" t="str">
        <f t="shared" si="40"/>
        <v>Sat</v>
      </c>
      <c r="S872">
        <f t="shared" si="41"/>
        <v>19</v>
      </c>
      <c r="T872" t="str" cm="1">
        <f t="array" ref="T872">_xlfn.IFS(S872&lt;=12,"Morning",S872&lt;=16,"Afternoon",S872&lt;=21,"Evening",S872&lt;=24,"Night")</f>
        <v>Evening</v>
      </c>
    </row>
    <row r="873" spans="1:20" x14ac:dyDescent="0.25">
      <c r="A873" s="31" t="s">
        <v>907</v>
      </c>
      <c r="B873" s="27">
        <v>56.5</v>
      </c>
      <c r="C873" s="28">
        <v>1</v>
      </c>
      <c r="D873" s="27">
        <v>2.8250000000000002</v>
      </c>
      <c r="E873" s="27">
        <v>59.325000000000003</v>
      </c>
      <c r="F873" s="29">
        <v>43537</v>
      </c>
      <c r="G873" s="30">
        <v>36.838888888888903</v>
      </c>
      <c r="H873" s="31" t="s">
        <v>23</v>
      </c>
      <c r="I873" s="27">
        <v>56.5</v>
      </c>
      <c r="J873" s="32">
        <v>4.7619047620000003</v>
      </c>
      <c r="K873" s="33">
        <v>9.6</v>
      </c>
      <c r="L873" s="31" t="str">
        <f>VLOOKUP(A873,'Customer-details'!$A$1:$C$1001,2,FALSE)</f>
        <v>Normal</v>
      </c>
      <c r="M873" s="31" t="str">
        <f>VLOOKUP(A873,'Customer-details'!$A$1:$C$1001,3,FALSE)</f>
        <v>Male</v>
      </c>
      <c r="N873" s="31" t="str">
        <f>VLOOKUP(A873,'Product-details'!$A$1:$B$1001,2,FALSE)</f>
        <v>Fashion accessories</v>
      </c>
      <c r="O873" s="31" t="str">
        <f>VLOOKUP(A873,'City-details'!$A$1:$C$1001,3,FALSE)</f>
        <v>Naypyitaw</v>
      </c>
      <c r="P873" s="31" t="str">
        <f>VLOOKUP(A873,'City-details'!$A$1:$C$1001,2,FALSE)</f>
        <v>C</v>
      </c>
      <c r="Q873" s="31" t="str">
        <f t="shared" si="39"/>
        <v>Mar</v>
      </c>
      <c r="R873" s="34" t="str">
        <f t="shared" si="40"/>
        <v>Wed</v>
      </c>
      <c r="S873">
        <f t="shared" si="41"/>
        <v>20</v>
      </c>
      <c r="T873" t="str" cm="1">
        <f t="array" ref="T873">_xlfn.IFS(S873&lt;=12,"Morning",S873&lt;=16,"Afternoon",S873&lt;=21,"Evening",S873&lt;=24,"Night")</f>
        <v>Evening</v>
      </c>
    </row>
    <row r="874" spans="1:20" x14ac:dyDescent="0.25">
      <c r="A874" s="23" t="s">
        <v>908</v>
      </c>
      <c r="B874" s="19">
        <v>21.43</v>
      </c>
      <c r="C874" s="20">
        <v>10</v>
      </c>
      <c r="D874" s="19">
        <v>10.715</v>
      </c>
      <c r="E874" s="19">
        <v>225.01499999999999</v>
      </c>
      <c r="F874" s="21">
        <v>43493</v>
      </c>
      <c r="G874" s="22">
        <v>36.880555555555603</v>
      </c>
      <c r="H874" s="23" t="s">
        <v>29</v>
      </c>
      <c r="I874" s="19">
        <v>214.3</v>
      </c>
      <c r="J874" s="24">
        <v>4.7619047620000003</v>
      </c>
      <c r="K874" s="25">
        <v>6.2</v>
      </c>
      <c r="L874" s="23" t="str">
        <f>VLOOKUP(A874,'Customer-details'!$A$1:$C$1001,2,FALSE)</f>
        <v>Member</v>
      </c>
      <c r="M874" s="23" t="str">
        <f>VLOOKUP(A874,'Customer-details'!$A$1:$C$1001,3,FALSE)</f>
        <v>Female</v>
      </c>
      <c r="N874" s="23" t="str">
        <f>VLOOKUP(A874,'Product-details'!$A$1:$B$1001,2,FALSE)</f>
        <v>Electronic accessories</v>
      </c>
      <c r="O874" s="23" t="str">
        <f>VLOOKUP(A874,'City-details'!$A$1:$C$1001,3,FALSE)</f>
        <v>Mandalay</v>
      </c>
      <c r="P874" s="23" t="str">
        <f>VLOOKUP(A874,'City-details'!$A$1:$C$1001,2,FALSE)</f>
        <v>B</v>
      </c>
      <c r="Q874" s="23" t="str">
        <f t="shared" si="39"/>
        <v>Jan</v>
      </c>
      <c r="R874" s="26" t="str">
        <f t="shared" si="40"/>
        <v>Mon</v>
      </c>
      <c r="S874">
        <f t="shared" si="41"/>
        <v>21</v>
      </c>
      <c r="T874" t="str" cm="1">
        <f t="array" ref="T874">_xlfn.IFS(S874&lt;=12,"Morning",S874&lt;=16,"Afternoon",S874&lt;=21,"Evening",S874&lt;=24,"Night")</f>
        <v>Evening</v>
      </c>
    </row>
    <row r="875" spans="1:20" x14ac:dyDescent="0.25">
      <c r="A875" s="31" t="s">
        <v>909</v>
      </c>
      <c r="B875" s="27">
        <v>89.06</v>
      </c>
      <c r="C875" s="28">
        <v>6</v>
      </c>
      <c r="D875" s="27">
        <v>26.718</v>
      </c>
      <c r="E875" s="27">
        <v>561.07799999999997</v>
      </c>
      <c r="F875" s="29">
        <v>43483</v>
      </c>
      <c r="G875" s="30">
        <v>36.922222222222203</v>
      </c>
      <c r="H875" s="31" t="s">
        <v>29</v>
      </c>
      <c r="I875" s="27">
        <v>534.36</v>
      </c>
      <c r="J875" s="32">
        <v>4.7619047620000003</v>
      </c>
      <c r="K875" s="33">
        <v>9.9</v>
      </c>
      <c r="L875" s="31" t="str">
        <f>VLOOKUP(A875,'Customer-details'!$A$1:$C$1001,2,FALSE)</f>
        <v>Member</v>
      </c>
      <c r="M875" s="31" t="str">
        <f>VLOOKUP(A875,'Customer-details'!$A$1:$C$1001,3,FALSE)</f>
        <v>Male</v>
      </c>
      <c r="N875" s="31" t="str">
        <f>VLOOKUP(A875,'Product-details'!$A$1:$B$1001,2,FALSE)</f>
        <v>Sports and travel</v>
      </c>
      <c r="O875" s="31" t="str">
        <f>VLOOKUP(A875,'City-details'!$A$1:$C$1001,3,FALSE)</f>
        <v>Yangon</v>
      </c>
      <c r="P875" s="31" t="str">
        <f>VLOOKUP(A875,'City-details'!$A$1:$C$1001,2,FALSE)</f>
        <v>A</v>
      </c>
      <c r="Q875" s="31" t="str">
        <f t="shared" si="39"/>
        <v>Jan</v>
      </c>
      <c r="R875" s="34" t="str">
        <f t="shared" si="40"/>
        <v>Fri</v>
      </c>
      <c r="S875">
        <f t="shared" si="41"/>
        <v>22</v>
      </c>
      <c r="T875" t="str" cm="1">
        <f t="array" ref="T875">_xlfn.IFS(S875&lt;=12,"Morning",S875&lt;=16,"Afternoon",S875&lt;=21,"Evening",S875&lt;=24,"Night")</f>
        <v>Night</v>
      </c>
    </row>
    <row r="876" spans="1:20" x14ac:dyDescent="0.25">
      <c r="A876" s="23" t="s">
        <v>910</v>
      </c>
      <c r="B876" s="19">
        <v>23.29</v>
      </c>
      <c r="C876" s="20">
        <v>4</v>
      </c>
      <c r="D876" s="19">
        <v>4.6580000000000004</v>
      </c>
      <c r="E876" s="19">
        <v>97.817999999999998</v>
      </c>
      <c r="F876" s="21">
        <v>43543</v>
      </c>
      <c r="G876" s="22">
        <v>36.963888888888903</v>
      </c>
      <c r="H876" s="23" t="s">
        <v>33</v>
      </c>
      <c r="I876" s="19">
        <v>93.16</v>
      </c>
      <c r="J876" s="24">
        <v>4.7619047620000003</v>
      </c>
      <c r="K876" s="25">
        <v>5.9</v>
      </c>
      <c r="L876" s="23" t="str">
        <f>VLOOKUP(A876,'Customer-details'!$A$1:$C$1001,2,FALSE)</f>
        <v>Member</v>
      </c>
      <c r="M876" s="23" t="str">
        <f>VLOOKUP(A876,'Customer-details'!$A$1:$C$1001,3,FALSE)</f>
        <v>Male</v>
      </c>
      <c r="N876" s="23" t="str">
        <f>VLOOKUP(A876,'Product-details'!$A$1:$B$1001,2,FALSE)</f>
        <v>Home and lifestyle</v>
      </c>
      <c r="O876" s="23" t="str">
        <f>VLOOKUP(A876,'City-details'!$A$1:$C$1001,3,FALSE)</f>
        <v>Yangon</v>
      </c>
      <c r="P876" s="23" t="str">
        <f>VLOOKUP(A876,'City-details'!$A$1:$C$1001,2,FALSE)</f>
        <v>A</v>
      </c>
      <c r="Q876" s="23" t="str">
        <f t="shared" si="39"/>
        <v>Mar</v>
      </c>
      <c r="R876" s="26" t="str">
        <f t="shared" si="40"/>
        <v>Tue</v>
      </c>
      <c r="S876">
        <f t="shared" si="41"/>
        <v>23</v>
      </c>
      <c r="T876" t="str" cm="1">
        <f t="array" ref="T876">_xlfn.IFS(S876&lt;=12,"Morning",S876&lt;=16,"Afternoon",S876&lt;=21,"Evening",S876&lt;=24,"Night")</f>
        <v>Night</v>
      </c>
    </row>
    <row r="877" spans="1:20" x14ac:dyDescent="0.25">
      <c r="A877" s="31" t="s">
        <v>911</v>
      </c>
      <c r="B877" s="27">
        <v>65.260000000000005</v>
      </c>
      <c r="C877" s="28">
        <v>8</v>
      </c>
      <c r="D877" s="27">
        <v>26.103999999999999</v>
      </c>
      <c r="E877" s="27">
        <v>548.18399999999997</v>
      </c>
      <c r="F877" s="29">
        <v>43539</v>
      </c>
      <c r="G877" s="30">
        <v>37.005555555555603</v>
      </c>
      <c r="H877" s="31" t="s">
        <v>23</v>
      </c>
      <c r="I877" s="27">
        <v>522.08000000000004</v>
      </c>
      <c r="J877" s="32">
        <v>4.7619047620000003</v>
      </c>
      <c r="K877" s="33">
        <v>6.3</v>
      </c>
      <c r="L877" s="31" t="str">
        <f>VLOOKUP(A877,'Customer-details'!$A$1:$C$1001,2,FALSE)</f>
        <v>Normal</v>
      </c>
      <c r="M877" s="31" t="str">
        <f>VLOOKUP(A877,'Customer-details'!$A$1:$C$1001,3,FALSE)</f>
        <v>Male</v>
      </c>
      <c r="N877" s="31" t="str">
        <f>VLOOKUP(A877,'Product-details'!$A$1:$B$1001,2,FALSE)</f>
        <v>Home and lifestyle</v>
      </c>
      <c r="O877" s="31" t="str">
        <f>VLOOKUP(A877,'City-details'!$A$1:$C$1001,3,FALSE)</f>
        <v>Naypyitaw</v>
      </c>
      <c r="P877" s="31" t="str">
        <f>VLOOKUP(A877,'City-details'!$A$1:$C$1001,2,FALSE)</f>
        <v>C</v>
      </c>
      <c r="Q877" s="31" t="str">
        <f t="shared" si="39"/>
        <v>Mar</v>
      </c>
      <c r="R877" s="34" t="str">
        <f t="shared" si="40"/>
        <v>Fri</v>
      </c>
      <c r="S877">
        <f t="shared" si="41"/>
        <v>0</v>
      </c>
      <c r="T877" t="str" cm="1">
        <f t="array" ref="T877">_xlfn.IFS(S877&lt;=12,"Morning",S877&lt;=16,"Afternoon",S877&lt;=21,"Evening",S877&lt;=24,"Night")</f>
        <v>Morning</v>
      </c>
    </row>
    <row r="878" spans="1:20" x14ac:dyDescent="0.25">
      <c r="A878" s="23" t="s">
        <v>912</v>
      </c>
      <c r="B878" s="19">
        <v>52.35</v>
      </c>
      <c r="C878" s="20">
        <v>1</v>
      </c>
      <c r="D878" s="19">
        <v>2.6175000000000002</v>
      </c>
      <c r="E878" s="19">
        <v>54.967500000000001</v>
      </c>
      <c r="F878" s="21">
        <v>43508</v>
      </c>
      <c r="G878" s="22">
        <v>37.047222222222203</v>
      </c>
      <c r="H878" s="23" t="s">
        <v>29</v>
      </c>
      <c r="I878" s="19">
        <v>52.35</v>
      </c>
      <c r="J878" s="24">
        <v>4.7619047620000003</v>
      </c>
      <c r="K878" s="25">
        <v>4</v>
      </c>
      <c r="L878" s="23" t="str">
        <f>VLOOKUP(A878,'Customer-details'!$A$1:$C$1001,2,FALSE)</f>
        <v>Member</v>
      </c>
      <c r="M878" s="23" t="str">
        <f>VLOOKUP(A878,'Customer-details'!$A$1:$C$1001,3,FALSE)</f>
        <v>Male</v>
      </c>
      <c r="N878" s="23" t="str">
        <f>VLOOKUP(A878,'Product-details'!$A$1:$B$1001,2,FALSE)</f>
        <v>Fashion accessories</v>
      </c>
      <c r="O878" s="23" t="str">
        <f>VLOOKUP(A878,'City-details'!$A$1:$C$1001,3,FALSE)</f>
        <v>Naypyitaw</v>
      </c>
      <c r="P878" s="23" t="str">
        <f>VLOOKUP(A878,'City-details'!$A$1:$C$1001,2,FALSE)</f>
        <v>C</v>
      </c>
      <c r="Q878" s="23" t="str">
        <f t="shared" si="39"/>
        <v>Feb</v>
      </c>
      <c r="R878" s="26" t="str">
        <f t="shared" si="40"/>
        <v>Tue</v>
      </c>
      <c r="S878">
        <f t="shared" si="41"/>
        <v>1</v>
      </c>
      <c r="T878" t="str" cm="1">
        <f t="array" ref="T878">_xlfn.IFS(S878&lt;=12,"Morning",S878&lt;=16,"Afternoon",S878&lt;=21,"Evening",S878&lt;=24,"Night")</f>
        <v>Morning</v>
      </c>
    </row>
    <row r="879" spans="1:20" x14ac:dyDescent="0.25">
      <c r="A879" s="31" t="s">
        <v>913</v>
      </c>
      <c r="B879" s="27">
        <v>39.75</v>
      </c>
      <c r="C879" s="28">
        <v>1</v>
      </c>
      <c r="D879" s="27">
        <v>1.9875</v>
      </c>
      <c r="E879" s="27">
        <v>41.737499999999997</v>
      </c>
      <c r="F879" s="29">
        <v>43521</v>
      </c>
      <c r="G879" s="30">
        <v>37.088888888888903</v>
      </c>
      <c r="H879" s="31" t="s">
        <v>29</v>
      </c>
      <c r="I879" s="27">
        <v>39.75</v>
      </c>
      <c r="J879" s="32">
        <v>4.7619047620000003</v>
      </c>
      <c r="K879" s="33">
        <v>6.1</v>
      </c>
      <c r="L879" s="31" t="str">
        <f>VLOOKUP(A879,'Customer-details'!$A$1:$C$1001,2,FALSE)</f>
        <v>Member</v>
      </c>
      <c r="M879" s="31" t="str">
        <f>VLOOKUP(A879,'Customer-details'!$A$1:$C$1001,3,FALSE)</f>
        <v>Male</v>
      </c>
      <c r="N879" s="31" t="str">
        <f>VLOOKUP(A879,'Product-details'!$A$1:$B$1001,2,FALSE)</f>
        <v>Electronic accessories</v>
      </c>
      <c r="O879" s="31" t="str">
        <f>VLOOKUP(A879,'City-details'!$A$1:$C$1001,3,FALSE)</f>
        <v>Mandalay</v>
      </c>
      <c r="P879" s="31" t="str">
        <f>VLOOKUP(A879,'City-details'!$A$1:$C$1001,2,FALSE)</f>
        <v>B</v>
      </c>
      <c r="Q879" s="31" t="str">
        <f t="shared" si="39"/>
        <v>Feb</v>
      </c>
      <c r="R879" s="34" t="str">
        <f t="shared" si="40"/>
        <v>Mon</v>
      </c>
      <c r="S879">
        <f t="shared" si="41"/>
        <v>2</v>
      </c>
      <c r="T879" t="str" cm="1">
        <f t="array" ref="T879">_xlfn.IFS(S879&lt;=12,"Morning",S879&lt;=16,"Afternoon",S879&lt;=21,"Evening",S879&lt;=24,"Night")</f>
        <v>Morning</v>
      </c>
    </row>
    <row r="880" spans="1:20" x14ac:dyDescent="0.25">
      <c r="A880" s="23" t="s">
        <v>914</v>
      </c>
      <c r="B880" s="19">
        <v>90.02</v>
      </c>
      <c r="C880" s="20">
        <v>8</v>
      </c>
      <c r="D880" s="19">
        <v>36.008000000000003</v>
      </c>
      <c r="E880" s="19">
        <v>756.16800000000001</v>
      </c>
      <c r="F880" s="21">
        <v>43545</v>
      </c>
      <c r="G880" s="22">
        <v>37.130555555555603</v>
      </c>
      <c r="H880" s="23" t="s">
        <v>33</v>
      </c>
      <c r="I880" s="19">
        <v>720.16</v>
      </c>
      <c r="J880" s="24">
        <v>4.7619047620000003</v>
      </c>
      <c r="K880" s="25">
        <v>4.5</v>
      </c>
      <c r="L880" s="23" t="str">
        <f>VLOOKUP(A880,'Customer-details'!$A$1:$C$1001,2,FALSE)</f>
        <v>Normal</v>
      </c>
      <c r="M880" s="23" t="str">
        <f>VLOOKUP(A880,'Customer-details'!$A$1:$C$1001,3,FALSE)</f>
        <v>Female</v>
      </c>
      <c r="N880" s="23" t="str">
        <f>VLOOKUP(A880,'Product-details'!$A$1:$B$1001,2,FALSE)</f>
        <v>Electronic accessories</v>
      </c>
      <c r="O880" s="23" t="str">
        <f>VLOOKUP(A880,'City-details'!$A$1:$C$1001,3,FALSE)</f>
        <v>Yangon</v>
      </c>
      <c r="P880" s="23" t="str">
        <f>VLOOKUP(A880,'City-details'!$A$1:$C$1001,2,FALSE)</f>
        <v>A</v>
      </c>
      <c r="Q880" s="23" t="str">
        <f t="shared" si="39"/>
        <v>Mar</v>
      </c>
      <c r="R880" s="26" t="str">
        <f t="shared" si="40"/>
        <v>Thu</v>
      </c>
      <c r="S880">
        <f t="shared" si="41"/>
        <v>3</v>
      </c>
      <c r="T880" t="str" cm="1">
        <f t="array" ref="T880">_xlfn.IFS(S880&lt;=12,"Morning",S880&lt;=16,"Afternoon",S880&lt;=21,"Evening",S880&lt;=24,"Night")</f>
        <v>Morning</v>
      </c>
    </row>
    <row r="881" spans="1:20" x14ac:dyDescent="0.25">
      <c r="A881" s="31" t="s">
        <v>915</v>
      </c>
      <c r="B881" s="27">
        <v>12.1</v>
      </c>
      <c r="C881" s="28">
        <v>8</v>
      </c>
      <c r="D881" s="27">
        <v>4.84</v>
      </c>
      <c r="E881" s="27">
        <v>101.64</v>
      </c>
      <c r="F881" s="29">
        <v>43484</v>
      </c>
      <c r="G881" s="30">
        <v>37.172222222222203</v>
      </c>
      <c r="H881" s="31" t="s">
        <v>23</v>
      </c>
      <c r="I881" s="27">
        <v>96.8</v>
      </c>
      <c r="J881" s="32">
        <v>4.7619047620000003</v>
      </c>
      <c r="K881" s="33">
        <v>8.6</v>
      </c>
      <c r="L881" s="31" t="str">
        <f>VLOOKUP(A881,'Customer-details'!$A$1:$C$1001,2,FALSE)</f>
        <v>Member</v>
      </c>
      <c r="M881" s="31" t="str">
        <f>VLOOKUP(A881,'Customer-details'!$A$1:$C$1001,3,FALSE)</f>
        <v>Female</v>
      </c>
      <c r="N881" s="31" t="str">
        <f>VLOOKUP(A881,'Product-details'!$A$1:$B$1001,2,FALSE)</f>
        <v>Electronic accessories</v>
      </c>
      <c r="O881" s="31" t="str">
        <f>VLOOKUP(A881,'City-details'!$A$1:$C$1001,3,FALSE)</f>
        <v>Mandalay</v>
      </c>
      <c r="P881" s="31" t="str">
        <f>VLOOKUP(A881,'City-details'!$A$1:$C$1001,2,FALSE)</f>
        <v>B</v>
      </c>
      <c r="Q881" s="31" t="str">
        <f t="shared" si="39"/>
        <v>Jan</v>
      </c>
      <c r="R881" s="34" t="str">
        <f t="shared" si="40"/>
        <v>Sat</v>
      </c>
      <c r="S881">
        <f t="shared" si="41"/>
        <v>4</v>
      </c>
      <c r="T881" t="str" cm="1">
        <f t="array" ref="T881">_xlfn.IFS(S881&lt;=12,"Morning",S881&lt;=16,"Afternoon",S881&lt;=21,"Evening",S881&lt;=24,"Night")</f>
        <v>Morning</v>
      </c>
    </row>
    <row r="882" spans="1:20" x14ac:dyDescent="0.25">
      <c r="A882" s="23" t="s">
        <v>916</v>
      </c>
      <c r="B882" s="19">
        <v>33.21</v>
      </c>
      <c r="C882" s="20">
        <v>10</v>
      </c>
      <c r="D882" s="19">
        <v>16.605</v>
      </c>
      <c r="E882" s="19">
        <v>348.70499999999998</v>
      </c>
      <c r="F882" s="21">
        <v>43473</v>
      </c>
      <c r="G882" s="22">
        <v>37.213888888888903</v>
      </c>
      <c r="H882" s="23" t="s">
        <v>23</v>
      </c>
      <c r="I882" s="19">
        <v>332.1</v>
      </c>
      <c r="J882" s="24">
        <v>4.7619047620000003</v>
      </c>
      <c r="K882" s="25">
        <v>6</v>
      </c>
      <c r="L882" s="23" t="str">
        <f>VLOOKUP(A882,'Customer-details'!$A$1:$C$1001,2,FALSE)</f>
        <v>Member</v>
      </c>
      <c r="M882" s="23" t="str">
        <f>VLOOKUP(A882,'Customer-details'!$A$1:$C$1001,3,FALSE)</f>
        <v>Female</v>
      </c>
      <c r="N882" s="23" t="str">
        <f>VLOOKUP(A882,'Product-details'!$A$1:$B$1001,2,FALSE)</f>
        <v>Food and beverages</v>
      </c>
      <c r="O882" s="23" t="str">
        <f>VLOOKUP(A882,'City-details'!$A$1:$C$1001,3,FALSE)</f>
        <v>Mandalay</v>
      </c>
      <c r="P882" s="23" t="str">
        <f>VLOOKUP(A882,'City-details'!$A$1:$C$1001,2,FALSE)</f>
        <v>B</v>
      </c>
      <c r="Q882" s="23" t="str">
        <f t="shared" si="39"/>
        <v>Jan</v>
      </c>
      <c r="R882" s="26" t="str">
        <f t="shared" si="40"/>
        <v>Tue</v>
      </c>
      <c r="S882">
        <f t="shared" si="41"/>
        <v>5</v>
      </c>
      <c r="T882" t="str" cm="1">
        <f t="array" ref="T882">_xlfn.IFS(S882&lt;=12,"Morning",S882&lt;=16,"Afternoon",S882&lt;=21,"Evening",S882&lt;=24,"Night")</f>
        <v>Morning</v>
      </c>
    </row>
    <row r="883" spans="1:20" x14ac:dyDescent="0.25">
      <c r="A883" s="31" t="s">
        <v>917</v>
      </c>
      <c r="B883" s="27">
        <v>10.18</v>
      </c>
      <c r="C883" s="28">
        <v>8</v>
      </c>
      <c r="D883" s="27">
        <v>4.0720000000000001</v>
      </c>
      <c r="E883" s="27">
        <v>85.512</v>
      </c>
      <c r="F883" s="29">
        <v>43554</v>
      </c>
      <c r="G883" s="30">
        <v>37.255555555555603</v>
      </c>
      <c r="H883" s="31" t="s">
        <v>33</v>
      </c>
      <c r="I883" s="27">
        <v>81.44</v>
      </c>
      <c r="J883" s="32">
        <v>4.7619047620000003</v>
      </c>
      <c r="K883" s="33">
        <v>9.5</v>
      </c>
      <c r="L883" s="31" t="str">
        <f>VLOOKUP(A883,'Customer-details'!$A$1:$C$1001,2,FALSE)</f>
        <v>Member</v>
      </c>
      <c r="M883" s="31" t="str">
        <f>VLOOKUP(A883,'Customer-details'!$A$1:$C$1001,3,FALSE)</f>
        <v>Female</v>
      </c>
      <c r="N883" s="31" t="str">
        <f>VLOOKUP(A883,'Product-details'!$A$1:$B$1001,2,FALSE)</f>
        <v>Fashion accessories</v>
      </c>
      <c r="O883" s="31" t="str">
        <f>VLOOKUP(A883,'City-details'!$A$1:$C$1001,3,FALSE)</f>
        <v>Naypyitaw</v>
      </c>
      <c r="P883" s="31" t="str">
        <f>VLOOKUP(A883,'City-details'!$A$1:$C$1001,2,FALSE)</f>
        <v>C</v>
      </c>
      <c r="Q883" s="31" t="str">
        <f t="shared" si="39"/>
        <v>Mar</v>
      </c>
      <c r="R883" s="34" t="str">
        <f t="shared" si="40"/>
        <v>Sat</v>
      </c>
      <c r="S883">
        <f t="shared" si="41"/>
        <v>6</v>
      </c>
      <c r="T883" t="str" cm="1">
        <f t="array" ref="T883">_xlfn.IFS(S883&lt;=12,"Morning",S883&lt;=16,"Afternoon",S883&lt;=21,"Evening",S883&lt;=24,"Night")</f>
        <v>Morning</v>
      </c>
    </row>
    <row r="884" spans="1:20" x14ac:dyDescent="0.25">
      <c r="A884" s="23" t="s">
        <v>918</v>
      </c>
      <c r="B884" s="19">
        <v>31.99</v>
      </c>
      <c r="C884" s="20">
        <v>10</v>
      </c>
      <c r="D884" s="19">
        <v>15.994999999999999</v>
      </c>
      <c r="E884" s="19">
        <v>335.89499999999998</v>
      </c>
      <c r="F884" s="21">
        <v>43516</v>
      </c>
      <c r="G884" s="22">
        <v>37.297222222222203</v>
      </c>
      <c r="H884" s="23" t="s">
        <v>33</v>
      </c>
      <c r="I884" s="19">
        <v>319.89999999999998</v>
      </c>
      <c r="J884" s="24">
        <v>4.7619047620000003</v>
      </c>
      <c r="K884" s="25">
        <v>9.9</v>
      </c>
      <c r="L884" s="23" t="str">
        <f>VLOOKUP(A884,'Customer-details'!$A$1:$C$1001,2,FALSE)</f>
        <v>Member</v>
      </c>
      <c r="M884" s="23" t="str">
        <f>VLOOKUP(A884,'Customer-details'!$A$1:$C$1001,3,FALSE)</f>
        <v>Male</v>
      </c>
      <c r="N884" s="23" t="str">
        <f>VLOOKUP(A884,'Product-details'!$A$1:$B$1001,2,FALSE)</f>
        <v>Sports and travel</v>
      </c>
      <c r="O884" s="23" t="str">
        <f>VLOOKUP(A884,'City-details'!$A$1:$C$1001,3,FALSE)</f>
        <v>Mandalay</v>
      </c>
      <c r="P884" s="23" t="str">
        <f>VLOOKUP(A884,'City-details'!$A$1:$C$1001,2,FALSE)</f>
        <v>B</v>
      </c>
      <c r="Q884" s="23" t="str">
        <f t="shared" si="39"/>
        <v>Feb</v>
      </c>
      <c r="R884" s="26" t="str">
        <f t="shared" si="40"/>
        <v>Wed</v>
      </c>
      <c r="S884">
        <f t="shared" si="41"/>
        <v>7</v>
      </c>
      <c r="T884" t="str" cm="1">
        <f t="array" ref="T884">_xlfn.IFS(S884&lt;=12,"Morning",S884&lt;=16,"Afternoon",S884&lt;=21,"Evening",S884&lt;=24,"Night")</f>
        <v>Morning</v>
      </c>
    </row>
    <row r="885" spans="1:20" x14ac:dyDescent="0.25">
      <c r="A885" s="31" t="s">
        <v>919</v>
      </c>
      <c r="B885" s="27">
        <v>34.42</v>
      </c>
      <c r="C885" s="28">
        <v>6</v>
      </c>
      <c r="D885" s="27">
        <v>10.326000000000001</v>
      </c>
      <c r="E885" s="27">
        <v>216.846</v>
      </c>
      <c r="F885" s="29">
        <v>43554</v>
      </c>
      <c r="G885" s="30">
        <v>37.338888888888903</v>
      </c>
      <c r="H885" s="31" t="s">
        <v>23</v>
      </c>
      <c r="I885" s="27">
        <v>206.52</v>
      </c>
      <c r="J885" s="32">
        <v>4.7619047620000003</v>
      </c>
      <c r="K885" s="33">
        <v>7.5</v>
      </c>
      <c r="L885" s="31" t="str">
        <f>VLOOKUP(A885,'Customer-details'!$A$1:$C$1001,2,FALSE)</f>
        <v>Member</v>
      </c>
      <c r="M885" s="31" t="str">
        <f>VLOOKUP(A885,'Customer-details'!$A$1:$C$1001,3,FALSE)</f>
        <v>Female</v>
      </c>
      <c r="N885" s="31" t="str">
        <f>VLOOKUP(A885,'Product-details'!$A$1:$B$1001,2,FALSE)</f>
        <v>Home and lifestyle</v>
      </c>
      <c r="O885" s="31" t="str">
        <f>VLOOKUP(A885,'City-details'!$A$1:$C$1001,3,FALSE)</f>
        <v>Yangon</v>
      </c>
      <c r="P885" s="31" t="str">
        <f>VLOOKUP(A885,'City-details'!$A$1:$C$1001,2,FALSE)</f>
        <v>A</v>
      </c>
      <c r="Q885" s="31" t="str">
        <f t="shared" si="39"/>
        <v>Mar</v>
      </c>
      <c r="R885" s="34" t="str">
        <f t="shared" si="40"/>
        <v>Sat</v>
      </c>
      <c r="S885">
        <f t="shared" si="41"/>
        <v>8</v>
      </c>
      <c r="T885" t="str" cm="1">
        <f t="array" ref="T885">_xlfn.IFS(S885&lt;=12,"Morning",S885&lt;=16,"Afternoon",S885&lt;=21,"Evening",S885&lt;=24,"Night")</f>
        <v>Morning</v>
      </c>
    </row>
    <row r="886" spans="1:20" x14ac:dyDescent="0.25">
      <c r="A886" s="23" t="s">
        <v>920</v>
      </c>
      <c r="B886" s="19">
        <v>83.34</v>
      </c>
      <c r="C886" s="20">
        <v>2</v>
      </c>
      <c r="D886" s="19">
        <v>8.3339999999999996</v>
      </c>
      <c r="E886" s="19">
        <v>175.01400000000001</v>
      </c>
      <c r="F886" s="21">
        <v>43543</v>
      </c>
      <c r="G886" s="22">
        <v>37.380555555555603</v>
      </c>
      <c r="H886" s="23" t="s">
        <v>29</v>
      </c>
      <c r="I886" s="19">
        <v>166.68</v>
      </c>
      <c r="J886" s="24">
        <v>4.7619047620000003</v>
      </c>
      <c r="K886" s="25">
        <v>7.6</v>
      </c>
      <c r="L886" s="23" t="str">
        <f>VLOOKUP(A886,'Customer-details'!$A$1:$C$1001,2,FALSE)</f>
        <v>Member</v>
      </c>
      <c r="M886" s="23" t="str">
        <f>VLOOKUP(A886,'Customer-details'!$A$1:$C$1001,3,FALSE)</f>
        <v>Female</v>
      </c>
      <c r="N886" s="23" t="str">
        <f>VLOOKUP(A886,'Product-details'!$A$1:$B$1001,2,FALSE)</f>
        <v>Food and beverages</v>
      </c>
      <c r="O886" s="23" t="str">
        <f>VLOOKUP(A886,'City-details'!$A$1:$C$1001,3,FALSE)</f>
        <v>Yangon</v>
      </c>
      <c r="P886" s="23" t="str">
        <f>VLOOKUP(A886,'City-details'!$A$1:$C$1001,2,FALSE)</f>
        <v>A</v>
      </c>
      <c r="Q886" s="23" t="str">
        <f t="shared" si="39"/>
        <v>Mar</v>
      </c>
      <c r="R886" s="26" t="str">
        <f t="shared" si="40"/>
        <v>Tue</v>
      </c>
      <c r="S886">
        <f t="shared" si="41"/>
        <v>9</v>
      </c>
      <c r="T886" t="str" cm="1">
        <f t="array" ref="T886">_xlfn.IFS(S886&lt;=12,"Morning",S886&lt;=16,"Afternoon",S886&lt;=21,"Evening",S886&lt;=24,"Night")</f>
        <v>Morning</v>
      </c>
    </row>
    <row r="887" spans="1:20" x14ac:dyDescent="0.25">
      <c r="A887" s="31" t="s">
        <v>921</v>
      </c>
      <c r="B887" s="27">
        <v>45.58</v>
      </c>
      <c r="C887" s="28">
        <v>7</v>
      </c>
      <c r="D887" s="27">
        <v>15.952999999999999</v>
      </c>
      <c r="E887" s="27">
        <v>335.01299999999998</v>
      </c>
      <c r="F887" s="29">
        <v>43478</v>
      </c>
      <c r="G887" s="30">
        <v>37.422222222222203</v>
      </c>
      <c r="H887" s="31" t="s">
        <v>29</v>
      </c>
      <c r="I887" s="27">
        <v>319.06</v>
      </c>
      <c r="J887" s="32">
        <v>4.7619047620000003</v>
      </c>
      <c r="K887" s="33">
        <v>5</v>
      </c>
      <c r="L887" s="31" t="str">
        <f>VLOOKUP(A887,'Customer-details'!$A$1:$C$1001,2,FALSE)</f>
        <v>Normal</v>
      </c>
      <c r="M887" s="31" t="str">
        <f>VLOOKUP(A887,'Customer-details'!$A$1:$C$1001,3,FALSE)</f>
        <v>Male</v>
      </c>
      <c r="N887" s="31" t="str">
        <f>VLOOKUP(A887,'Product-details'!$A$1:$B$1001,2,FALSE)</f>
        <v>Sports and travel</v>
      </c>
      <c r="O887" s="31" t="str">
        <f>VLOOKUP(A887,'City-details'!$A$1:$C$1001,3,FALSE)</f>
        <v>Yangon</v>
      </c>
      <c r="P887" s="31" t="str">
        <f>VLOOKUP(A887,'City-details'!$A$1:$C$1001,2,FALSE)</f>
        <v>A</v>
      </c>
      <c r="Q887" s="31" t="str">
        <f t="shared" si="39"/>
        <v>Jan</v>
      </c>
      <c r="R887" s="34" t="str">
        <f t="shared" si="40"/>
        <v>Sun</v>
      </c>
      <c r="S887">
        <f t="shared" si="41"/>
        <v>10</v>
      </c>
      <c r="T887" t="str" cm="1">
        <f t="array" ref="T887">_xlfn.IFS(S887&lt;=12,"Morning",S887&lt;=16,"Afternoon",S887&lt;=21,"Evening",S887&lt;=24,"Night")</f>
        <v>Morning</v>
      </c>
    </row>
    <row r="888" spans="1:20" x14ac:dyDescent="0.25">
      <c r="A888" s="23" t="s">
        <v>922</v>
      </c>
      <c r="B888" s="19">
        <v>87.9</v>
      </c>
      <c r="C888" s="20">
        <v>1</v>
      </c>
      <c r="D888" s="19">
        <v>4.3949999999999996</v>
      </c>
      <c r="E888" s="19">
        <v>92.295000000000002</v>
      </c>
      <c r="F888" s="21">
        <v>43501</v>
      </c>
      <c r="G888" s="22">
        <v>37.463888888888903</v>
      </c>
      <c r="H888" s="23" t="s">
        <v>23</v>
      </c>
      <c r="I888" s="19">
        <v>87.9</v>
      </c>
      <c r="J888" s="24">
        <v>4.7619047620000003</v>
      </c>
      <c r="K888" s="25">
        <v>6.7</v>
      </c>
      <c r="L888" s="23" t="str">
        <f>VLOOKUP(A888,'Customer-details'!$A$1:$C$1001,2,FALSE)</f>
        <v>Member</v>
      </c>
      <c r="M888" s="23" t="str">
        <f>VLOOKUP(A888,'Customer-details'!$A$1:$C$1001,3,FALSE)</f>
        <v>Male</v>
      </c>
      <c r="N888" s="23" t="str">
        <f>VLOOKUP(A888,'Product-details'!$A$1:$B$1001,2,FALSE)</f>
        <v>Food and beverages</v>
      </c>
      <c r="O888" s="23" t="str">
        <f>VLOOKUP(A888,'City-details'!$A$1:$C$1001,3,FALSE)</f>
        <v>Yangon</v>
      </c>
      <c r="P888" s="23" t="str">
        <f>VLOOKUP(A888,'City-details'!$A$1:$C$1001,2,FALSE)</f>
        <v>A</v>
      </c>
      <c r="Q888" s="23" t="str">
        <f t="shared" si="39"/>
        <v>Feb</v>
      </c>
      <c r="R888" s="26" t="str">
        <f t="shared" si="40"/>
        <v>Tue</v>
      </c>
      <c r="S888">
        <f t="shared" si="41"/>
        <v>11</v>
      </c>
      <c r="T888" t="str" cm="1">
        <f t="array" ref="T888">_xlfn.IFS(S888&lt;=12,"Morning",S888&lt;=16,"Afternoon",S888&lt;=21,"Evening",S888&lt;=24,"Night")</f>
        <v>Morning</v>
      </c>
    </row>
    <row r="889" spans="1:20" x14ac:dyDescent="0.25">
      <c r="A889" s="31" t="s">
        <v>923</v>
      </c>
      <c r="B889" s="27">
        <v>73.47</v>
      </c>
      <c r="C889" s="28">
        <v>10</v>
      </c>
      <c r="D889" s="27">
        <v>36.734999999999999</v>
      </c>
      <c r="E889" s="27">
        <v>771.43499999999995</v>
      </c>
      <c r="F889" s="29">
        <v>43547</v>
      </c>
      <c r="G889" s="30">
        <v>37.505555555555603</v>
      </c>
      <c r="H889" s="31" t="s">
        <v>23</v>
      </c>
      <c r="I889" s="27">
        <v>734.7</v>
      </c>
      <c r="J889" s="32">
        <v>4.7619047620000003</v>
      </c>
      <c r="K889" s="33">
        <v>9.5</v>
      </c>
      <c r="L889" s="31" t="str">
        <f>VLOOKUP(A889,'Customer-details'!$A$1:$C$1001,2,FALSE)</f>
        <v>Member</v>
      </c>
      <c r="M889" s="31" t="str">
        <f>VLOOKUP(A889,'Customer-details'!$A$1:$C$1001,3,FALSE)</f>
        <v>Female</v>
      </c>
      <c r="N889" s="31" t="str">
        <f>VLOOKUP(A889,'Product-details'!$A$1:$B$1001,2,FALSE)</f>
        <v>Electronic accessories</v>
      </c>
      <c r="O889" s="31" t="str">
        <f>VLOOKUP(A889,'City-details'!$A$1:$C$1001,3,FALSE)</f>
        <v>Yangon</v>
      </c>
      <c r="P889" s="31" t="str">
        <f>VLOOKUP(A889,'City-details'!$A$1:$C$1001,2,FALSE)</f>
        <v>A</v>
      </c>
      <c r="Q889" s="31" t="str">
        <f t="shared" si="39"/>
        <v>Mar</v>
      </c>
      <c r="R889" s="34" t="str">
        <f t="shared" si="40"/>
        <v>Sat</v>
      </c>
      <c r="S889">
        <f t="shared" si="41"/>
        <v>12</v>
      </c>
      <c r="T889" t="str" cm="1">
        <f t="array" ref="T889">_xlfn.IFS(S889&lt;=12,"Morning",S889&lt;=16,"Afternoon",S889&lt;=21,"Evening",S889&lt;=24,"Night")</f>
        <v>Morning</v>
      </c>
    </row>
    <row r="890" spans="1:20" x14ac:dyDescent="0.25">
      <c r="A890" s="23" t="s">
        <v>924</v>
      </c>
      <c r="B890" s="19">
        <v>12.19</v>
      </c>
      <c r="C890" s="20">
        <v>8</v>
      </c>
      <c r="D890" s="19">
        <v>4.8760000000000003</v>
      </c>
      <c r="E890" s="19">
        <v>102.396</v>
      </c>
      <c r="F890" s="21">
        <v>43537</v>
      </c>
      <c r="G890" s="22">
        <v>37.547222222222203</v>
      </c>
      <c r="H890" s="23" t="s">
        <v>23</v>
      </c>
      <c r="I890" s="19">
        <v>97.52</v>
      </c>
      <c r="J890" s="24">
        <v>4.7619047620000003</v>
      </c>
      <c r="K890" s="25">
        <v>6.8</v>
      </c>
      <c r="L890" s="23" t="str">
        <f>VLOOKUP(A890,'Customer-details'!$A$1:$C$1001,2,FALSE)</f>
        <v>Normal</v>
      </c>
      <c r="M890" s="23" t="str">
        <f>VLOOKUP(A890,'Customer-details'!$A$1:$C$1001,3,FALSE)</f>
        <v>Female</v>
      </c>
      <c r="N890" s="23" t="str">
        <f>VLOOKUP(A890,'Product-details'!$A$1:$B$1001,2,FALSE)</f>
        <v>Fashion accessories</v>
      </c>
      <c r="O890" s="23" t="str">
        <f>VLOOKUP(A890,'City-details'!$A$1:$C$1001,3,FALSE)</f>
        <v>Naypyitaw</v>
      </c>
      <c r="P890" s="23" t="str">
        <f>VLOOKUP(A890,'City-details'!$A$1:$C$1001,2,FALSE)</f>
        <v>C</v>
      </c>
      <c r="Q890" s="23" t="str">
        <f t="shared" si="39"/>
        <v>Mar</v>
      </c>
      <c r="R890" s="26" t="str">
        <f t="shared" si="40"/>
        <v>Wed</v>
      </c>
      <c r="S890">
        <f t="shared" si="41"/>
        <v>13</v>
      </c>
      <c r="T890" t="str" cm="1">
        <f t="array" ref="T890">_xlfn.IFS(S890&lt;=12,"Morning",S890&lt;=16,"Afternoon",S890&lt;=21,"Evening",S890&lt;=24,"Night")</f>
        <v>Afternoon</v>
      </c>
    </row>
    <row r="891" spans="1:20" x14ac:dyDescent="0.25">
      <c r="A891" s="31" t="s">
        <v>925</v>
      </c>
      <c r="B891" s="27">
        <v>76.92</v>
      </c>
      <c r="C891" s="28">
        <v>10</v>
      </c>
      <c r="D891" s="27">
        <v>38.46</v>
      </c>
      <c r="E891" s="27">
        <v>807.66</v>
      </c>
      <c r="F891" s="29">
        <v>43541</v>
      </c>
      <c r="G891" s="30">
        <v>37.588888888888903</v>
      </c>
      <c r="H891" s="31" t="s">
        <v>23</v>
      </c>
      <c r="I891" s="27">
        <v>769.2</v>
      </c>
      <c r="J891" s="32">
        <v>4.7619047620000003</v>
      </c>
      <c r="K891" s="33">
        <v>5.6</v>
      </c>
      <c r="L891" s="31" t="str">
        <f>VLOOKUP(A891,'Customer-details'!$A$1:$C$1001,2,FALSE)</f>
        <v>Member</v>
      </c>
      <c r="M891" s="31" t="str">
        <f>VLOOKUP(A891,'Customer-details'!$A$1:$C$1001,3,FALSE)</f>
        <v>Male</v>
      </c>
      <c r="N891" s="31" t="str">
        <f>VLOOKUP(A891,'Product-details'!$A$1:$B$1001,2,FALSE)</f>
        <v>Sports and travel</v>
      </c>
      <c r="O891" s="31" t="str">
        <f>VLOOKUP(A891,'City-details'!$A$1:$C$1001,3,FALSE)</f>
        <v>Yangon</v>
      </c>
      <c r="P891" s="31" t="str">
        <f>VLOOKUP(A891,'City-details'!$A$1:$C$1001,2,FALSE)</f>
        <v>A</v>
      </c>
      <c r="Q891" s="31" t="str">
        <f t="shared" si="39"/>
        <v>Mar</v>
      </c>
      <c r="R891" s="34" t="str">
        <f t="shared" si="40"/>
        <v>Sun</v>
      </c>
      <c r="S891">
        <f t="shared" si="41"/>
        <v>14</v>
      </c>
      <c r="T891" t="str" cm="1">
        <f t="array" ref="T891">_xlfn.IFS(S891&lt;=12,"Morning",S891&lt;=16,"Afternoon",S891&lt;=21,"Evening",S891&lt;=24,"Night")</f>
        <v>Afternoon</v>
      </c>
    </row>
    <row r="892" spans="1:20" x14ac:dyDescent="0.25">
      <c r="A892" s="23" t="s">
        <v>926</v>
      </c>
      <c r="B892" s="19">
        <v>83.66</v>
      </c>
      <c r="C892" s="20">
        <v>5</v>
      </c>
      <c r="D892" s="19">
        <v>20.914999999999999</v>
      </c>
      <c r="E892" s="19">
        <v>439.21499999999997</v>
      </c>
      <c r="F892" s="21">
        <v>43517</v>
      </c>
      <c r="G892" s="22">
        <v>37.630555555555603</v>
      </c>
      <c r="H892" s="23" t="s">
        <v>29</v>
      </c>
      <c r="I892" s="19">
        <v>418.3</v>
      </c>
      <c r="J892" s="24">
        <v>4.7619047620000003</v>
      </c>
      <c r="K892" s="25">
        <v>7.2</v>
      </c>
      <c r="L892" s="23" t="str">
        <f>VLOOKUP(A892,'Customer-details'!$A$1:$C$1001,2,FALSE)</f>
        <v>Normal</v>
      </c>
      <c r="M892" s="23" t="str">
        <f>VLOOKUP(A892,'Customer-details'!$A$1:$C$1001,3,FALSE)</f>
        <v>Female</v>
      </c>
      <c r="N892" s="23" t="str">
        <f>VLOOKUP(A892,'Product-details'!$A$1:$B$1001,2,FALSE)</f>
        <v>Health and beauty</v>
      </c>
      <c r="O892" s="23" t="str">
        <f>VLOOKUP(A892,'City-details'!$A$1:$C$1001,3,FALSE)</f>
        <v>Naypyitaw</v>
      </c>
      <c r="P892" s="23" t="str">
        <f>VLOOKUP(A892,'City-details'!$A$1:$C$1001,2,FALSE)</f>
        <v>C</v>
      </c>
      <c r="Q892" s="23" t="str">
        <f t="shared" si="39"/>
        <v>Feb</v>
      </c>
      <c r="R892" s="26" t="str">
        <f t="shared" si="40"/>
        <v>Thu</v>
      </c>
      <c r="S892">
        <f t="shared" si="41"/>
        <v>15</v>
      </c>
      <c r="T892" t="str" cm="1">
        <f t="array" ref="T892">_xlfn.IFS(S892&lt;=12,"Morning",S892&lt;=16,"Afternoon",S892&lt;=21,"Evening",S892&lt;=24,"Night")</f>
        <v>Afternoon</v>
      </c>
    </row>
    <row r="893" spans="1:20" x14ac:dyDescent="0.25">
      <c r="A893" s="31" t="s">
        <v>927</v>
      </c>
      <c r="B893" s="27">
        <v>57.91</v>
      </c>
      <c r="C893" s="28">
        <v>8</v>
      </c>
      <c r="D893" s="27">
        <v>23.164000000000001</v>
      </c>
      <c r="E893" s="27">
        <v>486.44400000000002</v>
      </c>
      <c r="F893" s="29">
        <v>43503</v>
      </c>
      <c r="G893" s="30">
        <v>37.672222222222203</v>
      </c>
      <c r="H893" s="31" t="s">
        <v>29</v>
      </c>
      <c r="I893" s="27">
        <v>463.28</v>
      </c>
      <c r="J893" s="32">
        <v>4.7619047620000003</v>
      </c>
      <c r="K893" s="33">
        <v>8.1</v>
      </c>
      <c r="L893" s="31" t="str">
        <f>VLOOKUP(A893,'Customer-details'!$A$1:$C$1001,2,FALSE)</f>
        <v>Normal</v>
      </c>
      <c r="M893" s="31" t="str">
        <f>VLOOKUP(A893,'Customer-details'!$A$1:$C$1001,3,FALSE)</f>
        <v>Female</v>
      </c>
      <c r="N893" s="31" t="str">
        <f>VLOOKUP(A893,'Product-details'!$A$1:$B$1001,2,FALSE)</f>
        <v>Electronic accessories</v>
      </c>
      <c r="O893" s="31" t="str">
        <f>VLOOKUP(A893,'City-details'!$A$1:$C$1001,3,FALSE)</f>
        <v>Mandalay</v>
      </c>
      <c r="P893" s="31" t="str">
        <f>VLOOKUP(A893,'City-details'!$A$1:$C$1001,2,FALSE)</f>
        <v>B</v>
      </c>
      <c r="Q893" s="31" t="str">
        <f t="shared" si="39"/>
        <v>Feb</v>
      </c>
      <c r="R893" s="34" t="str">
        <f t="shared" si="40"/>
        <v>Thu</v>
      </c>
      <c r="S893">
        <f t="shared" si="41"/>
        <v>16</v>
      </c>
      <c r="T893" t="str" cm="1">
        <f t="array" ref="T893">_xlfn.IFS(S893&lt;=12,"Morning",S893&lt;=16,"Afternoon",S893&lt;=21,"Evening",S893&lt;=24,"Night")</f>
        <v>Afternoon</v>
      </c>
    </row>
    <row r="894" spans="1:20" x14ac:dyDescent="0.25">
      <c r="A894" s="23" t="s">
        <v>928</v>
      </c>
      <c r="B894" s="19">
        <v>92.49</v>
      </c>
      <c r="C894" s="20">
        <v>5</v>
      </c>
      <c r="D894" s="19">
        <v>23.122499999999999</v>
      </c>
      <c r="E894" s="19">
        <v>485.57249999999999</v>
      </c>
      <c r="F894" s="21">
        <v>43526</v>
      </c>
      <c r="G894" s="22">
        <v>37.713888888888903</v>
      </c>
      <c r="H894" s="23" t="s">
        <v>33</v>
      </c>
      <c r="I894" s="19">
        <v>462.45</v>
      </c>
      <c r="J894" s="24">
        <v>4.7619047620000003</v>
      </c>
      <c r="K894" s="25">
        <v>8.6</v>
      </c>
      <c r="L894" s="23" t="str">
        <f>VLOOKUP(A894,'Customer-details'!$A$1:$C$1001,2,FALSE)</f>
        <v>Member</v>
      </c>
      <c r="M894" s="23" t="str">
        <f>VLOOKUP(A894,'Customer-details'!$A$1:$C$1001,3,FALSE)</f>
        <v>Female</v>
      </c>
      <c r="N894" s="23" t="str">
        <f>VLOOKUP(A894,'Product-details'!$A$1:$B$1001,2,FALSE)</f>
        <v>Fashion accessories</v>
      </c>
      <c r="O894" s="23" t="str">
        <f>VLOOKUP(A894,'City-details'!$A$1:$C$1001,3,FALSE)</f>
        <v>Naypyitaw</v>
      </c>
      <c r="P894" s="23" t="str">
        <f>VLOOKUP(A894,'City-details'!$A$1:$C$1001,2,FALSE)</f>
        <v>C</v>
      </c>
      <c r="Q894" s="23" t="str">
        <f t="shared" si="39"/>
        <v>Mar</v>
      </c>
      <c r="R894" s="26" t="str">
        <f t="shared" si="40"/>
        <v>Sat</v>
      </c>
      <c r="S894">
        <f t="shared" si="41"/>
        <v>17</v>
      </c>
      <c r="T894" t="str" cm="1">
        <f t="array" ref="T894">_xlfn.IFS(S894&lt;=12,"Morning",S894&lt;=16,"Afternoon",S894&lt;=21,"Evening",S894&lt;=24,"Night")</f>
        <v>Evening</v>
      </c>
    </row>
    <row r="895" spans="1:20" x14ac:dyDescent="0.25">
      <c r="A895" s="31" t="s">
        <v>929</v>
      </c>
      <c r="B895" s="27">
        <v>28.38</v>
      </c>
      <c r="C895" s="28">
        <v>5</v>
      </c>
      <c r="D895" s="27">
        <v>7.0949999999999998</v>
      </c>
      <c r="E895" s="27">
        <v>148.995</v>
      </c>
      <c r="F895" s="29">
        <v>43530</v>
      </c>
      <c r="G895" s="30">
        <v>37.755555555555603</v>
      </c>
      <c r="H895" s="31" t="s">
        <v>29</v>
      </c>
      <c r="I895" s="27">
        <v>141.9</v>
      </c>
      <c r="J895" s="32">
        <v>4.7619047620000003</v>
      </c>
      <c r="K895" s="33">
        <v>9.4</v>
      </c>
      <c r="L895" s="31" t="str">
        <f>VLOOKUP(A895,'Customer-details'!$A$1:$C$1001,2,FALSE)</f>
        <v>Normal</v>
      </c>
      <c r="M895" s="31" t="str">
        <f>VLOOKUP(A895,'Customer-details'!$A$1:$C$1001,3,FALSE)</f>
        <v>Male</v>
      </c>
      <c r="N895" s="31" t="str">
        <f>VLOOKUP(A895,'Product-details'!$A$1:$B$1001,2,FALSE)</f>
        <v>Electronic accessories</v>
      </c>
      <c r="O895" s="31" t="str">
        <f>VLOOKUP(A895,'City-details'!$A$1:$C$1001,3,FALSE)</f>
        <v>Mandalay</v>
      </c>
      <c r="P895" s="31" t="str">
        <f>VLOOKUP(A895,'City-details'!$A$1:$C$1001,2,FALSE)</f>
        <v>B</v>
      </c>
      <c r="Q895" s="31" t="str">
        <f t="shared" si="39"/>
        <v>Mar</v>
      </c>
      <c r="R895" s="34" t="str">
        <f t="shared" si="40"/>
        <v>Wed</v>
      </c>
      <c r="S895">
        <f t="shared" si="41"/>
        <v>18</v>
      </c>
      <c r="T895" t="str" cm="1">
        <f t="array" ref="T895">_xlfn.IFS(S895&lt;=12,"Morning",S895&lt;=16,"Afternoon",S895&lt;=21,"Evening",S895&lt;=24,"Night")</f>
        <v>Evening</v>
      </c>
    </row>
    <row r="896" spans="1:20" x14ac:dyDescent="0.25">
      <c r="A896" s="23" t="s">
        <v>930</v>
      </c>
      <c r="B896" s="19">
        <v>50.45</v>
      </c>
      <c r="C896" s="20">
        <v>6</v>
      </c>
      <c r="D896" s="19">
        <v>15.135</v>
      </c>
      <c r="E896" s="19">
        <v>317.83499999999998</v>
      </c>
      <c r="F896" s="21">
        <v>43502</v>
      </c>
      <c r="G896" s="22">
        <v>37.797222222222203</v>
      </c>
      <c r="H896" s="23" t="s">
        <v>33</v>
      </c>
      <c r="I896" s="19">
        <v>302.7</v>
      </c>
      <c r="J896" s="24">
        <v>4.7619047620000003</v>
      </c>
      <c r="K896" s="25">
        <v>8.9</v>
      </c>
      <c r="L896" s="23" t="str">
        <f>VLOOKUP(A896,'Customer-details'!$A$1:$C$1001,2,FALSE)</f>
        <v>Member</v>
      </c>
      <c r="M896" s="23" t="str">
        <f>VLOOKUP(A896,'Customer-details'!$A$1:$C$1001,3,FALSE)</f>
        <v>Male</v>
      </c>
      <c r="N896" s="23" t="str">
        <f>VLOOKUP(A896,'Product-details'!$A$1:$B$1001,2,FALSE)</f>
        <v>Electronic accessories</v>
      </c>
      <c r="O896" s="23" t="str">
        <f>VLOOKUP(A896,'City-details'!$A$1:$C$1001,3,FALSE)</f>
        <v>Mandalay</v>
      </c>
      <c r="P896" s="23" t="str">
        <f>VLOOKUP(A896,'City-details'!$A$1:$C$1001,2,FALSE)</f>
        <v>B</v>
      </c>
      <c r="Q896" s="23" t="str">
        <f t="shared" si="39"/>
        <v>Feb</v>
      </c>
      <c r="R896" s="26" t="str">
        <f t="shared" si="40"/>
        <v>Wed</v>
      </c>
      <c r="S896">
        <f t="shared" si="41"/>
        <v>19</v>
      </c>
      <c r="T896" t="str" cm="1">
        <f t="array" ref="T896">_xlfn.IFS(S896&lt;=12,"Morning",S896&lt;=16,"Afternoon",S896&lt;=21,"Evening",S896&lt;=24,"Night")</f>
        <v>Evening</v>
      </c>
    </row>
    <row r="897" spans="1:20" x14ac:dyDescent="0.25">
      <c r="A897" s="31" t="s">
        <v>931</v>
      </c>
      <c r="B897" s="27">
        <v>99.16</v>
      </c>
      <c r="C897" s="28">
        <v>8</v>
      </c>
      <c r="D897" s="27">
        <v>39.664000000000001</v>
      </c>
      <c r="E897" s="27">
        <v>832.94399999999996</v>
      </c>
      <c r="F897" s="29">
        <v>43493</v>
      </c>
      <c r="G897" s="30">
        <v>37.838888888888903</v>
      </c>
      <c r="H897" s="31" t="s">
        <v>33</v>
      </c>
      <c r="I897" s="27">
        <v>793.28</v>
      </c>
      <c r="J897" s="32">
        <v>4.7619047620000003</v>
      </c>
      <c r="K897" s="33">
        <v>4.2</v>
      </c>
      <c r="L897" s="31" t="str">
        <f>VLOOKUP(A897,'Customer-details'!$A$1:$C$1001,2,FALSE)</f>
        <v>Normal</v>
      </c>
      <c r="M897" s="31" t="str">
        <f>VLOOKUP(A897,'Customer-details'!$A$1:$C$1001,3,FALSE)</f>
        <v>Male</v>
      </c>
      <c r="N897" s="31" t="str">
        <f>VLOOKUP(A897,'Product-details'!$A$1:$B$1001,2,FALSE)</f>
        <v>Health and beauty</v>
      </c>
      <c r="O897" s="31" t="str">
        <f>VLOOKUP(A897,'City-details'!$A$1:$C$1001,3,FALSE)</f>
        <v>Mandalay</v>
      </c>
      <c r="P897" s="31" t="str">
        <f>VLOOKUP(A897,'City-details'!$A$1:$C$1001,2,FALSE)</f>
        <v>B</v>
      </c>
      <c r="Q897" s="31" t="str">
        <f t="shared" si="39"/>
        <v>Jan</v>
      </c>
      <c r="R897" s="34" t="str">
        <f t="shared" si="40"/>
        <v>Mon</v>
      </c>
      <c r="S897">
        <f t="shared" si="41"/>
        <v>20</v>
      </c>
      <c r="T897" t="str" cm="1">
        <f t="array" ref="T897">_xlfn.IFS(S897&lt;=12,"Morning",S897&lt;=16,"Afternoon",S897&lt;=21,"Evening",S897&lt;=24,"Night")</f>
        <v>Evening</v>
      </c>
    </row>
    <row r="898" spans="1:20" x14ac:dyDescent="0.25">
      <c r="A898" s="23" t="s">
        <v>932</v>
      </c>
      <c r="B898" s="19">
        <v>60.74</v>
      </c>
      <c r="C898" s="20">
        <v>7</v>
      </c>
      <c r="D898" s="19">
        <v>21.259</v>
      </c>
      <c r="E898" s="19">
        <v>446.43900000000002</v>
      </c>
      <c r="F898" s="21">
        <v>43483</v>
      </c>
      <c r="G898" s="22">
        <v>37.880555555555603</v>
      </c>
      <c r="H898" s="23" t="s">
        <v>23</v>
      </c>
      <c r="I898" s="19">
        <v>425.18</v>
      </c>
      <c r="J898" s="24">
        <v>4.7619047620000003</v>
      </c>
      <c r="K898" s="25">
        <v>5</v>
      </c>
      <c r="L898" s="23" t="str">
        <f>VLOOKUP(A898,'Customer-details'!$A$1:$C$1001,2,FALSE)</f>
        <v>Normal</v>
      </c>
      <c r="M898" s="23" t="str">
        <f>VLOOKUP(A898,'Customer-details'!$A$1:$C$1001,3,FALSE)</f>
        <v>Male</v>
      </c>
      <c r="N898" s="23" t="str">
        <f>VLOOKUP(A898,'Product-details'!$A$1:$B$1001,2,FALSE)</f>
        <v>Fashion accessories</v>
      </c>
      <c r="O898" s="23" t="str">
        <f>VLOOKUP(A898,'City-details'!$A$1:$C$1001,3,FALSE)</f>
        <v>Naypyitaw</v>
      </c>
      <c r="P898" s="23" t="str">
        <f>VLOOKUP(A898,'City-details'!$A$1:$C$1001,2,FALSE)</f>
        <v>C</v>
      </c>
      <c r="Q898" s="23" t="str">
        <f t="shared" si="39"/>
        <v>Jan</v>
      </c>
      <c r="R898" s="26" t="str">
        <f t="shared" si="40"/>
        <v>Fri</v>
      </c>
      <c r="S898">
        <f t="shared" si="41"/>
        <v>21</v>
      </c>
      <c r="T898" t="str" cm="1">
        <f t="array" ref="T898">_xlfn.IFS(S898&lt;=12,"Morning",S898&lt;=16,"Afternoon",S898&lt;=21,"Evening",S898&lt;=24,"Night")</f>
        <v>Evening</v>
      </c>
    </row>
    <row r="899" spans="1:20" x14ac:dyDescent="0.25">
      <c r="A899" s="31" t="s">
        <v>933</v>
      </c>
      <c r="B899" s="27">
        <v>47.27</v>
      </c>
      <c r="C899" s="28">
        <v>6</v>
      </c>
      <c r="D899" s="27">
        <v>14.180999999999999</v>
      </c>
      <c r="E899" s="27">
        <v>297.80099999999999</v>
      </c>
      <c r="F899" s="29">
        <v>43501</v>
      </c>
      <c r="G899" s="30">
        <v>37.922222222222203</v>
      </c>
      <c r="H899" s="31" t="s">
        <v>29</v>
      </c>
      <c r="I899" s="27">
        <v>283.62</v>
      </c>
      <c r="J899" s="32">
        <v>4.7619047620000003</v>
      </c>
      <c r="K899" s="33">
        <v>8.8000000000000007</v>
      </c>
      <c r="L899" s="31" t="str">
        <f>VLOOKUP(A899,'Customer-details'!$A$1:$C$1001,2,FALSE)</f>
        <v>Member</v>
      </c>
      <c r="M899" s="31" t="str">
        <f>VLOOKUP(A899,'Customer-details'!$A$1:$C$1001,3,FALSE)</f>
        <v>Female</v>
      </c>
      <c r="N899" s="31" t="str">
        <f>VLOOKUP(A899,'Product-details'!$A$1:$B$1001,2,FALSE)</f>
        <v>Food and beverages</v>
      </c>
      <c r="O899" s="31" t="str">
        <f>VLOOKUP(A899,'City-details'!$A$1:$C$1001,3,FALSE)</f>
        <v>Naypyitaw</v>
      </c>
      <c r="P899" s="31" t="str">
        <f>VLOOKUP(A899,'City-details'!$A$1:$C$1001,2,FALSE)</f>
        <v>C</v>
      </c>
      <c r="Q899" s="31" t="str">
        <f t="shared" ref="Q899:Q962" si="42">TEXT(F899,"mmm")</f>
        <v>Feb</v>
      </c>
      <c r="R899" s="34" t="str">
        <f t="shared" ref="R899:R962" si="43">TEXT(F899,"ddd")</f>
        <v>Tue</v>
      </c>
      <c r="S899">
        <f t="shared" ref="S899:S962" si="44">HOUR(G899)</f>
        <v>22</v>
      </c>
      <c r="T899" t="str" cm="1">
        <f t="array" ref="T899">_xlfn.IFS(S899&lt;=12,"Morning",S899&lt;=16,"Afternoon",S899&lt;=21,"Evening",S899&lt;=24,"Night")</f>
        <v>Night</v>
      </c>
    </row>
    <row r="900" spans="1:20" x14ac:dyDescent="0.25">
      <c r="A900" s="23" t="s">
        <v>934</v>
      </c>
      <c r="B900" s="19">
        <v>85.6</v>
      </c>
      <c r="C900" s="20">
        <v>7</v>
      </c>
      <c r="D900" s="19">
        <v>29.96</v>
      </c>
      <c r="E900" s="19">
        <v>629.16</v>
      </c>
      <c r="F900" s="21">
        <v>43526</v>
      </c>
      <c r="G900" s="22">
        <v>37.963888888888903</v>
      </c>
      <c r="H900" s="23" t="s">
        <v>29</v>
      </c>
      <c r="I900" s="19">
        <v>599.20000000000005</v>
      </c>
      <c r="J900" s="24">
        <v>4.7619047620000003</v>
      </c>
      <c r="K900" s="25">
        <v>5.3</v>
      </c>
      <c r="L900" s="23" t="str">
        <f>VLOOKUP(A900,'Customer-details'!$A$1:$C$1001,2,FALSE)</f>
        <v>Member</v>
      </c>
      <c r="M900" s="23" t="str">
        <f>VLOOKUP(A900,'Customer-details'!$A$1:$C$1001,3,FALSE)</f>
        <v>Male</v>
      </c>
      <c r="N900" s="23" t="str">
        <f>VLOOKUP(A900,'Product-details'!$A$1:$B$1001,2,FALSE)</f>
        <v>Health and beauty</v>
      </c>
      <c r="O900" s="23" t="str">
        <f>VLOOKUP(A900,'City-details'!$A$1:$C$1001,3,FALSE)</f>
        <v>Naypyitaw</v>
      </c>
      <c r="P900" s="23" t="str">
        <f>VLOOKUP(A900,'City-details'!$A$1:$C$1001,2,FALSE)</f>
        <v>C</v>
      </c>
      <c r="Q900" s="23" t="str">
        <f t="shared" si="42"/>
        <v>Mar</v>
      </c>
      <c r="R900" s="26" t="str">
        <f t="shared" si="43"/>
        <v>Sat</v>
      </c>
      <c r="S900">
        <f t="shared" si="44"/>
        <v>23</v>
      </c>
      <c r="T900" t="str" cm="1">
        <f t="array" ref="T900">_xlfn.IFS(S900&lt;=12,"Morning",S900&lt;=16,"Afternoon",S900&lt;=21,"Evening",S900&lt;=24,"Night")</f>
        <v>Night</v>
      </c>
    </row>
    <row r="901" spans="1:20" x14ac:dyDescent="0.25">
      <c r="A901" s="31" t="s">
        <v>935</v>
      </c>
      <c r="B901" s="27">
        <v>35.04</v>
      </c>
      <c r="C901" s="28">
        <v>9</v>
      </c>
      <c r="D901" s="27">
        <v>15.768000000000001</v>
      </c>
      <c r="E901" s="27">
        <v>331.12799999999999</v>
      </c>
      <c r="F901" s="29">
        <v>43505</v>
      </c>
      <c r="G901" s="30">
        <v>38.005555555555603</v>
      </c>
      <c r="H901" s="31" t="s">
        <v>23</v>
      </c>
      <c r="I901" s="27">
        <v>315.36</v>
      </c>
      <c r="J901" s="32">
        <v>4.7619047620000003</v>
      </c>
      <c r="K901" s="33">
        <v>4.5999999999999996</v>
      </c>
      <c r="L901" s="31" t="str">
        <f>VLOOKUP(A901,'Customer-details'!$A$1:$C$1001,2,FALSE)</f>
        <v>Member</v>
      </c>
      <c r="M901" s="31" t="str">
        <f>VLOOKUP(A901,'Customer-details'!$A$1:$C$1001,3,FALSE)</f>
        <v>Male</v>
      </c>
      <c r="N901" s="31" t="str">
        <f>VLOOKUP(A901,'Product-details'!$A$1:$B$1001,2,FALSE)</f>
        <v>Food and beverages</v>
      </c>
      <c r="O901" s="31" t="str">
        <f>VLOOKUP(A901,'City-details'!$A$1:$C$1001,3,FALSE)</f>
        <v>Yangon</v>
      </c>
      <c r="P901" s="31" t="str">
        <f>VLOOKUP(A901,'City-details'!$A$1:$C$1001,2,FALSE)</f>
        <v>A</v>
      </c>
      <c r="Q901" s="31" t="str">
        <f t="shared" si="42"/>
        <v>Feb</v>
      </c>
      <c r="R901" s="34" t="str">
        <f t="shared" si="43"/>
        <v>Sat</v>
      </c>
      <c r="S901">
        <f t="shared" si="44"/>
        <v>0</v>
      </c>
      <c r="T901" t="str" cm="1">
        <f t="array" ref="T901">_xlfn.IFS(S901&lt;=12,"Morning",S901&lt;=16,"Afternoon",S901&lt;=21,"Evening",S901&lt;=24,"Night")</f>
        <v>Morning</v>
      </c>
    </row>
    <row r="902" spans="1:20" x14ac:dyDescent="0.25">
      <c r="A902" s="23" t="s">
        <v>936</v>
      </c>
      <c r="B902" s="19">
        <v>44.84</v>
      </c>
      <c r="C902" s="20">
        <v>9</v>
      </c>
      <c r="D902" s="19">
        <v>20.178000000000001</v>
      </c>
      <c r="E902" s="19">
        <v>423.738</v>
      </c>
      <c r="F902" s="21">
        <v>43479</v>
      </c>
      <c r="G902" s="22">
        <v>38.047222222222203</v>
      </c>
      <c r="H902" s="23" t="s">
        <v>33</v>
      </c>
      <c r="I902" s="19">
        <v>403.56</v>
      </c>
      <c r="J902" s="24">
        <v>4.7619047620000003</v>
      </c>
      <c r="K902" s="25">
        <v>7.5</v>
      </c>
      <c r="L902" s="23" t="str">
        <f>VLOOKUP(A902,'Customer-details'!$A$1:$C$1001,2,FALSE)</f>
        <v>Member</v>
      </c>
      <c r="M902" s="23" t="str">
        <f>VLOOKUP(A902,'Customer-details'!$A$1:$C$1001,3,FALSE)</f>
        <v>Female</v>
      </c>
      <c r="N902" s="23" t="str">
        <f>VLOOKUP(A902,'Product-details'!$A$1:$B$1001,2,FALSE)</f>
        <v>Electronic accessories</v>
      </c>
      <c r="O902" s="23" t="str">
        <f>VLOOKUP(A902,'City-details'!$A$1:$C$1001,3,FALSE)</f>
        <v>Naypyitaw</v>
      </c>
      <c r="P902" s="23" t="str">
        <f>VLOOKUP(A902,'City-details'!$A$1:$C$1001,2,FALSE)</f>
        <v>C</v>
      </c>
      <c r="Q902" s="23" t="str">
        <f t="shared" si="42"/>
        <v>Jan</v>
      </c>
      <c r="R902" s="26" t="str">
        <f t="shared" si="43"/>
        <v>Mon</v>
      </c>
      <c r="S902">
        <f t="shared" si="44"/>
        <v>1</v>
      </c>
      <c r="T902" t="str" cm="1">
        <f t="array" ref="T902">_xlfn.IFS(S902&lt;=12,"Morning",S902&lt;=16,"Afternoon",S902&lt;=21,"Evening",S902&lt;=24,"Night")</f>
        <v>Morning</v>
      </c>
    </row>
    <row r="903" spans="1:20" x14ac:dyDescent="0.25">
      <c r="A903" s="31" t="s">
        <v>937</v>
      </c>
      <c r="B903" s="27">
        <v>45.97</v>
      </c>
      <c r="C903" s="28">
        <v>4</v>
      </c>
      <c r="D903" s="27">
        <v>9.1940000000000008</v>
      </c>
      <c r="E903" s="27">
        <v>193.07400000000001</v>
      </c>
      <c r="F903" s="29">
        <v>43505</v>
      </c>
      <c r="G903" s="30">
        <v>38.088888888888903</v>
      </c>
      <c r="H903" s="31" t="s">
        <v>23</v>
      </c>
      <c r="I903" s="27">
        <v>183.88</v>
      </c>
      <c r="J903" s="32">
        <v>4.7619047620000003</v>
      </c>
      <c r="K903" s="33">
        <v>5.0999999999999996</v>
      </c>
      <c r="L903" s="31" t="str">
        <f>VLOOKUP(A903,'Customer-details'!$A$1:$C$1001,2,FALSE)</f>
        <v>Normal</v>
      </c>
      <c r="M903" s="31" t="str">
        <f>VLOOKUP(A903,'Customer-details'!$A$1:$C$1001,3,FALSE)</f>
        <v>Male</v>
      </c>
      <c r="N903" s="31" t="str">
        <f>VLOOKUP(A903,'Product-details'!$A$1:$B$1001,2,FALSE)</f>
        <v>Home and lifestyle</v>
      </c>
      <c r="O903" s="31" t="str">
        <f>VLOOKUP(A903,'City-details'!$A$1:$C$1001,3,FALSE)</f>
        <v>Mandalay</v>
      </c>
      <c r="P903" s="31" t="str">
        <f>VLOOKUP(A903,'City-details'!$A$1:$C$1001,2,FALSE)</f>
        <v>B</v>
      </c>
      <c r="Q903" s="31" t="str">
        <f t="shared" si="42"/>
        <v>Feb</v>
      </c>
      <c r="R903" s="34" t="str">
        <f t="shared" si="43"/>
        <v>Sat</v>
      </c>
      <c r="S903">
        <f t="shared" si="44"/>
        <v>2</v>
      </c>
      <c r="T903" t="str" cm="1">
        <f t="array" ref="T903">_xlfn.IFS(S903&lt;=12,"Morning",S903&lt;=16,"Afternoon",S903&lt;=21,"Evening",S903&lt;=24,"Night")</f>
        <v>Morning</v>
      </c>
    </row>
    <row r="904" spans="1:20" x14ac:dyDescent="0.25">
      <c r="A904" s="23" t="s">
        <v>938</v>
      </c>
      <c r="B904" s="19">
        <v>27.73</v>
      </c>
      <c r="C904" s="20">
        <v>5</v>
      </c>
      <c r="D904" s="19">
        <v>6.9325000000000001</v>
      </c>
      <c r="E904" s="19">
        <v>145.58250000000001</v>
      </c>
      <c r="F904" s="21">
        <v>43550</v>
      </c>
      <c r="G904" s="22">
        <v>38.130555555555603</v>
      </c>
      <c r="H904" s="23" t="s">
        <v>33</v>
      </c>
      <c r="I904" s="19">
        <v>138.65</v>
      </c>
      <c r="J904" s="24">
        <v>4.7619047620000003</v>
      </c>
      <c r="K904" s="25">
        <v>4.2</v>
      </c>
      <c r="L904" s="23" t="str">
        <f>VLOOKUP(A904,'Customer-details'!$A$1:$C$1001,2,FALSE)</f>
        <v>Member</v>
      </c>
      <c r="M904" s="23" t="str">
        <f>VLOOKUP(A904,'Customer-details'!$A$1:$C$1001,3,FALSE)</f>
        <v>Female</v>
      </c>
      <c r="N904" s="23" t="str">
        <f>VLOOKUP(A904,'Product-details'!$A$1:$B$1001,2,FALSE)</f>
        <v>Health and beauty</v>
      </c>
      <c r="O904" s="23" t="str">
        <f>VLOOKUP(A904,'City-details'!$A$1:$C$1001,3,FALSE)</f>
        <v>Yangon</v>
      </c>
      <c r="P904" s="23" t="str">
        <f>VLOOKUP(A904,'City-details'!$A$1:$C$1001,2,FALSE)</f>
        <v>A</v>
      </c>
      <c r="Q904" s="23" t="str">
        <f t="shared" si="42"/>
        <v>Mar</v>
      </c>
      <c r="R904" s="26" t="str">
        <f t="shared" si="43"/>
        <v>Tue</v>
      </c>
      <c r="S904">
        <f t="shared" si="44"/>
        <v>3</v>
      </c>
      <c r="T904" t="str" cm="1">
        <f t="array" ref="T904">_xlfn.IFS(S904&lt;=12,"Morning",S904&lt;=16,"Afternoon",S904&lt;=21,"Evening",S904&lt;=24,"Night")</f>
        <v>Morning</v>
      </c>
    </row>
    <row r="905" spans="1:20" x14ac:dyDescent="0.25">
      <c r="A905" s="31" t="s">
        <v>939</v>
      </c>
      <c r="B905" s="27">
        <v>11.53</v>
      </c>
      <c r="C905" s="28">
        <v>7</v>
      </c>
      <c r="D905" s="27">
        <v>4.0354999999999999</v>
      </c>
      <c r="E905" s="27">
        <v>84.745500000000007</v>
      </c>
      <c r="F905" s="29">
        <v>43493</v>
      </c>
      <c r="G905" s="30">
        <v>38.172222222222203</v>
      </c>
      <c r="H905" s="31" t="s">
        <v>29</v>
      </c>
      <c r="I905" s="27">
        <v>80.709999999999994</v>
      </c>
      <c r="J905" s="32">
        <v>4.7619047620000003</v>
      </c>
      <c r="K905" s="33">
        <v>8.1</v>
      </c>
      <c r="L905" s="31" t="str">
        <f>VLOOKUP(A905,'Customer-details'!$A$1:$C$1001,2,FALSE)</f>
        <v>Normal</v>
      </c>
      <c r="M905" s="31" t="str">
        <f>VLOOKUP(A905,'Customer-details'!$A$1:$C$1001,3,FALSE)</f>
        <v>Male</v>
      </c>
      <c r="N905" s="31" t="str">
        <f>VLOOKUP(A905,'Product-details'!$A$1:$B$1001,2,FALSE)</f>
        <v>Food and beverages</v>
      </c>
      <c r="O905" s="31" t="str">
        <f>VLOOKUP(A905,'City-details'!$A$1:$C$1001,3,FALSE)</f>
        <v>Yangon</v>
      </c>
      <c r="P905" s="31" t="str">
        <f>VLOOKUP(A905,'City-details'!$A$1:$C$1001,2,FALSE)</f>
        <v>A</v>
      </c>
      <c r="Q905" s="31" t="str">
        <f t="shared" si="42"/>
        <v>Jan</v>
      </c>
      <c r="R905" s="34" t="str">
        <f t="shared" si="43"/>
        <v>Mon</v>
      </c>
      <c r="S905">
        <f t="shared" si="44"/>
        <v>4</v>
      </c>
      <c r="T905" t="str" cm="1">
        <f t="array" ref="T905">_xlfn.IFS(S905&lt;=12,"Morning",S905&lt;=16,"Afternoon",S905&lt;=21,"Evening",S905&lt;=24,"Night")</f>
        <v>Morning</v>
      </c>
    </row>
    <row r="906" spans="1:20" x14ac:dyDescent="0.25">
      <c r="A906" s="23" t="s">
        <v>940</v>
      </c>
      <c r="B906" s="19">
        <v>58.32</v>
      </c>
      <c r="C906" s="20">
        <v>2</v>
      </c>
      <c r="D906" s="19">
        <v>5.8319999999999999</v>
      </c>
      <c r="E906" s="19">
        <v>122.47199999999999</v>
      </c>
      <c r="F906" s="21">
        <v>43510</v>
      </c>
      <c r="G906" s="22">
        <v>38.213888888888903</v>
      </c>
      <c r="H906" s="23" t="s">
        <v>23</v>
      </c>
      <c r="I906" s="19">
        <v>116.64</v>
      </c>
      <c r="J906" s="24">
        <v>4.7619047620000003</v>
      </c>
      <c r="K906" s="25">
        <v>6</v>
      </c>
      <c r="L906" s="23" t="str">
        <f>VLOOKUP(A906,'Customer-details'!$A$1:$C$1001,2,FALSE)</f>
        <v>Normal</v>
      </c>
      <c r="M906" s="23" t="str">
        <f>VLOOKUP(A906,'Customer-details'!$A$1:$C$1001,3,FALSE)</f>
        <v>Female</v>
      </c>
      <c r="N906" s="23" t="str">
        <f>VLOOKUP(A906,'Product-details'!$A$1:$B$1001,2,FALSE)</f>
        <v>Health and beauty</v>
      </c>
      <c r="O906" s="23" t="str">
        <f>VLOOKUP(A906,'City-details'!$A$1:$C$1001,3,FALSE)</f>
        <v>Naypyitaw</v>
      </c>
      <c r="P906" s="23" t="str">
        <f>VLOOKUP(A906,'City-details'!$A$1:$C$1001,2,FALSE)</f>
        <v>C</v>
      </c>
      <c r="Q906" s="23" t="str">
        <f t="shared" si="42"/>
        <v>Feb</v>
      </c>
      <c r="R906" s="26" t="str">
        <f t="shared" si="43"/>
        <v>Thu</v>
      </c>
      <c r="S906">
        <f t="shared" si="44"/>
        <v>5</v>
      </c>
      <c r="T906" t="str" cm="1">
        <f t="array" ref="T906">_xlfn.IFS(S906&lt;=12,"Morning",S906&lt;=16,"Afternoon",S906&lt;=21,"Evening",S906&lt;=24,"Night")</f>
        <v>Morning</v>
      </c>
    </row>
    <row r="907" spans="1:20" x14ac:dyDescent="0.25">
      <c r="A907" s="31" t="s">
        <v>941</v>
      </c>
      <c r="B907" s="27">
        <v>78.38</v>
      </c>
      <c r="C907" s="28">
        <v>4</v>
      </c>
      <c r="D907" s="27">
        <v>15.676</v>
      </c>
      <c r="E907" s="27">
        <v>329.19600000000003</v>
      </c>
      <c r="F907" s="29">
        <v>43548</v>
      </c>
      <c r="G907" s="30">
        <v>38.255555555555603</v>
      </c>
      <c r="H907" s="31" t="s">
        <v>29</v>
      </c>
      <c r="I907" s="27">
        <v>313.52</v>
      </c>
      <c r="J907" s="32">
        <v>4.7619047620000003</v>
      </c>
      <c r="K907" s="33">
        <v>7.9</v>
      </c>
      <c r="L907" s="31" t="str">
        <f>VLOOKUP(A907,'Customer-details'!$A$1:$C$1001,2,FALSE)</f>
        <v>Member</v>
      </c>
      <c r="M907" s="31" t="str">
        <f>VLOOKUP(A907,'Customer-details'!$A$1:$C$1001,3,FALSE)</f>
        <v>Female</v>
      </c>
      <c r="N907" s="31" t="str">
        <f>VLOOKUP(A907,'Product-details'!$A$1:$B$1001,2,FALSE)</f>
        <v>Home and lifestyle</v>
      </c>
      <c r="O907" s="31" t="str">
        <f>VLOOKUP(A907,'City-details'!$A$1:$C$1001,3,FALSE)</f>
        <v>Naypyitaw</v>
      </c>
      <c r="P907" s="31" t="str">
        <f>VLOOKUP(A907,'City-details'!$A$1:$C$1001,2,FALSE)</f>
        <v>C</v>
      </c>
      <c r="Q907" s="31" t="str">
        <f t="shared" si="42"/>
        <v>Mar</v>
      </c>
      <c r="R907" s="34" t="str">
        <f t="shared" si="43"/>
        <v>Sun</v>
      </c>
      <c r="S907">
        <f t="shared" si="44"/>
        <v>6</v>
      </c>
      <c r="T907" t="str" cm="1">
        <f t="array" ref="T907">_xlfn.IFS(S907&lt;=12,"Morning",S907&lt;=16,"Afternoon",S907&lt;=21,"Evening",S907&lt;=24,"Night")</f>
        <v>Morning</v>
      </c>
    </row>
    <row r="908" spans="1:20" x14ac:dyDescent="0.25">
      <c r="A908" s="23" t="s">
        <v>942</v>
      </c>
      <c r="B908" s="19">
        <v>84.61</v>
      </c>
      <c r="C908" s="20">
        <v>10</v>
      </c>
      <c r="D908" s="19">
        <v>42.305</v>
      </c>
      <c r="E908" s="19">
        <v>888.40499999999997</v>
      </c>
      <c r="F908" s="21">
        <v>43505</v>
      </c>
      <c r="G908" s="22">
        <v>38.297222222222203</v>
      </c>
      <c r="H908" s="23" t="s">
        <v>33</v>
      </c>
      <c r="I908" s="19">
        <v>846.1</v>
      </c>
      <c r="J908" s="24">
        <v>4.7619047620000003</v>
      </c>
      <c r="K908" s="25">
        <v>8.8000000000000007</v>
      </c>
      <c r="L908" s="23" t="str">
        <f>VLOOKUP(A908,'Customer-details'!$A$1:$C$1001,2,FALSE)</f>
        <v>Normal</v>
      </c>
      <c r="M908" s="23" t="str">
        <f>VLOOKUP(A908,'Customer-details'!$A$1:$C$1001,3,FALSE)</f>
        <v>Male</v>
      </c>
      <c r="N908" s="23" t="str">
        <f>VLOOKUP(A908,'Product-details'!$A$1:$B$1001,2,FALSE)</f>
        <v>Health and beauty</v>
      </c>
      <c r="O908" s="23" t="str">
        <f>VLOOKUP(A908,'City-details'!$A$1:$C$1001,3,FALSE)</f>
        <v>Naypyitaw</v>
      </c>
      <c r="P908" s="23" t="str">
        <f>VLOOKUP(A908,'City-details'!$A$1:$C$1001,2,FALSE)</f>
        <v>C</v>
      </c>
      <c r="Q908" s="23" t="str">
        <f t="shared" si="42"/>
        <v>Feb</v>
      </c>
      <c r="R908" s="26" t="str">
        <f t="shared" si="43"/>
        <v>Sat</v>
      </c>
      <c r="S908">
        <f t="shared" si="44"/>
        <v>7</v>
      </c>
      <c r="T908" t="str" cm="1">
        <f t="array" ref="T908">_xlfn.IFS(S908&lt;=12,"Morning",S908&lt;=16,"Afternoon",S908&lt;=21,"Evening",S908&lt;=24,"Night")</f>
        <v>Morning</v>
      </c>
    </row>
    <row r="909" spans="1:20" x14ac:dyDescent="0.25">
      <c r="A909" s="31" t="s">
        <v>943</v>
      </c>
      <c r="B909" s="27">
        <v>82.88</v>
      </c>
      <c r="C909" s="28">
        <v>5</v>
      </c>
      <c r="D909" s="27">
        <v>20.72</v>
      </c>
      <c r="E909" s="27">
        <v>435.12</v>
      </c>
      <c r="F909" s="29">
        <v>43548</v>
      </c>
      <c r="G909" s="30">
        <v>38.338888888888903</v>
      </c>
      <c r="H909" s="31" t="s">
        <v>33</v>
      </c>
      <c r="I909" s="27">
        <v>414.4</v>
      </c>
      <c r="J909" s="32">
        <v>4.7619047620000003</v>
      </c>
      <c r="K909" s="33">
        <v>6.6</v>
      </c>
      <c r="L909" s="31" t="str">
        <f>VLOOKUP(A909,'Customer-details'!$A$1:$C$1001,2,FALSE)</f>
        <v>Normal</v>
      </c>
      <c r="M909" s="31" t="str">
        <f>VLOOKUP(A909,'Customer-details'!$A$1:$C$1001,3,FALSE)</f>
        <v>Female</v>
      </c>
      <c r="N909" s="31" t="str">
        <f>VLOOKUP(A909,'Product-details'!$A$1:$B$1001,2,FALSE)</f>
        <v>Health and beauty</v>
      </c>
      <c r="O909" s="31" t="str">
        <f>VLOOKUP(A909,'City-details'!$A$1:$C$1001,3,FALSE)</f>
        <v>Mandalay</v>
      </c>
      <c r="P909" s="31" t="str">
        <f>VLOOKUP(A909,'City-details'!$A$1:$C$1001,2,FALSE)</f>
        <v>B</v>
      </c>
      <c r="Q909" s="31" t="str">
        <f t="shared" si="42"/>
        <v>Mar</v>
      </c>
      <c r="R909" s="34" t="str">
        <f t="shared" si="43"/>
        <v>Sun</v>
      </c>
      <c r="S909">
        <f t="shared" si="44"/>
        <v>8</v>
      </c>
      <c r="T909" t="str" cm="1">
        <f t="array" ref="T909">_xlfn.IFS(S909&lt;=12,"Morning",S909&lt;=16,"Afternoon",S909&lt;=21,"Evening",S909&lt;=24,"Night")</f>
        <v>Morning</v>
      </c>
    </row>
    <row r="910" spans="1:20" x14ac:dyDescent="0.25">
      <c r="A910" s="23" t="s">
        <v>944</v>
      </c>
      <c r="B910" s="19">
        <v>79.540000000000006</v>
      </c>
      <c r="C910" s="20">
        <v>2</v>
      </c>
      <c r="D910" s="19">
        <v>7.9539999999999997</v>
      </c>
      <c r="E910" s="19">
        <v>167.03399999999999</v>
      </c>
      <c r="F910" s="21">
        <v>43551</v>
      </c>
      <c r="G910" s="22">
        <v>38.380555555555603</v>
      </c>
      <c r="H910" s="23" t="s">
        <v>23</v>
      </c>
      <c r="I910" s="19">
        <v>159.08000000000001</v>
      </c>
      <c r="J910" s="24">
        <v>4.7619047620000003</v>
      </c>
      <c r="K910" s="25">
        <v>6.2</v>
      </c>
      <c r="L910" s="23" t="str">
        <f>VLOOKUP(A910,'Customer-details'!$A$1:$C$1001,2,FALSE)</f>
        <v>Member</v>
      </c>
      <c r="M910" s="23" t="str">
        <f>VLOOKUP(A910,'Customer-details'!$A$1:$C$1001,3,FALSE)</f>
        <v>Female</v>
      </c>
      <c r="N910" s="23" t="str">
        <f>VLOOKUP(A910,'Product-details'!$A$1:$B$1001,2,FALSE)</f>
        <v>Food and beverages</v>
      </c>
      <c r="O910" s="23" t="str">
        <f>VLOOKUP(A910,'City-details'!$A$1:$C$1001,3,FALSE)</f>
        <v>Yangon</v>
      </c>
      <c r="P910" s="23" t="str">
        <f>VLOOKUP(A910,'City-details'!$A$1:$C$1001,2,FALSE)</f>
        <v>A</v>
      </c>
      <c r="Q910" s="23" t="str">
        <f t="shared" si="42"/>
        <v>Mar</v>
      </c>
      <c r="R910" s="26" t="str">
        <f t="shared" si="43"/>
        <v>Wed</v>
      </c>
      <c r="S910">
        <f t="shared" si="44"/>
        <v>9</v>
      </c>
      <c r="T910" t="str" cm="1">
        <f t="array" ref="T910">_xlfn.IFS(S910&lt;=12,"Morning",S910&lt;=16,"Afternoon",S910&lt;=21,"Evening",S910&lt;=24,"Night")</f>
        <v>Morning</v>
      </c>
    </row>
    <row r="911" spans="1:20" x14ac:dyDescent="0.25">
      <c r="A911" s="31" t="s">
        <v>945</v>
      </c>
      <c r="B911" s="27">
        <v>49.01</v>
      </c>
      <c r="C911" s="28">
        <v>10</v>
      </c>
      <c r="D911" s="27">
        <v>24.504999999999999</v>
      </c>
      <c r="E911" s="27">
        <v>514.60500000000002</v>
      </c>
      <c r="F911" s="29">
        <v>43492</v>
      </c>
      <c r="G911" s="30">
        <v>38.422222222222203</v>
      </c>
      <c r="H911" s="31" t="s">
        <v>33</v>
      </c>
      <c r="I911" s="27">
        <v>490.1</v>
      </c>
      <c r="J911" s="32">
        <v>4.7619047620000003</v>
      </c>
      <c r="K911" s="33">
        <v>4.2</v>
      </c>
      <c r="L911" s="31" t="str">
        <f>VLOOKUP(A911,'Customer-details'!$A$1:$C$1001,2,FALSE)</f>
        <v>Normal</v>
      </c>
      <c r="M911" s="31" t="str">
        <f>VLOOKUP(A911,'Customer-details'!$A$1:$C$1001,3,FALSE)</f>
        <v>Female</v>
      </c>
      <c r="N911" s="31" t="str">
        <f>VLOOKUP(A911,'Product-details'!$A$1:$B$1001,2,FALSE)</f>
        <v>Home and lifestyle</v>
      </c>
      <c r="O911" s="31" t="str">
        <f>VLOOKUP(A911,'City-details'!$A$1:$C$1001,3,FALSE)</f>
        <v>Mandalay</v>
      </c>
      <c r="P911" s="31" t="str">
        <f>VLOOKUP(A911,'City-details'!$A$1:$C$1001,2,FALSE)</f>
        <v>B</v>
      </c>
      <c r="Q911" s="31" t="str">
        <f t="shared" si="42"/>
        <v>Jan</v>
      </c>
      <c r="R911" s="34" t="str">
        <f t="shared" si="43"/>
        <v>Sun</v>
      </c>
      <c r="S911">
        <f t="shared" si="44"/>
        <v>10</v>
      </c>
      <c r="T911" t="str" cm="1">
        <f t="array" ref="T911">_xlfn.IFS(S911&lt;=12,"Morning",S911&lt;=16,"Afternoon",S911&lt;=21,"Evening",S911&lt;=24,"Night")</f>
        <v>Morning</v>
      </c>
    </row>
    <row r="912" spans="1:20" x14ac:dyDescent="0.25">
      <c r="A912" s="23" t="s">
        <v>946</v>
      </c>
      <c r="B912" s="19">
        <v>29.15</v>
      </c>
      <c r="C912" s="20">
        <v>3</v>
      </c>
      <c r="D912" s="19">
        <v>4.3724999999999996</v>
      </c>
      <c r="E912" s="19">
        <v>91.822500000000005</v>
      </c>
      <c r="F912" s="21">
        <v>43551</v>
      </c>
      <c r="G912" s="22">
        <v>38.463888888888903</v>
      </c>
      <c r="H912" s="23" t="s">
        <v>33</v>
      </c>
      <c r="I912" s="19">
        <v>87.45</v>
      </c>
      <c r="J912" s="24">
        <v>4.7619047620000003</v>
      </c>
      <c r="K912" s="25">
        <v>7.3</v>
      </c>
      <c r="L912" s="23" t="str">
        <f>VLOOKUP(A912,'Customer-details'!$A$1:$C$1001,2,FALSE)</f>
        <v>Member</v>
      </c>
      <c r="M912" s="23" t="str">
        <f>VLOOKUP(A912,'Customer-details'!$A$1:$C$1001,3,FALSE)</f>
        <v>Female</v>
      </c>
      <c r="N912" s="23" t="str">
        <f>VLOOKUP(A912,'Product-details'!$A$1:$B$1001,2,FALSE)</f>
        <v>Food and beverages</v>
      </c>
      <c r="O912" s="23" t="str">
        <f>VLOOKUP(A912,'City-details'!$A$1:$C$1001,3,FALSE)</f>
        <v>Mandalay</v>
      </c>
      <c r="P912" s="23" t="str">
        <f>VLOOKUP(A912,'City-details'!$A$1:$C$1001,2,FALSE)</f>
        <v>B</v>
      </c>
      <c r="Q912" s="23" t="str">
        <f t="shared" si="42"/>
        <v>Mar</v>
      </c>
      <c r="R912" s="26" t="str">
        <f t="shared" si="43"/>
        <v>Wed</v>
      </c>
      <c r="S912">
        <f t="shared" si="44"/>
        <v>11</v>
      </c>
      <c r="T912" t="str" cm="1">
        <f t="array" ref="T912">_xlfn.IFS(S912&lt;=12,"Morning",S912&lt;=16,"Afternoon",S912&lt;=21,"Evening",S912&lt;=24,"Night")</f>
        <v>Morning</v>
      </c>
    </row>
    <row r="913" spans="1:20" x14ac:dyDescent="0.25">
      <c r="A913" s="31" t="s">
        <v>947</v>
      </c>
      <c r="B913" s="27">
        <v>56.13</v>
      </c>
      <c r="C913" s="28">
        <v>4</v>
      </c>
      <c r="D913" s="27">
        <v>11.226000000000001</v>
      </c>
      <c r="E913" s="27">
        <v>235.74600000000001</v>
      </c>
      <c r="F913" s="29">
        <v>43484</v>
      </c>
      <c r="G913" s="30">
        <v>38.505555555555603</v>
      </c>
      <c r="H913" s="31" t="s">
        <v>23</v>
      </c>
      <c r="I913" s="27">
        <v>224.52</v>
      </c>
      <c r="J913" s="32">
        <v>4.7619047620000003</v>
      </c>
      <c r="K913" s="33">
        <v>8.6</v>
      </c>
      <c r="L913" s="31" t="str">
        <f>VLOOKUP(A913,'Customer-details'!$A$1:$C$1001,2,FALSE)</f>
        <v>Normal</v>
      </c>
      <c r="M913" s="31" t="str">
        <f>VLOOKUP(A913,'Customer-details'!$A$1:$C$1001,3,FALSE)</f>
        <v>Female</v>
      </c>
      <c r="N913" s="31" t="str">
        <f>VLOOKUP(A913,'Product-details'!$A$1:$B$1001,2,FALSE)</f>
        <v>Electronic accessories</v>
      </c>
      <c r="O913" s="31" t="str">
        <f>VLOOKUP(A913,'City-details'!$A$1:$C$1001,3,FALSE)</f>
        <v>Naypyitaw</v>
      </c>
      <c r="P913" s="31" t="str">
        <f>VLOOKUP(A913,'City-details'!$A$1:$C$1001,2,FALSE)</f>
        <v>C</v>
      </c>
      <c r="Q913" s="31" t="str">
        <f t="shared" si="42"/>
        <v>Jan</v>
      </c>
      <c r="R913" s="34" t="str">
        <f t="shared" si="43"/>
        <v>Sat</v>
      </c>
      <c r="S913">
        <f t="shared" si="44"/>
        <v>12</v>
      </c>
      <c r="T913" t="str" cm="1">
        <f t="array" ref="T913">_xlfn.IFS(S913&lt;=12,"Morning",S913&lt;=16,"Afternoon",S913&lt;=21,"Evening",S913&lt;=24,"Night")</f>
        <v>Morning</v>
      </c>
    </row>
    <row r="914" spans="1:20" x14ac:dyDescent="0.25">
      <c r="A914" s="23" t="s">
        <v>948</v>
      </c>
      <c r="B914" s="19">
        <v>93.12</v>
      </c>
      <c r="C914" s="20">
        <v>8</v>
      </c>
      <c r="D914" s="19">
        <v>37.247999999999998</v>
      </c>
      <c r="E914" s="19">
        <v>782.20799999999997</v>
      </c>
      <c r="F914" s="21">
        <v>43503</v>
      </c>
      <c r="G914" s="22">
        <v>38.547222222222203</v>
      </c>
      <c r="H914" s="23" t="s">
        <v>29</v>
      </c>
      <c r="I914" s="19">
        <v>744.96</v>
      </c>
      <c r="J914" s="24">
        <v>4.7619047620000003</v>
      </c>
      <c r="K914" s="25">
        <v>6.8</v>
      </c>
      <c r="L914" s="23" t="str">
        <f>VLOOKUP(A914,'Customer-details'!$A$1:$C$1001,2,FALSE)</f>
        <v>Normal</v>
      </c>
      <c r="M914" s="23" t="str">
        <f>VLOOKUP(A914,'Customer-details'!$A$1:$C$1001,3,FALSE)</f>
        <v>Female</v>
      </c>
      <c r="N914" s="23" t="str">
        <f>VLOOKUP(A914,'Product-details'!$A$1:$B$1001,2,FALSE)</f>
        <v>Home and lifestyle</v>
      </c>
      <c r="O914" s="23" t="str">
        <f>VLOOKUP(A914,'City-details'!$A$1:$C$1001,3,FALSE)</f>
        <v>Yangon</v>
      </c>
      <c r="P914" s="23" t="str">
        <f>VLOOKUP(A914,'City-details'!$A$1:$C$1001,2,FALSE)</f>
        <v>A</v>
      </c>
      <c r="Q914" s="23" t="str">
        <f t="shared" si="42"/>
        <v>Feb</v>
      </c>
      <c r="R914" s="26" t="str">
        <f t="shared" si="43"/>
        <v>Thu</v>
      </c>
      <c r="S914">
        <f t="shared" si="44"/>
        <v>13</v>
      </c>
      <c r="T914" t="str" cm="1">
        <f t="array" ref="T914">_xlfn.IFS(S914&lt;=12,"Morning",S914&lt;=16,"Afternoon",S914&lt;=21,"Evening",S914&lt;=24,"Night")</f>
        <v>Afternoon</v>
      </c>
    </row>
    <row r="915" spans="1:20" x14ac:dyDescent="0.25">
      <c r="A915" s="31" t="s">
        <v>949</v>
      </c>
      <c r="B915" s="27">
        <v>51.34</v>
      </c>
      <c r="C915" s="28">
        <v>8</v>
      </c>
      <c r="D915" s="27">
        <v>20.536000000000001</v>
      </c>
      <c r="E915" s="27">
        <v>431.25599999999997</v>
      </c>
      <c r="F915" s="29">
        <v>43496</v>
      </c>
      <c r="G915" s="30">
        <v>38.588888888888903</v>
      </c>
      <c r="H915" s="31" t="s">
        <v>23</v>
      </c>
      <c r="I915" s="27">
        <v>410.72</v>
      </c>
      <c r="J915" s="32">
        <v>4.7619047620000003</v>
      </c>
      <c r="K915" s="33">
        <v>7.6</v>
      </c>
      <c r="L915" s="31" t="str">
        <f>VLOOKUP(A915,'Customer-details'!$A$1:$C$1001,2,FALSE)</f>
        <v>Member</v>
      </c>
      <c r="M915" s="31" t="str">
        <f>VLOOKUP(A915,'Customer-details'!$A$1:$C$1001,3,FALSE)</f>
        <v>Male</v>
      </c>
      <c r="N915" s="31" t="str">
        <f>VLOOKUP(A915,'Product-details'!$A$1:$B$1001,2,FALSE)</f>
        <v>Fashion accessories</v>
      </c>
      <c r="O915" s="31" t="str">
        <f>VLOOKUP(A915,'City-details'!$A$1:$C$1001,3,FALSE)</f>
        <v>Yangon</v>
      </c>
      <c r="P915" s="31" t="str">
        <f>VLOOKUP(A915,'City-details'!$A$1:$C$1001,2,FALSE)</f>
        <v>A</v>
      </c>
      <c r="Q915" s="31" t="str">
        <f t="shared" si="42"/>
        <v>Jan</v>
      </c>
      <c r="R915" s="34" t="str">
        <f t="shared" si="43"/>
        <v>Thu</v>
      </c>
      <c r="S915">
        <f t="shared" si="44"/>
        <v>14</v>
      </c>
      <c r="T915" t="str" cm="1">
        <f t="array" ref="T915">_xlfn.IFS(S915&lt;=12,"Morning",S915&lt;=16,"Afternoon",S915&lt;=21,"Evening",S915&lt;=24,"Night")</f>
        <v>Afternoon</v>
      </c>
    </row>
    <row r="916" spans="1:20" x14ac:dyDescent="0.25">
      <c r="A916" s="23" t="s">
        <v>950</v>
      </c>
      <c r="B916" s="19">
        <v>99.6</v>
      </c>
      <c r="C916" s="20">
        <v>3</v>
      </c>
      <c r="D916" s="19">
        <v>14.94</v>
      </c>
      <c r="E916" s="19">
        <v>313.74</v>
      </c>
      <c r="F916" s="21">
        <v>43521</v>
      </c>
      <c r="G916" s="22">
        <v>38.630555555555603</v>
      </c>
      <c r="H916" s="23" t="s">
        <v>29</v>
      </c>
      <c r="I916" s="19">
        <v>298.8</v>
      </c>
      <c r="J916" s="24">
        <v>4.7619047620000003</v>
      </c>
      <c r="K916" s="25">
        <v>5.8</v>
      </c>
      <c r="L916" s="23" t="str">
        <f>VLOOKUP(A916,'Customer-details'!$A$1:$C$1001,2,FALSE)</f>
        <v>Member</v>
      </c>
      <c r="M916" s="23" t="str">
        <f>VLOOKUP(A916,'Customer-details'!$A$1:$C$1001,3,FALSE)</f>
        <v>Female</v>
      </c>
      <c r="N916" s="23" t="str">
        <f>VLOOKUP(A916,'Product-details'!$A$1:$B$1001,2,FALSE)</f>
        <v>Food and beverages</v>
      </c>
      <c r="O916" s="23" t="str">
        <f>VLOOKUP(A916,'City-details'!$A$1:$C$1001,3,FALSE)</f>
        <v>Yangon</v>
      </c>
      <c r="P916" s="23" t="str">
        <f>VLOOKUP(A916,'City-details'!$A$1:$C$1001,2,FALSE)</f>
        <v>A</v>
      </c>
      <c r="Q916" s="23" t="str">
        <f t="shared" si="42"/>
        <v>Feb</v>
      </c>
      <c r="R916" s="26" t="str">
        <f t="shared" si="43"/>
        <v>Mon</v>
      </c>
      <c r="S916">
        <f t="shared" si="44"/>
        <v>15</v>
      </c>
      <c r="T916" t="str" cm="1">
        <f t="array" ref="T916">_xlfn.IFS(S916&lt;=12,"Morning",S916&lt;=16,"Afternoon",S916&lt;=21,"Evening",S916&lt;=24,"Night")</f>
        <v>Afternoon</v>
      </c>
    </row>
    <row r="917" spans="1:20" x14ac:dyDescent="0.25">
      <c r="A917" s="31" t="s">
        <v>951</v>
      </c>
      <c r="B917" s="27">
        <v>35.49</v>
      </c>
      <c r="C917" s="28">
        <v>6</v>
      </c>
      <c r="D917" s="27">
        <v>10.647</v>
      </c>
      <c r="E917" s="27">
        <v>223.58699999999999</v>
      </c>
      <c r="F917" s="29">
        <v>43498</v>
      </c>
      <c r="G917" s="30">
        <v>38.672222222222203</v>
      </c>
      <c r="H917" s="31" t="s">
        <v>29</v>
      </c>
      <c r="I917" s="27">
        <v>212.94</v>
      </c>
      <c r="J917" s="32">
        <v>4.7619047620000003</v>
      </c>
      <c r="K917" s="33">
        <v>4.0999999999999996</v>
      </c>
      <c r="L917" s="31" t="str">
        <f>VLOOKUP(A917,'Customer-details'!$A$1:$C$1001,2,FALSE)</f>
        <v>Normal</v>
      </c>
      <c r="M917" s="31" t="str">
        <f>VLOOKUP(A917,'Customer-details'!$A$1:$C$1001,3,FALSE)</f>
        <v>Female</v>
      </c>
      <c r="N917" s="31" t="str">
        <f>VLOOKUP(A917,'Product-details'!$A$1:$B$1001,2,FALSE)</f>
        <v>Electronic accessories</v>
      </c>
      <c r="O917" s="31" t="str">
        <f>VLOOKUP(A917,'City-details'!$A$1:$C$1001,3,FALSE)</f>
        <v>Naypyitaw</v>
      </c>
      <c r="P917" s="31" t="str">
        <f>VLOOKUP(A917,'City-details'!$A$1:$C$1001,2,FALSE)</f>
        <v>C</v>
      </c>
      <c r="Q917" s="31" t="str">
        <f t="shared" si="42"/>
        <v>Feb</v>
      </c>
      <c r="R917" s="34" t="str">
        <f t="shared" si="43"/>
        <v>Sat</v>
      </c>
      <c r="S917">
        <f t="shared" si="44"/>
        <v>16</v>
      </c>
      <c r="T917" t="str" cm="1">
        <f t="array" ref="T917">_xlfn.IFS(S917&lt;=12,"Morning",S917&lt;=16,"Afternoon",S917&lt;=21,"Evening",S917&lt;=24,"Night")</f>
        <v>Afternoon</v>
      </c>
    </row>
    <row r="918" spans="1:20" x14ac:dyDescent="0.25">
      <c r="A918" s="23" t="s">
        <v>952</v>
      </c>
      <c r="B918" s="19">
        <v>42.85</v>
      </c>
      <c r="C918" s="20">
        <v>1</v>
      </c>
      <c r="D918" s="19">
        <v>2.1425000000000001</v>
      </c>
      <c r="E918" s="19">
        <v>44.9925</v>
      </c>
      <c r="F918" s="21">
        <v>43538</v>
      </c>
      <c r="G918" s="22">
        <v>38.713888888888903</v>
      </c>
      <c r="H918" s="23" t="s">
        <v>33</v>
      </c>
      <c r="I918" s="19">
        <v>42.85</v>
      </c>
      <c r="J918" s="24">
        <v>4.7619047620000003</v>
      </c>
      <c r="K918" s="25">
        <v>9.3000000000000007</v>
      </c>
      <c r="L918" s="23" t="str">
        <f>VLOOKUP(A918,'Customer-details'!$A$1:$C$1001,2,FALSE)</f>
        <v>Member</v>
      </c>
      <c r="M918" s="23" t="str">
        <f>VLOOKUP(A918,'Customer-details'!$A$1:$C$1001,3,FALSE)</f>
        <v>Male</v>
      </c>
      <c r="N918" s="23" t="str">
        <f>VLOOKUP(A918,'Product-details'!$A$1:$B$1001,2,FALSE)</f>
        <v>Sports and travel</v>
      </c>
      <c r="O918" s="23" t="str">
        <f>VLOOKUP(A918,'City-details'!$A$1:$C$1001,3,FALSE)</f>
        <v>Naypyitaw</v>
      </c>
      <c r="P918" s="23" t="str">
        <f>VLOOKUP(A918,'City-details'!$A$1:$C$1001,2,FALSE)</f>
        <v>C</v>
      </c>
      <c r="Q918" s="23" t="str">
        <f t="shared" si="42"/>
        <v>Mar</v>
      </c>
      <c r="R918" s="26" t="str">
        <f t="shared" si="43"/>
        <v>Thu</v>
      </c>
      <c r="S918">
        <f t="shared" si="44"/>
        <v>17</v>
      </c>
      <c r="T918" t="str" cm="1">
        <f t="array" ref="T918">_xlfn.IFS(S918&lt;=12,"Morning",S918&lt;=16,"Afternoon",S918&lt;=21,"Evening",S918&lt;=24,"Night")</f>
        <v>Evening</v>
      </c>
    </row>
    <row r="919" spans="1:20" x14ac:dyDescent="0.25">
      <c r="A919" s="31" t="s">
        <v>953</v>
      </c>
      <c r="B919" s="27">
        <v>94.67</v>
      </c>
      <c r="C919" s="28">
        <v>4</v>
      </c>
      <c r="D919" s="27">
        <v>18.934000000000001</v>
      </c>
      <c r="E919" s="27">
        <v>397.61399999999998</v>
      </c>
      <c r="F919" s="29">
        <v>43535</v>
      </c>
      <c r="G919" s="30">
        <v>38.755555555555603</v>
      </c>
      <c r="H919" s="31" t="s">
        <v>29</v>
      </c>
      <c r="I919" s="27">
        <v>378.68</v>
      </c>
      <c r="J919" s="32">
        <v>4.7619047620000003</v>
      </c>
      <c r="K919" s="33">
        <v>6.8</v>
      </c>
      <c r="L919" s="31" t="str">
        <f>VLOOKUP(A919,'Customer-details'!$A$1:$C$1001,2,FALSE)</f>
        <v>Normal</v>
      </c>
      <c r="M919" s="31" t="str">
        <f>VLOOKUP(A919,'Customer-details'!$A$1:$C$1001,3,FALSE)</f>
        <v>Female</v>
      </c>
      <c r="N919" s="31" t="str">
        <f>VLOOKUP(A919,'Product-details'!$A$1:$B$1001,2,FALSE)</f>
        <v>Fashion accessories</v>
      </c>
      <c r="O919" s="31" t="str">
        <f>VLOOKUP(A919,'City-details'!$A$1:$C$1001,3,FALSE)</f>
        <v>Yangon</v>
      </c>
      <c r="P919" s="31" t="str">
        <f>VLOOKUP(A919,'City-details'!$A$1:$C$1001,2,FALSE)</f>
        <v>A</v>
      </c>
      <c r="Q919" s="31" t="str">
        <f t="shared" si="42"/>
        <v>Mar</v>
      </c>
      <c r="R919" s="34" t="str">
        <f t="shared" si="43"/>
        <v>Mon</v>
      </c>
      <c r="S919">
        <f t="shared" si="44"/>
        <v>18</v>
      </c>
      <c r="T919" t="str" cm="1">
        <f t="array" ref="T919">_xlfn.IFS(S919&lt;=12,"Morning",S919&lt;=16,"Afternoon",S919&lt;=21,"Evening",S919&lt;=24,"Night")</f>
        <v>Evening</v>
      </c>
    </row>
    <row r="920" spans="1:20" x14ac:dyDescent="0.25">
      <c r="A920" s="23" t="s">
        <v>954</v>
      </c>
      <c r="B920" s="19">
        <v>68.97</v>
      </c>
      <c r="C920" s="20">
        <v>3</v>
      </c>
      <c r="D920" s="19">
        <v>10.345499999999999</v>
      </c>
      <c r="E920" s="19">
        <v>217.25550000000001</v>
      </c>
      <c r="F920" s="21">
        <v>43518</v>
      </c>
      <c r="G920" s="22">
        <v>38.797222222222203</v>
      </c>
      <c r="H920" s="23" t="s">
        <v>23</v>
      </c>
      <c r="I920" s="19">
        <v>206.91</v>
      </c>
      <c r="J920" s="24">
        <v>4.7619047620000003</v>
      </c>
      <c r="K920" s="25">
        <v>8.6999999999999993</v>
      </c>
      <c r="L920" s="23" t="str">
        <f>VLOOKUP(A920,'Customer-details'!$A$1:$C$1001,2,FALSE)</f>
        <v>Normal</v>
      </c>
      <c r="M920" s="23" t="str">
        <f>VLOOKUP(A920,'Customer-details'!$A$1:$C$1001,3,FALSE)</f>
        <v>Male</v>
      </c>
      <c r="N920" s="23" t="str">
        <f>VLOOKUP(A920,'Product-details'!$A$1:$B$1001,2,FALSE)</f>
        <v>Home and lifestyle</v>
      </c>
      <c r="O920" s="23" t="str">
        <f>VLOOKUP(A920,'City-details'!$A$1:$C$1001,3,FALSE)</f>
        <v>Mandalay</v>
      </c>
      <c r="P920" s="23" t="str">
        <f>VLOOKUP(A920,'City-details'!$A$1:$C$1001,2,FALSE)</f>
        <v>B</v>
      </c>
      <c r="Q920" s="23" t="str">
        <f t="shared" si="42"/>
        <v>Feb</v>
      </c>
      <c r="R920" s="26" t="str">
        <f t="shared" si="43"/>
        <v>Fri</v>
      </c>
      <c r="S920">
        <f t="shared" si="44"/>
        <v>19</v>
      </c>
      <c r="T920" t="str" cm="1">
        <f t="array" ref="T920">_xlfn.IFS(S920&lt;=12,"Morning",S920&lt;=16,"Afternoon",S920&lt;=21,"Evening",S920&lt;=24,"Night")</f>
        <v>Evening</v>
      </c>
    </row>
    <row r="921" spans="1:20" x14ac:dyDescent="0.25">
      <c r="A921" s="31" t="s">
        <v>955</v>
      </c>
      <c r="B921" s="27">
        <v>26.26</v>
      </c>
      <c r="C921" s="28">
        <v>3</v>
      </c>
      <c r="D921" s="27">
        <v>3.9390000000000001</v>
      </c>
      <c r="E921" s="27">
        <v>82.718999999999994</v>
      </c>
      <c r="F921" s="29">
        <v>43526</v>
      </c>
      <c r="G921" s="30">
        <v>38.838888888888903</v>
      </c>
      <c r="H921" s="31" t="s">
        <v>23</v>
      </c>
      <c r="I921" s="27">
        <v>78.78</v>
      </c>
      <c r="J921" s="32">
        <v>4.7619047620000003</v>
      </c>
      <c r="K921" s="33">
        <v>6.3</v>
      </c>
      <c r="L921" s="31" t="str">
        <f>VLOOKUP(A921,'Customer-details'!$A$1:$C$1001,2,FALSE)</f>
        <v>Member</v>
      </c>
      <c r="M921" s="31" t="str">
        <f>VLOOKUP(A921,'Customer-details'!$A$1:$C$1001,3,FALSE)</f>
        <v>Female</v>
      </c>
      <c r="N921" s="31" t="str">
        <f>VLOOKUP(A921,'Product-details'!$A$1:$B$1001,2,FALSE)</f>
        <v>Electronic accessories</v>
      </c>
      <c r="O921" s="31" t="str">
        <f>VLOOKUP(A921,'City-details'!$A$1:$C$1001,3,FALSE)</f>
        <v>Mandalay</v>
      </c>
      <c r="P921" s="31" t="str">
        <f>VLOOKUP(A921,'City-details'!$A$1:$C$1001,2,FALSE)</f>
        <v>B</v>
      </c>
      <c r="Q921" s="31" t="str">
        <f t="shared" si="42"/>
        <v>Mar</v>
      </c>
      <c r="R921" s="34" t="str">
        <f t="shared" si="43"/>
        <v>Sat</v>
      </c>
      <c r="S921">
        <f t="shared" si="44"/>
        <v>20</v>
      </c>
      <c r="T921" t="str" cm="1">
        <f t="array" ref="T921">_xlfn.IFS(S921&lt;=12,"Morning",S921&lt;=16,"Afternoon",S921&lt;=21,"Evening",S921&lt;=24,"Night")</f>
        <v>Evening</v>
      </c>
    </row>
    <row r="922" spans="1:20" x14ac:dyDescent="0.25">
      <c r="A922" s="23" t="s">
        <v>956</v>
      </c>
      <c r="B922" s="19">
        <v>35.79</v>
      </c>
      <c r="C922" s="20">
        <v>9</v>
      </c>
      <c r="D922" s="19">
        <v>16.105499999999999</v>
      </c>
      <c r="E922" s="19">
        <v>338.21550000000002</v>
      </c>
      <c r="F922" s="21">
        <v>43534</v>
      </c>
      <c r="G922" s="22">
        <v>38.880555555555603</v>
      </c>
      <c r="H922" s="23" t="s">
        <v>33</v>
      </c>
      <c r="I922" s="19">
        <v>322.11</v>
      </c>
      <c r="J922" s="24">
        <v>4.7619047620000003</v>
      </c>
      <c r="K922" s="25">
        <v>5.0999999999999996</v>
      </c>
      <c r="L922" s="23" t="str">
        <f>VLOOKUP(A922,'Customer-details'!$A$1:$C$1001,2,FALSE)</f>
        <v>Member</v>
      </c>
      <c r="M922" s="23" t="str">
        <f>VLOOKUP(A922,'Customer-details'!$A$1:$C$1001,3,FALSE)</f>
        <v>Female</v>
      </c>
      <c r="N922" s="23" t="str">
        <f>VLOOKUP(A922,'Product-details'!$A$1:$B$1001,2,FALSE)</f>
        <v>Home and lifestyle</v>
      </c>
      <c r="O922" s="23" t="str">
        <f>VLOOKUP(A922,'City-details'!$A$1:$C$1001,3,FALSE)</f>
        <v>Naypyitaw</v>
      </c>
      <c r="P922" s="23" t="str">
        <f>VLOOKUP(A922,'City-details'!$A$1:$C$1001,2,FALSE)</f>
        <v>C</v>
      </c>
      <c r="Q922" s="23" t="str">
        <f t="shared" si="42"/>
        <v>Mar</v>
      </c>
      <c r="R922" s="26" t="str">
        <f t="shared" si="43"/>
        <v>Sun</v>
      </c>
      <c r="S922">
        <f t="shared" si="44"/>
        <v>21</v>
      </c>
      <c r="T922" t="str" cm="1">
        <f t="array" ref="T922">_xlfn.IFS(S922&lt;=12,"Morning",S922&lt;=16,"Afternoon",S922&lt;=21,"Evening",S922&lt;=24,"Night")</f>
        <v>Evening</v>
      </c>
    </row>
    <row r="923" spans="1:20" x14ac:dyDescent="0.25">
      <c r="A923" s="31" t="s">
        <v>957</v>
      </c>
      <c r="B923" s="27">
        <v>16.37</v>
      </c>
      <c r="C923" s="28">
        <v>6</v>
      </c>
      <c r="D923" s="27">
        <v>4.9109999999999996</v>
      </c>
      <c r="E923" s="27">
        <v>103.131</v>
      </c>
      <c r="F923" s="29">
        <v>43504</v>
      </c>
      <c r="G923" s="30">
        <v>38.922222222222203</v>
      </c>
      <c r="H923" s="31" t="s">
        <v>29</v>
      </c>
      <c r="I923" s="27">
        <v>98.22</v>
      </c>
      <c r="J923" s="32">
        <v>4.7619047620000003</v>
      </c>
      <c r="K923" s="33">
        <v>7</v>
      </c>
      <c r="L923" s="31" t="str">
        <f>VLOOKUP(A923,'Customer-details'!$A$1:$C$1001,2,FALSE)</f>
        <v>Normal</v>
      </c>
      <c r="M923" s="31" t="str">
        <f>VLOOKUP(A923,'Customer-details'!$A$1:$C$1001,3,FALSE)</f>
        <v>Female</v>
      </c>
      <c r="N923" s="31" t="str">
        <f>VLOOKUP(A923,'Product-details'!$A$1:$B$1001,2,FALSE)</f>
        <v>Home and lifestyle</v>
      </c>
      <c r="O923" s="31" t="str">
        <f>VLOOKUP(A923,'City-details'!$A$1:$C$1001,3,FALSE)</f>
        <v>Mandalay</v>
      </c>
      <c r="P923" s="31" t="str">
        <f>VLOOKUP(A923,'City-details'!$A$1:$C$1001,2,FALSE)</f>
        <v>B</v>
      </c>
      <c r="Q923" s="31" t="str">
        <f t="shared" si="42"/>
        <v>Feb</v>
      </c>
      <c r="R923" s="34" t="str">
        <f t="shared" si="43"/>
        <v>Fri</v>
      </c>
      <c r="S923">
        <f t="shared" si="44"/>
        <v>22</v>
      </c>
      <c r="T923" t="str" cm="1">
        <f t="array" ref="T923">_xlfn.IFS(S923&lt;=12,"Morning",S923&lt;=16,"Afternoon",S923&lt;=21,"Evening",S923&lt;=24,"Night")</f>
        <v>Night</v>
      </c>
    </row>
    <row r="924" spans="1:20" x14ac:dyDescent="0.25">
      <c r="A924" s="23" t="s">
        <v>958</v>
      </c>
      <c r="B924" s="19">
        <v>12.73</v>
      </c>
      <c r="C924" s="20">
        <v>2</v>
      </c>
      <c r="D924" s="19">
        <v>1.2729999999999999</v>
      </c>
      <c r="E924" s="19">
        <v>26.733000000000001</v>
      </c>
      <c r="F924" s="21">
        <v>43518</v>
      </c>
      <c r="G924" s="22">
        <v>38.963888888888903</v>
      </c>
      <c r="H924" s="23" t="s">
        <v>33</v>
      </c>
      <c r="I924" s="19">
        <v>25.46</v>
      </c>
      <c r="J924" s="24">
        <v>4.7619047620000003</v>
      </c>
      <c r="K924" s="25">
        <v>5.2</v>
      </c>
      <c r="L924" s="23" t="str">
        <f>VLOOKUP(A924,'Customer-details'!$A$1:$C$1001,2,FALSE)</f>
        <v>Member</v>
      </c>
      <c r="M924" s="23" t="str">
        <f>VLOOKUP(A924,'Customer-details'!$A$1:$C$1001,3,FALSE)</f>
        <v>Female</v>
      </c>
      <c r="N924" s="23" t="str">
        <f>VLOOKUP(A924,'Product-details'!$A$1:$B$1001,2,FALSE)</f>
        <v>Home and lifestyle</v>
      </c>
      <c r="O924" s="23" t="str">
        <f>VLOOKUP(A924,'City-details'!$A$1:$C$1001,3,FALSE)</f>
        <v>Naypyitaw</v>
      </c>
      <c r="P924" s="23" t="str">
        <f>VLOOKUP(A924,'City-details'!$A$1:$C$1001,2,FALSE)</f>
        <v>C</v>
      </c>
      <c r="Q924" s="23" t="str">
        <f t="shared" si="42"/>
        <v>Feb</v>
      </c>
      <c r="R924" s="26" t="str">
        <f t="shared" si="43"/>
        <v>Fri</v>
      </c>
      <c r="S924">
        <f t="shared" si="44"/>
        <v>23</v>
      </c>
      <c r="T924" t="str" cm="1">
        <f t="array" ref="T924">_xlfn.IFS(S924&lt;=12,"Morning",S924&lt;=16,"Afternoon",S924&lt;=21,"Evening",S924&lt;=24,"Night")</f>
        <v>Night</v>
      </c>
    </row>
    <row r="925" spans="1:20" x14ac:dyDescent="0.25">
      <c r="A925" s="31" t="s">
        <v>959</v>
      </c>
      <c r="B925" s="27">
        <v>83.14</v>
      </c>
      <c r="C925" s="28">
        <v>7</v>
      </c>
      <c r="D925" s="27">
        <v>29.099</v>
      </c>
      <c r="E925" s="27">
        <v>611.07899999999995</v>
      </c>
      <c r="F925" s="29">
        <v>43475</v>
      </c>
      <c r="G925" s="30">
        <v>39.005555555555603</v>
      </c>
      <c r="H925" s="31" t="s">
        <v>33</v>
      </c>
      <c r="I925" s="27">
        <v>581.98</v>
      </c>
      <c r="J925" s="32">
        <v>4.7619047620000003</v>
      </c>
      <c r="K925" s="33">
        <v>6.6</v>
      </c>
      <c r="L925" s="31" t="str">
        <f>VLOOKUP(A925,'Customer-details'!$A$1:$C$1001,2,FALSE)</f>
        <v>Normal</v>
      </c>
      <c r="M925" s="31" t="str">
        <f>VLOOKUP(A925,'Customer-details'!$A$1:$C$1001,3,FALSE)</f>
        <v>Female</v>
      </c>
      <c r="N925" s="31" t="str">
        <f>VLOOKUP(A925,'Product-details'!$A$1:$B$1001,2,FALSE)</f>
        <v>Sports and travel</v>
      </c>
      <c r="O925" s="31" t="str">
        <f>VLOOKUP(A925,'City-details'!$A$1:$C$1001,3,FALSE)</f>
        <v>Naypyitaw</v>
      </c>
      <c r="P925" s="31" t="str">
        <f>VLOOKUP(A925,'City-details'!$A$1:$C$1001,2,FALSE)</f>
        <v>C</v>
      </c>
      <c r="Q925" s="31" t="str">
        <f t="shared" si="42"/>
        <v>Jan</v>
      </c>
      <c r="R925" s="34" t="str">
        <f t="shared" si="43"/>
        <v>Thu</v>
      </c>
      <c r="S925">
        <f t="shared" si="44"/>
        <v>0</v>
      </c>
      <c r="T925" t="str" cm="1">
        <f t="array" ref="T925">_xlfn.IFS(S925&lt;=12,"Morning",S925&lt;=16,"Afternoon",S925&lt;=21,"Evening",S925&lt;=24,"Night")</f>
        <v>Morning</v>
      </c>
    </row>
    <row r="926" spans="1:20" x14ac:dyDescent="0.25">
      <c r="A926" s="23" t="s">
        <v>960</v>
      </c>
      <c r="B926" s="19">
        <v>35.22</v>
      </c>
      <c r="C926" s="20">
        <v>6</v>
      </c>
      <c r="D926" s="19">
        <v>10.566000000000001</v>
      </c>
      <c r="E926" s="19">
        <v>221.886</v>
      </c>
      <c r="F926" s="21">
        <v>43538</v>
      </c>
      <c r="G926" s="22">
        <v>39.047222222222203</v>
      </c>
      <c r="H926" s="23" t="s">
        <v>23</v>
      </c>
      <c r="I926" s="19">
        <v>211.32</v>
      </c>
      <c r="J926" s="24">
        <v>4.7619047620000003</v>
      </c>
      <c r="K926" s="25">
        <v>6.5</v>
      </c>
      <c r="L926" s="23" t="str">
        <f>VLOOKUP(A926,'Customer-details'!$A$1:$C$1001,2,FALSE)</f>
        <v>Member</v>
      </c>
      <c r="M926" s="23" t="str">
        <f>VLOOKUP(A926,'Customer-details'!$A$1:$C$1001,3,FALSE)</f>
        <v>Female</v>
      </c>
      <c r="N926" s="23" t="str">
        <f>VLOOKUP(A926,'Product-details'!$A$1:$B$1001,2,FALSE)</f>
        <v>Sports and travel</v>
      </c>
      <c r="O926" s="23" t="str">
        <f>VLOOKUP(A926,'City-details'!$A$1:$C$1001,3,FALSE)</f>
        <v>Naypyitaw</v>
      </c>
      <c r="P926" s="23" t="str">
        <f>VLOOKUP(A926,'City-details'!$A$1:$C$1001,2,FALSE)</f>
        <v>C</v>
      </c>
      <c r="Q926" s="23" t="str">
        <f t="shared" si="42"/>
        <v>Mar</v>
      </c>
      <c r="R926" s="26" t="str">
        <f t="shared" si="43"/>
        <v>Thu</v>
      </c>
      <c r="S926">
        <f t="shared" si="44"/>
        <v>1</v>
      </c>
      <c r="T926" t="str" cm="1">
        <f t="array" ref="T926">_xlfn.IFS(S926&lt;=12,"Morning",S926&lt;=16,"Afternoon",S926&lt;=21,"Evening",S926&lt;=24,"Night")</f>
        <v>Morning</v>
      </c>
    </row>
    <row r="927" spans="1:20" x14ac:dyDescent="0.25">
      <c r="A927" s="31" t="s">
        <v>961</v>
      </c>
      <c r="B927" s="27">
        <v>13.78</v>
      </c>
      <c r="C927" s="28">
        <v>4</v>
      </c>
      <c r="D927" s="27">
        <v>2.7559999999999998</v>
      </c>
      <c r="E927" s="27">
        <v>57.875999999999998</v>
      </c>
      <c r="F927" s="29">
        <v>43475</v>
      </c>
      <c r="G927" s="30">
        <v>39.088888888888903</v>
      </c>
      <c r="H927" s="31" t="s">
        <v>23</v>
      </c>
      <c r="I927" s="27">
        <v>55.12</v>
      </c>
      <c r="J927" s="32">
        <v>4.7619047620000003</v>
      </c>
      <c r="K927" s="33">
        <v>9</v>
      </c>
      <c r="L927" s="31" t="str">
        <f>VLOOKUP(A927,'Customer-details'!$A$1:$C$1001,2,FALSE)</f>
        <v>Normal</v>
      </c>
      <c r="M927" s="31" t="str">
        <f>VLOOKUP(A927,'Customer-details'!$A$1:$C$1001,3,FALSE)</f>
        <v>Female</v>
      </c>
      <c r="N927" s="31" t="str">
        <f>VLOOKUP(A927,'Product-details'!$A$1:$B$1001,2,FALSE)</f>
        <v>Electronic accessories</v>
      </c>
      <c r="O927" s="31" t="str">
        <f>VLOOKUP(A927,'City-details'!$A$1:$C$1001,3,FALSE)</f>
        <v>Mandalay</v>
      </c>
      <c r="P927" s="31" t="str">
        <f>VLOOKUP(A927,'City-details'!$A$1:$C$1001,2,FALSE)</f>
        <v>B</v>
      </c>
      <c r="Q927" s="31" t="str">
        <f t="shared" si="42"/>
        <v>Jan</v>
      </c>
      <c r="R927" s="34" t="str">
        <f t="shared" si="43"/>
        <v>Thu</v>
      </c>
      <c r="S927">
        <f t="shared" si="44"/>
        <v>2</v>
      </c>
      <c r="T927" t="str" cm="1">
        <f t="array" ref="T927">_xlfn.IFS(S927&lt;=12,"Morning",S927&lt;=16,"Afternoon",S927&lt;=21,"Evening",S927&lt;=24,"Night")</f>
        <v>Morning</v>
      </c>
    </row>
    <row r="928" spans="1:20" x14ac:dyDescent="0.25">
      <c r="A928" s="23" t="s">
        <v>962</v>
      </c>
      <c r="B928" s="19">
        <v>88.31</v>
      </c>
      <c r="C928" s="20">
        <v>1</v>
      </c>
      <c r="D928" s="19">
        <v>4.4154999999999998</v>
      </c>
      <c r="E928" s="19">
        <v>92.725499999999997</v>
      </c>
      <c r="F928" s="21">
        <v>43511</v>
      </c>
      <c r="G928" s="22">
        <v>39.130555555555603</v>
      </c>
      <c r="H928" s="23" t="s">
        <v>33</v>
      </c>
      <c r="I928" s="19">
        <v>88.31</v>
      </c>
      <c r="J928" s="24">
        <v>4.7619047620000003</v>
      </c>
      <c r="K928" s="25">
        <v>5.2</v>
      </c>
      <c r="L928" s="23" t="str">
        <f>VLOOKUP(A928,'Customer-details'!$A$1:$C$1001,2,FALSE)</f>
        <v>Member</v>
      </c>
      <c r="M928" s="23" t="str">
        <f>VLOOKUP(A928,'Customer-details'!$A$1:$C$1001,3,FALSE)</f>
        <v>Male</v>
      </c>
      <c r="N928" s="23" t="str">
        <f>VLOOKUP(A928,'Product-details'!$A$1:$B$1001,2,FALSE)</f>
        <v>Sports and travel</v>
      </c>
      <c r="O928" s="23" t="str">
        <f>VLOOKUP(A928,'City-details'!$A$1:$C$1001,3,FALSE)</f>
        <v>Mandalay</v>
      </c>
      <c r="P928" s="23" t="str">
        <f>VLOOKUP(A928,'City-details'!$A$1:$C$1001,2,FALSE)</f>
        <v>B</v>
      </c>
      <c r="Q928" s="23" t="str">
        <f t="shared" si="42"/>
        <v>Feb</v>
      </c>
      <c r="R928" s="26" t="str">
        <f t="shared" si="43"/>
        <v>Fri</v>
      </c>
      <c r="S928">
        <f t="shared" si="44"/>
        <v>3</v>
      </c>
      <c r="T928" t="str" cm="1">
        <f t="array" ref="T928">_xlfn.IFS(S928&lt;=12,"Morning",S928&lt;=16,"Afternoon",S928&lt;=21,"Evening",S928&lt;=24,"Night")</f>
        <v>Morning</v>
      </c>
    </row>
    <row r="929" spans="1:20" x14ac:dyDescent="0.25">
      <c r="A929" s="31" t="s">
        <v>963</v>
      </c>
      <c r="B929" s="27">
        <v>39.619999999999997</v>
      </c>
      <c r="C929" s="28">
        <v>9</v>
      </c>
      <c r="D929" s="27">
        <v>17.829000000000001</v>
      </c>
      <c r="E929" s="27">
        <v>374.40899999999999</v>
      </c>
      <c r="F929" s="29">
        <v>43478</v>
      </c>
      <c r="G929" s="30">
        <v>39.172222222222203</v>
      </c>
      <c r="H929" s="31" t="s">
        <v>33</v>
      </c>
      <c r="I929" s="27">
        <v>356.58</v>
      </c>
      <c r="J929" s="32">
        <v>4.7619047620000003</v>
      </c>
      <c r="K929" s="33">
        <v>6.8</v>
      </c>
      <c r="L929" s="31" t="str">
        <f>VLOOKUP(A929,'Customer-details'!$A$1:$C$1001,2,FALSE)</f>
        <v>Member</v>
      </c>
      <c r="M929" s="31" t="str">
        <f>VLOOKUP(A929,'Customer-details'!$A$1:$C$1001,3,FALSE)</f>
        <v>Female</v>
      </c>
      <c r="N929" s="31" t="str">
        <f>VLOOKUP(A929,'Product-details'!$A$1:$B$1001,2,FALSE)</f>
        <v>Health and beauty</v>
      </c>
      <c r="O929" s="31" t="str">
        <f>VLOOKUP(A929,'City-details'!$A$1:$C$1001,3,FALSE)</f>
        <v>Yangon</v>
      </c>
      <c r="P929" s="31" t="str">
        <f>VLOOKUP(A929,'City-details'!$A$1:$C$1001,2,FALSE)</f>
        <v>A</v>
      </c>
      <c r="Q929" s="31" t="str">
        <f t="shared" si="42"/>
        <v>Jan</v>
      </c>
      <c r="R929" s="34" t="str">
        <f t="shared" si="43"/>
        <v>Sun</v>
      </c>
      <c r="S929">
        <f t="shared" si="44"/>
        <v>4</v>
      </c>
      <c r="T929" t="str" cm="1">
        <f t="array" ref="T929">_xlfn.IFS(S929&lt;=12,"Morning",S929&lt;=16,"Afternoon",S929&lt;=21,"Evening",S929&lt;=24,"Night")</f>
        <v>Morning</v>
      </c>
    </row>
    <row r="930" spans="1:20" x14ac:dyDescent="0.25">
      <c r="A930" s="23" t="s">
        <v>964</v>
      </c>
      <c r="B930" s="19">
        <v>88.25</v>
      </c>
      <c r="C930" s="20">
        <v>9</v>
      </c>
      <c r="D930" s="19">
        <v>39.712499999999999</v>
      </c>
      <c r="E930" s="19">
        <v>833.96249999999998</v>
      </c>
      <c r="F930" s="21">
        <v>43511</v>
      </c>
      <c r="G930" s="22">
        <v>39.213888888888903</v>
      </c>
      <c r="H930" s="23" t="s">
        <v>33</v>
      </c>
      <c r="I930" s="19">
        <v>794.25</v>
      </c>
      <c r="J930" s="24">
        <v>4.7619047620000003</v>
      </c>
      <c r="K930" s="25">
        <v>7.6</v>
      </c>
      <c r="L930" s="23" t="str">
        <f>VLOOKUP(A930,'Customer-details'!$A$1:$C$1001,2,FALSE)</f>
        <v>Normal</v>
      </c>
      <c r="M930" s="23" t="str">
        <f>VLOOKUP(A930,'Customer-details'!$A$1:$C$1001,3,FALSE)</f>
        <v>Female</v>
      </c>
      <c r="N930" s="23" t="str">
        <f>VLOOKUP(A930,'Product-details'!$A$1:$B$1001,2,FALSE)</f>
        <v>Electronic accessories</v>
      </c>
      <c r="O930" s="23" t="str">
        <f>VLOOKUP(A930,'City-details'!$A$1:$C$1001,3,FALSE)</f>
        <v>Mandalay</v>
      </c>
      <c r="P930" s="23" t="str">
        <f>VLOOKUP(A930,'City-details'!$A$1:$C$1001,2,FALSE)</f>
        <v>B</v>
      </c>
      <c r="Q930" s="23" t="str">
        <f t="shared" si="42"/>
        <v>Feb</v>
      </c>
      <c r="R930" s="26" t="str">
        <f t="shared" si="43"/>
        <v>Fri</v>
      </c>
      <c r="S930">
        <f t="shared" si="44"/>
        <v>5</v>
      </c>
      <c r="T930" t="str" cm="1">
        <f t="array" ref="T930">_xlfn.IFS(S930&lt;=12,"Morning",S930&lt;=16,"Afternoon",S930&lt;=21,"Evening",S930&lt;=24,"Night")</f>
        <v>Morning</v>
      </c>
    </row>
    <row r="931" spans="1:20" x14ac:dyDescent="0.25">
      <c r="A931" s="31" t="s">
        <v>965</v>
      </c>
      <c r="B931" s="27">
        <v>25.31</v>
      </c>
      <c r="C931" s="28">
        <v>2</v>
      </c>
      <c r="D931" s="27">
        <v>2.5310000000000001</v>
      </c>
      <c r="E931" s="27">
        <v>53.151000000000003</v>
      </c>
      <c r="F931" s="29">
        <v>43526</v>
      </c>
      <c r="G931" s="30">
        <v>39.255555555555603</v>
      </c>
      <c r="H931" s="31" t="s">
        <v>23</v>
      </c>
      <c r="I931" s="27">
        <v>50.62</v>
      </c>
      <c r="J931" s="32">
        <v>4.7619047620000003</v>
      </c>
      <c r="K931" s="33">
        <v>7.2</v>
      </c>
      <c r="L931" s="31" t="str">
        <f>VLOOKUP(A931,'Customer-details'!$A$1:$C$1001,2,FALSE)</f>
        <v>Normal</v>
      </c>
      <c r="M931" s="31" t="str">
        <f>VLOOKUP(A931,'Customer-details'!$A$1:$C$1001,3,FALSE)</f>
        <v>Male</v>
      </c>
      <c r="N931" s="31" t="str">
        <f>VLOOKUP(A931,'Product-details'!$A$1:$B$1001,2,FALSE)</f>
        <v>Sports and travel</v>
      </c>
      <c r="O931" s="31" t="str">
        <f>VLOOKUP(A931,'City-details'!$A$1:$C$1001,3,FALSE)</f>
        <v>Mandalay</v>
      </c>
      <c r="P931" s="31" t="str">
        <f>VLOOKUP(A931,'City-details'!$A$1:$C$1001,2,FALSE)</f>
        <v>B</v>
      </c>
      <c r="Q931" s="31" t="str">
        <f t="shared" si="42"/>
        <v>Mar</v>
      </c>
      <c r="R931" s="34" t="str">
        <f t="shared" si="43"/>
        <v>Sat</v>
      </c>
      <c r="S931">
        <f t="shared" si="44"/>
        <v>6</v>
      </c>
      <c r="T931" t="str" cm="1">
        <f t="array" ref="T931">_xlfn.IFS(S931&lt;=12,"Morning",S931&lt;=16,"Afternoon",S931&lt;=21,"Evening",S931&lt;=24,"Night")</f>
        <v>Morning</v>
      </c>
    </row>
    <row r="932" spans="1:20" x14ac:dyDescent="0.25">
      <c r="A932" s="23" t="s">
        <v>966</v>
      </c>
      <c r="B932" s="19">
        <v>99.92</v>
      </c>
      <c r="C932" s="20">
        <v>6</v>
      </c>
      <c r="D932" s="19">
        <v>29.975999999999999</v>
      </c>
      <c r="E932" s="19">
        <v>629.49599999999998</v>
      </c>
      <c r="F932" s="21">
        <v>43548</v>
      </c>
      <c r="G932" s="22">
        <v>39.297222222222203</v>
      </c>
      <c r="H932" s="23" t="s">
        <v>23</v>
      </c>
      <c r="I932" s="19">
        <v>599.52</v>
      </c>
      <c r="J932" s="24">
        <v>4.7619047620000003</v>
      </c>
      <c r="K932" s="25">
        <v>7.1</v>
      </c>
      <c r="L932" s="23" t="str">
        <f>VLOOKUP(A932,'Customer-details'!$A$1:$C$1001,2,FALSE)</f>
        <v>Normal</v>
      </c>
      <c r="M932" s="23" t="str">
        <f>VLOOKUP(A932,'Customer-details'!$A$1:$C$1001,3,FALSE)</f>
        <v>Male</v>
      </c>
      <c r="N932" s="23" t="str">
        <f>VLOOKUP(A932,'Product-details'!$A$1:$B$1001,2,FALSE)</f>
        <v>Home and lifestyle</v>
      </c>
      <c r="O932" s="23" t="str">
        <f>VLOOKUP(A932,'City-details'!$A$1:$C$1001,3,FALSE)</f>
        <v>Mandalay</v>
      </c>
      <c r="P932" s="23" t="str">
        <f>VLOOKUP(A932,'City-details'!$A$1:$C$1001,2,FALSE)</f>
        <v>B</v>
      </c>
      <c r="Q932" s="23" t="str">
        <f t="shared" si="42"/>
        <v>Mar</v>
      </c>
      <c r="R932" s="26" t="str">
        <f t="shared" si="43"/>
        <v>Sun</v>
      </c>
      <c r="S932">
        <f t="shared" si="44"/>
        <v>7</v>
      </c>
      <c r="T932" t="str" cm="1">
        <f t="array" ref="T932">_xlfn.IFS(S932&lt;=12,"Morning",S932&lt;=16,"Afternoon",S932&lt;=21,"Evening",S932&lt;=24,"Night")</f>
        <v>Morning</v>
      </c>
    </row>
    <row r="933" spans="1:20" x14ac:dyDescent="0.25">
      <c r="A933" s="31" t="s">
        <v>967</v>
      </c>
      <c r="B933" s="27">
        <v>83.35</v>
      </c>
      <c r="C933" s="28">
        <v>2</v>
      </c>
      <c r="D933" s="27">
        <v>8.3350000000000009</v>
      </c>
      <c r="E933" s="27">
        <v>175.035</v>
      </c>
      <c r="F933" s="29">
        <v>43498</v>
      </c>
      <c r="G933" s="30">
        <v>39.338888888888903</v>
      </c>
      <c r="H933" s="31" t="s">
        <v>33</v>
      </c>
      <c r="I933" s="27">
        <v>166.7</v>
      </c>
      <c r="J933" s="32">
        <v>4.7619047620000003</v>
      </c>
      <c r="K933" s="33">
        <v>9.5</v>
      </c>
      <c r="L933" s="31" t="str">
        <f>VLOOKUP(A933,'Customer-details'!$A$1:$C$1001,2,FALSE)</f>
        <v>Member</v>
      </c>
      <c r="M933" s="31" t="str">
        <f>VLOOKUP(A933,'Customer-details'!$A$1:$C$1001,3,FALSE)</f>
        <v>Female</v>
      </c>
      <c r="N933" s="31" t="str">
        <f>VLOOKUP(A933,'Product-details'!$A$1:$B$1001,2,FALSE)</f>
        <v>Fashion accessories</v>
      </c>
      <c r="O933" s="31" t="str">
        <f>VLOOKUP(A933,'City-details'!$A$1:$C$1001,3,FALSE)</f>
        <v>Naypyitaw</v>
      </c>
      <c r="P933" s="31" t="str">
        <f>VLOOKUP(A933,'City-details'!$A$1:$C$1001,2,FALSE)</f>
        <v>C</v>
      </c>
      <c r="Q933" s="31" t="str">
        <f t="shared" si="42"/>
        <v>Feb</v>
      </c>
      <c r="R933" s="34" t="str">
        <f t="shared" si="43"/>
        <v>Sat</v>
      </c>
      <c r="S933">
        <f t="shared" si="44"/>
        <v>8</v>
      </c>
      <c r="T933" t="str" cm="1">
        <f t="array" ref="T933">_xlfn.IFS(S933&lt;=12,"Morning",S933&lt;=16,"Afternoon",S933&lt;=21,"Evening",S933&lt;=24,"Night")</f>
        <v>Morning</v>
      </c>
    </row>
    <row r="934" spans="1:20" x14ac:dyDescent="0.25">
      <c r="A934" s="23" t="s">
        <v>968</v>
      </c>
      <c r="B934" s="19">
        <v>74.44</v>
      </c>
      <c r="C934" s="20">
        <v>10</v>
      </c>
      <c r="D934" s="19">
        <v>37.22</v>
      </c>
      <c r="E934" s="19">
        <v>781.62</v>
      </c>
      <c r="F934" s="21">
        <v>43523</v>
      </c>
      <c r="G934" s="22">
        <v>39.380555555555603</v>
      </c>
      <c r="H934" s="23" t="s">
        <v>23</v>
      </c>
      <c r="I934" s="19">
        <v>744.4</v>
      </c>
      <c r="J934" s="24">
        <v>4.7619047620000003</v>
      </c>
      <c r="K934" s="25">
        <v>5.0999999999999996</v>
      </c>
      <c r="L934" s="23" t="str">
        <f>VLOOKUP(A934,'Customer-details'!$A$1:$C$1001,2,FALSE)</f>
        <v>Normal</v>
      </c>
      <c r="M934" s="23" t="str">
        <f>VLOOKUP(A934,'Customer-details'!$A$1:$C$1001,3,FALSE)</f>
        <v>Female</v>
      </c>
      <c r="N934" s="23" t="str">
        <f>VLOOKUP(A934,'Product-details'!$A$1:$B$1001,2,FALSE)</f>
        <v>Food and beverages</v>
      </c>
      <c r="O934" s="23" t="str">
        <f>VLOOKUP(A934,'City-details'!$A$1:$C$1001,3,FALSE)</f>
        <v>Yangon</v>
      </c>
      <c r="P934" s="23" t="str">
        <f>VLOOKUP(A934,'City-details'!$A$1:$C$1001,2,FALSE)</f>
        <v>A</v>
      </c>
      <c r="Q934" s="23" t="str">
        <f t="shared" si="42"/>
        <v>Feb</v>
      </c>
      <c r="R934" s="26" t="str">
        <f t="shared" si="43"/>
        <v>Wed</v>
      </c>
      <c r="S934">
        <f t="shared" si="44"/>
        <v>9</v>
      </c>
      <c r="T934" t="str" cm="1">
        <f t="array" ref="T934">_xlfn.IFS(S934&lt;=12,"Morning",S934&lt;=16,"Afternoon",S934&lt;=21,"Evening",S934&lt;=24,"Night")</f>
        <v>Morning</v>
      </c>
    </row>
    <row r="935" spans="1:20" x14ac:dyDescent="0.25">
      <c r="A935" s="31" t="s">
        <v>969</v>
      </c>
      <c r="B935" s="27">
        <v>64.08</v>
      </c>
      <c r="C935" s="28">
        <v>7</v>
      </c>
      <c r="D935" s="27">
        <v>22.428000000000001</v>
      </c>
      <c r="E935" s="27">
        <v>470.988</v>
      </c>
      <c r="F935" s="29">
        <v>43485</v>
      </c>
      <c r="G935" s="30">
        <v>39.422222222222203</v>
      </c>
      <c r="H935" s="31" t="s">
        <v>23</v>
      </c>
      <c r="I935" s="27">
        <v>448.56</v>
      </c>
      <c r="J935" s="32">
        <v>4.7619047620000003</v>
      </c>
      <c r="K935" s="33">
        <v>7.6</v>
      </c>
      <c r="L935" s="31" t="str">
        <f>VLOOKUP(A935,'Customer-details'!$A$1:$C$1001,2,FALSE)</f>
        <v>Normal</v>
      </c>
      <c r="M935" s="31" t="str">
        <f>VLOOKUP(A935,'Customer-details'!$A$1:$C$1001,3,FALSE)</f>
        <v>Male</v>
      </c>
      <c r="N935" s="31" t="str">
        <f>VLOOKUP(A935,'Product-details'!$A$1:$B$1001,2,FALSE)</f>
        <v>Health and beauty</v>
      </c>
      <c r="O935" s="31" t="str">
        <f>VLOOKUP(A935,'City-details'!$A$1:$C$1001,3,FALSE)</f>
        <v>Naypyitaw</v>
      </c>
      <c r="P935" s="31" t="str">
        <f>VLOOKUP(A935,'City-details'!$A$1:$C$1001,2,FALSE)</f>
        <v>C</v>
      </c>
      <c r="Q935" s="31" t="str">
        <f t="shared" si="42"/>
        <v>Jan</v>
      </c>
      <c r="R935" s="34" t="str">
        <f t="shared" si="43"/>
        <v>Sun</v>
      </c>
      <c r="S935">
        <f t="shared" si="44"/>
        <v>10</v>
      </c>
      <c r="T935" t="str" cm="1">
        <f t="array" ref="T935">_xlfn.IFS(S935&lt;=12,"Morning",S935&lt;=16,"Afternoon",S935&lt;=21,"Evening",S935&lt;=24,"Night")</f>
        <v>Morning</v>
      </c>
    </row>
    <row r="936" spans="1:20" x14ac:dyDescent="0.25">
      <c r="A936" s="23" t="s">
        <v>970</v>
      </c>
      <c r="B936" s="19">
        <v>63.15</v>
      </c>
      <c r="C936" s="20">
        <v>6</v>
      </c>
      <c r="D936" s="19">
        <v>18.945</v>
      </c>
      <c r="E936" s="19">
        <v>397.84500000000003</v>
      </c>
      <c r="F936" s="21">
        <v>43468</v>
      </c>
      <c r="G936" s="22">
        <v>39.463888888888903</v>
      </c>
      <c r="H936" s="23" t="s">
        <v>23</v>
      </c>
      <c r="I936" s="19">
        <v>378.9</v>
      </c>
      <c r="J936" s="24">
        <v>4.7619047620000003</v>
      </c>
      <c r="K936" s="25">
        <v>9.8000000000000007</v>
      </c>
      <c r="L936" s="23" t="str">
        <f>VLOOKUP(A936,'Customer-details'!$A$1:$C$1001,2,FALSE)</f>
        <v>Normal</v>
      </c>
      <c r="M936" s="23" t="str">
        <f>VLOOKUP(A936,'Customer-details'!$A$1:$C$1001,3,FALSE)</f>
        <v>Female</v>
      </c>
      <c r="N936" s="23" t="str">
        <f>VLOOKUP(A936,'Product-details'!$A$1:$B$1001,2,FALSE)</f>
        <v>Home and lifestyle</v>
      </c>
      <c r="O936" s="23" t="str">
        <f>VLOOKUP(A936,'City-details'!$A$1:$C$1001,3,FALSE)</f>
        <v>Mandalay</v>
      </c>
      <c r="P936" s="23" t="str">
        <f>VLOOKUP(A936,'City-details'!$A$1:$C$1001,2,FALSE)</f>
        <v>B</v>
      </c>
      <c r="Q936" s="23" t="str">
        <f t="shared" si="42"/>
        <v>Jan</v>
      </c>
      <c r="R936" s="26" t="str">
        <f t="shared" si="43"/>
        <v>Thu</v>
      </c>
      <c r="S936">
        <f t="shared" si="44"/>
        <v>11</v>
      </c>
      <c r="T936" t="str" cm="1">
        <f t="array" ref="T936">_xlfn.IFS(S936&lt;=12,"Morning",S936&lt;=16,"Afternoon",S936&lt;=21,"Evening",S936&lt;=24,"Night")</f>
        <v>Morning</v>
      </c>
    </row>
    <row r="937" spans="1:20" x14ac:dyDescent="0.25">
      <c r="A937" s="31" t="s">
        <v>971</v>
      </c>
      <c r="B937" s="27">
        <v>85.72</v>
      </c>
      <c r="C937" s="28">
        <v>3</v>
      </c>
      <c r="D937" s="27">
        <v>12.858000000000001</v>
      </c>
      <c r="E937" s="27">
        <v>270.01799999999997</v>
      </c>
      <c r="F937" s="29">
        <v>43489</v>
      </c>
      <c r="G937" s="30">
        <v>39.505555555555603</v>
      </c>
      <c r="H937" s="31" t="s">
        <v>23</v>
      </c>
      <c r="I937" s="27">
        <v>257.16000000000003</v>
      </c>
      <c r="J937" s="32">
        <v>4.7619047620000003</v>
      </c>
      <c r="K937" s="33">
        <v>5.0999999999999996</v>
      </c>
      <c r="L937" s="31" t="str">
        <f>VLOOKUP(A937,'Customer-details'!$A$1:$C$1001,2,FALSE)</f>
        <v>Member</v>
      </c>
      <c r="M937" s="31" t="str">
        <f>VLOOKUP(A937,'Customer-details'!$A$1:$C$1001,3,FALSE)</f>
        <v>Male</v>
      </c>
      <c r="N937" s="31" t="str">
        <f>VLOOKUP(A937,'Product-details'!$A$1:$B$1001,2,FALSE)</f>
        <v>Home and lifestyle</v>
      </c>
      <c r="O937" s="31" t="str">
        <f>VLOOKUP(A937,'City-details'!$A$1:$C$1001,3,FALSE)</f>
        <v>Naypyitaw</v>
      </c>
      <c r="P937" s="31" t="str">
        <f>VLOOKUP(A937,'City-details'!$A$1:$C$1001,2,FALSE)</f>
        <v>C</v>
      </c>
      <c r="Q937" s="31" t="str">
        <f t="shared" si="42"/>
        <v>Jan</v>
      </c>
      <c r="R937" s="34" t="str">
        <f t="shared" si="43"/>
        <v>Thu</v>
      </c>
      <c r="S937">
        <f t="shared" si="44"/>
        <v>12</v>
      </c>
      <c r="T937" t="str" cm="1">
        <f t="array" ref="T937">_xlfn.IFS(S937&lt;=12,"Morning",S937&lt;=16,"Afternoon",S937&lt;=21,"Evening",S937&lt;=24,"Night")</f>
        <v>Morning</v>
      </c>
    </row>
    <row r="938" spans="1:20" x14ac:dyDescent="0.25">
      <c r="A938" s="23" t="s">
        <v>972</v>
      </c>
      <c r="B938" s="19">
        <v>78.89</v>
      </c>
      <c r="C938" s="20">
        <v>7</v>
      </c>
      <c r="D938" s="19">
        <v>27.611499999999999</v>
      </c>
      <c r="E938" s="19">
        <v>579.8415</v>
      </c>
      <c r="F938" s="21">
        <v>43470</v>
      </c>
      <c r="G938" s="22">
        <v>39.547222222222203</v>
      </c>
      <c r="H938" s="23" t="s">
        <v>23</v>
      </c>
      <c r="I938" s="19">
        <v>552.23</v>
      </c>
      <c r="J938" s="24">
        <v>4.7619047620000003</v>
      </c>
      <c r="K938" s="25">
        <v>7.5</v>
      </c>
      <c r="L938" s="23" t="str">
        <f>VLOOKUP(A938,'Customer-details'!$A$1:$C$1001,2,FALSE)</f>
        <v>Normal</v>
      </c>
      <c r="M938" s="23" t="str">
        <f>VLOOKUP(A938,'Customer-details'!$A$1:$C$1001,3,FALSE)</f>
        <v>Female</v>
      </c>
      <c r="N938" s="23" t="str">
        <f>VLOOKUP(A938,'Product-details'!$A$1:$B$1001,2,FALSE)</f>
        <v>Health and beauty</v>
      </c>
      <c r="O938" s="23" t="str">
        <f>VLOOKUP(A938,'City-details'!$A$1:$C$1001,3,FALSE)</f>
        <v>Naypyitaw</v>
      </c>
      <c r="P938" s="23" t="str">
        <f>VLOOKUP(A938,'City-details'!$A$1:$C$1001,2,FALSE)</f>
        <v>C</v>
      </c>
      <c r="Q938" s="23" t="str">
        <f t="shared" si="42"/>
        <v>Jan</v>
      </c>
      <c r="R938" s="26" t="str">
        <f t="shared" si="43"/>
        <v>Sat</v>
      </c>
      <c r="S938">
        <f t="shared" si="44"/>
        <v>13</v>
      </c>
      <c r="T938" t="str" cm="1">
        <f t="array" ref="T938">_xlfn.IFS(S938&lt;=12,"Morning",S938&lt;=16,"Afternoon",S938&lt;=21,"Evening",S938&lt;=24,"Night")</f>
        <v>Afternoon</v>
      </c>
    </row>
    <row r="939" spans="1:20" x14ac:dyDescent="0.25">
      <c r="A939" s="31" t="s">
        <v>973</v>
      </c>
      <c r="B939" s="27">
        <v>89.48</v>
      </c>
      <c r="C939" s="28">
        <v>5</v>
      </c>
      <c r="D939" s="27">
        <v>22.37</v>
      </c>
      <c r="E939" s="27">
        <v>469.77</v>
      </c>
      <c r="F939" s="29">
        <v>43554</v>
      </c>
      <c r="G939" s="30">
        <v>39.588888888888903</v>
      </c>
      <c r="H939" s="31" t="s">
        <v>29</v>
      </c>
      <c r="I939" s="27">
        <v>447.4</v>
      </c>
      <c r="J939" s="32">
        <v>4.7619047620000003</v>
      </c>
      <c r="K939" s="33">
        <v>7.4</v>
      </c>
      <c r="L939" s="31" t="str">
        <f>VLOOKUP(A939,'Customer-details'!$A$1:$C$1001,2,FALSE)</f>
        <v>Normal</v>
      </c>
      <c r="M939" s="31" t="str">
        <f>VLOOKUP(A939,'Customer-details'!$A$1:$C$1001,3,FALSE)</f>
        <v>Female</v>
      </c>
      <c r="N939" s="31" t="str">
        <f>VLOOKUP(A939,'Product-details'!$A$1:$B$1001,2,FALSE)</f>
        <v>Sports and travel</v>
      </c>
      <c r="O939" s="31" t="str">
        <f>VLOOKUP(A939,'City-details'!$A$1:$C$1001,3,FALSE)</f>
        <v>Yangon</v>
      </c>
      <c r="P939" s="31" t="str">
        <f>VLOOKUP(A939,'City-details'!$A$1:$C$1001,2,FALSE)</f>
        <v>A</v>
      </c>
      <c r="Q939" s="31" t="str">
        <f t="shared" si="42"/>
        <v>Mar</v>
      </c>
      <c r="R939" s="34" t="str">
        <f t="shared" si="43"/>
        <v>Sat</v>
      </c>
      <c r="S939">
        <f t="shared" si="44"/>
        <v>14</v>
      </c>
      <c r="T939" t="str" cm="1">
        <f t="array" ref="T939">_xlfn.IFS(S939&lt;=12,"Morning",S939&lt;=16,"Afternoon",S939&lt;=21,"Evening",S939&lt;=24,"Night")</f>
        <v>Afternoon</v>
      </c>
    </row>
    <row r="940" spans="1:20" x14ac:dyDescent="0.25">
      <c r="A940" s="23" t="s">
        <v>974</v>
      </c>
      <c r="B940" s="19">
        <v>92.09</v>
      </c>
      <c r="C940" s="20">
        <v>3</v>
      </c>
      <c r="D940" s="19">
        <v>13.813499999999999</v>
      </c>
      <c r="E940" s="19">
        <v>290.08350000000002</v>
      </c>
      <c r="F940" s="21">
        <v>43513</v>
      </c>
      <c r="G940" s="22">
        <v>39.630555555555603</v>
      </c>
      <c r="H940" s="23" t="s">
        <v>29</v>
      </c>
      <c r="I940" s="19">
        <v>276.27</v>
      </c>
      <c r="J940" s="24">
        <v>4.7619047620000003</v>
      </c>
      <c r="K940" s="25">
        <v>4.2</v>
      </c>
      <c r="L940" s="23" t="str">
        <f>VLOOKUP(A940,'Customer-details'!$A$1:$C$1001,2,FALSE)</f>
        <v>Member</v>
      </c>
      <c r="M940" s="23" t="str">
        <f>VLOOKUP(A940,'Customer-details'!$A$1:$C$1001,3,FALSE)</f>
        <v>Female</v>
      </c>
      <c r="N940" s="23" t="str">
        <f>VLOOKUP(A940,'Product-details'!$A$1:$B$1001,2,FALSE)</f>
        <v>Health and beauty</v>
      </c>
      <c r="O940" s="23" t="str">
        <f>VLOOKUP(A940,'City-details'!$A$1:$C$1001,3,FALSE)</f>
        <v>Yangon</v>
      </c>
      <c r="P940" s="23" t="str">
        <f>VLOOKUP(A940,'City-details'!$A$1:$C$1001,2,FALSE)</f>
        <v>A</v>
      </c>
      <c r="Q940" s="23" t="str">
        <f t="shared" si="42"/>
        <v>Feb</v>
      </c>
      <c r="R940" s="26" t="str">
        <f t="shared" si="43"/>
        <v>Sun</v>
      </c>
      <c r="S940">
        <f t="shared" si="44"/>
        <v>15</v>
      </c>
      <c r="T940" t="str" cm="1">
        <f t="array" ref="T940">_xlfn.IFS(S940&lt;=12,"Morning",S940&lt;=16,"Afternoon",S940&lt;=21,"Evening",S940&lt;=24,"Night")</f>
        <v>Afternoon</v>
      </c>
    </row>
    <row r="941" spans="1:20" x14ac:dyDescent="0.25">
      <c r="A941" s="31" t="s">
        <v>975</v>
      </c>
      <c r="B941" s="27">
        <v>57.29</v>
      </c>
      <c r="C941" s="28">
        <v>6</v>
      </c>
      <c r="D941" s="27">
        <v>17.187000000000001</v>
      </c>
      <c r="E941" s="27">
        <v>360.92700000000002</v>
      </c>
      <c r="F941" s="29">
        <v>43545</v>
      </c>
      <c r="G941" s="30">
        <v>39.672222222222203</v>
      </c>
      <c r="H941" s="31" t="s">
        <v>23</v>
      </c>
      <c r="I941" s="27">
        <v>343.74</v>
      </c>
      <c r="J941" s="32">
        <v>4.7619047620000003</v>
      </c>
      <c r="K941" s="33">
        <v>5.9</v>
      </c>
      <c r="L941" s="31" t="str">
        <f>VLOOKUP(A941,'Customer-details'!$A$1:$C$1001,2,FALSE)</f>
        <v>Normal</v>
      </c>
      <c r="M941" s="31" t="str">
        <f>VLOOKUP(A941,'Customer-details'!$A$1:$C$1001,3,FALSE)</f>
        <v>Female</v>
      </c>
      <c r="N941" s="31" t="str">
        <f>VLOOKUP(A941,'Product-details'!$A$1:$B$1001,2,FALSE)</f>
        <v>Food and beverages</v>
      </c>
      <c r="O941" s="31" t="str">
        <f>VLOOKUP(A941,'City-details'!$A$1:$C$1001,3,FALSE)</f>
        <v>Naypyitaw</v>
      </c>
      <c r="P941" s="31" t="str">
        <f>VLOOKUP(A941,'City-details'!$A$1:$C$1001,2,FALSE)</f>
        <v>C</v>
      </c>
      <c r="Q941" s="31" t="str">
        <f t="shared" si="42"/>
        <v>Mar</v>
      </c>
      <c r="R941" s="34" t="str">
        <f t="shared" si="43"/>
        <v>Thu</v>
      </c>
      <c r="S941">
        <f t="shared" si="44"/>
        <v>16</v>
      </c>
      <c r="T941" t="str" cm="1">
        <f t="array" ref="T941">_xlfn.IFS(S941&lt;=12,"Morning",S941&lt;=16,"Afternoon",S941&lt;=21,"Evening",S941&lt;=24,"Night")</f>
        <v>Afternoon</v>
      </c>
    </row>
    <row r="942" spans="1:20" x14ac:dyDescent="0.25">
      <c r="A942" s="23" t="s">
        <v>976</v>
      </c>
      <c r="B942" s="19">
        <v>66.52</v>
      </c>
      <c r="C942" s="20">
        <v>4</v>
      </c>
      <c r="D942" s="19">
        <v>13.304</v>
      </c>
      <c r="E942" s="19">
        <v>279.38400000000001</v>
      </c>
      <c r="F942" s="21">
        <v>43526</v>
      </c>
      <c r="G942" s="22">
        <v>39.713888888888903</v>
      </c>
      <c r="H942" s="23" t="s">
        <v>23</v>
      </c>
      <c r="I942" s="19">
        <v>266.08</v>
      </c>
      <c r="J942" s="24">
        <v>4.7619047620000003</v>
      </c>
      <c r="K942" s="25">
        <v>6.9</v>
      </c>
      <c r="L942" s="23" t="str">
        <f>VLOOKUP(A942,'Customer-details'!$A$1:$C$1001,2,FALSE)</f>
        <v>Normal</v>
      </c>
      <c r="M942" s="23" t="str">
        <f>VLOOKUP(A942,'Customer-details'!$A$1:$C$1001,3,FALSE)</f>
        <v>Male</v>
      </c>
      <c r="N942" s="23" t="str">
        <f>VLOOKUP(A942,'Product-details'!$A$1:$B$1001,2,FALSE)</f>
        <v>Food and beverages</v>
      </c>
      <c r="O942" s="23" t="str">
        <f>VLOOKUP(A942,'City-details'!$A$1:$C$1001,3,FALSE)</f>
        <v>Yangon</v>
      </c>
      <c r="P942" s="23" t="str">
        <f>VLOOKUP(A942,'City-details'!$A$1:$C$1001,2,FALSE)</f>
        <v>A</v>
      </c>
      <c r="Q942" s="23" t="str">
        <f t="shared" si="42"/>
        <v>Mar</v>
      </c>
      <c r="R942" s="26" t="str">
        <f t="shared" si="43"/>
        <v>Sat</v>
      </c>
      <c r="S942">
        <f t="shared" si="44"/>
        <v>17</v>
      </c>
      <c r="T942" t="str" cm="1">
        <f t="array" ref="T942">_xlfn.IFS(S942&lt;=12,"Morning",S942&lt;=16,"Afternoon",S942&lt;=21,"Evening",S942&lt;=24,"Night")</f>
        <v>Evening</v>
      </c>
    </row>
    <row r="943" spans="1:20" x14ac:dyDescent="0.25">
      <c r="A943" s="31" t="s">
        <v>977</v>
      </c>
      <c r="B943" s="27">
        <v>99.82</v>
      </c>
      <c r="C943" s="28">
        <v>9</v>
      </c>
      <c r="D943" s="27">
        <v>44.918999999999997</v>
      </c>
      <c r="E943" s="27">
        <v>943.29899999999998</v>
      </c>
      <c r="F943" s="29">
        <v>43551</v>
      </c>
      <c r="G943" s="30">
        <v>39.755555555555603</v>
      </c>
      <c r="H943" s="31" t="s">
        <v>29</v>
      </c>
      <c r="I943" s="27">
        <v>898.38</v>
      </c>
      <c r="J943" s="32">
        <v>4.7619047620000003</v>
      </c>
      <c r="K943" s="33">
        <v>6.6</v>
      </c>
      <c r="L943" s="31" t="str">
        <f>VLOOKUP(A943,'Customer-details'!$A$1:$C$1001,2,FALSE)</f>
        <v>Member</v>
      </c>
      <c r="M943" s="31" t="str">
        <f>VLOOKUP(A943,'Customer-details'!$A$1:$C$1001,3,FALSE)</f>
        <v>Male</v>
      </c>
      <c r="N943" s="31" t="str">
        <f>VLOOKUP(A943,'Product-details'!$A$1:$B$1001,2,FALSE)</f>
        <v>Fashion accessories</v>
      </c>
      <c r="O943" s="31" t="str">
        <f>VLOOKUP(A943,'City-details'!$A$1:$C$1001,3,FALSE)</f>
        <v>Naypyitaw</v>
      </c>
      <c r="P943" s="31" t="str">
        <f>VLOOKUP(A943,'City-details'!$A$1:$C$1001,2,FALSE)</f>
        <v>C</v>
      </c>
      <c r="Q943" s="31" t="str">
        <f t="shared" si="42"/>
        <v>Mar</v>
      </c>
      <c r="R943" s="34" t="str">
        <f t="shared" si="43"/>
        <v>Wed</v>
      </c>
      <c r="S943">
        <f t="shared" si="44"/>
        <v>18</v>
      </c>
      <c r="T943" t="str" cm="1">
        <f t="array" ref="T943">_xlfn.IFS(S943&lt;=12,"Morning",S943&lt;=16,"Afternoon",S943&lt;=21,"Evening",S943&lt;=24,"Night")</f>
        <v>Evening</v>
      </c>
    </row>
    <row r="944" spans="1:20" x14ac:dyDescent="0.25">
      <c r="A944" s="23" t="s">
        <v>978</v>
      </c>
      <c r="B944" s="19">
        <v>45.68</v>
      </c>
      <c r="C944" s="20">
        <v>10</v>
      </c>
      <c r="D944" s="19">
        <v>22.84</v>
      </c>
      <c r="E944" s="19">
        <v>479.64</v>
      </c>
      <c r="F944" s="21">
        <v>43484</v>
      </c>
      <c r="G944" s="22">
        <v>39.797222222222203</v>
      </c>
      <c r="H944" s="23" t="s">
        <v>23</v>
      </c>
      <c r="I944" s="19">
        <v>456.8</v>
      </c>
      <c r="J944" s="24">
        <v>4.7619047620000003</v>
      </c>
      <c r="K944" s="25">
        <v>5.7</v>
      </c>
      <c r="L944" s="23" t="str">
        <f>VLOOKUP(A944,'Customer-details'!$A$1:$C$1001,2,FALSE)</f>
        <v>Normal</v>
      </c>
      <c r="M944" s="23" t="str">
        <f>VLOOKUP(A944,'Customer-details'!$A$1:$C$1001,3,FALSE)</f>
        <v>Female</v>
      </c>
      <c r="N944" s="23" t="str">
        <f>VLOOKUP(A944,'Product-details'!$A$1:$B$1001,2,FALSE)</f>
        <v>Home and lifestyle</v>
      </c>
      <c r="O944" s="23" t="str">
        <f>VLOOKUP(A944,'City-details'!$A$1:$C$1001,3,FALSE)</f>
        <v>Yangon</v>
      </c>
      <c r="P944" s="23" t="str">
        <f>VLOOKUP(A944,'City-details'!$A$1:$C$1001,2,FALSE)</f>
        <v>A</v>
      </c>
      <c r="Q944" s="23" t="str">
        <f t="shared" si="42"/>
        <v>Jan</v>
      </c>
      <c r="R944" s="26" t="str">
        <f t="shared" si="43"/>
        <v>Sat</v>
      </c>
      <c r="S944">
        <f t="shared" si="44"/>
        <v>19</v>
      </c>
      <c r="T944" t="str" cm="1">
        <f t="array" ref="T944">_xlfn.IFS(S944&lt;=12,"Morning",S944&lt;=16,"Afternoon",S944&lt;=21,"Evening",S944&lt;=24,"Night")</f>
        <v>Evening</v>
      </c>
    </row>
    <row r="945" spans="1:20" x14ac:dyDescent="0.25">
      <c r="A945" s="31" t="s">
        <v>979</v>
      </c>
      <c r="B945" s="27">
        <v>50.79</v>
      </c>
      <c r="C945" s="28">
        <v>5</v>
      </c>
      <c r="D945" s="27">
        <v>12.6975</v>
      </c>
      <c r="E945" s="27">
        <v>266.64749999999998</v>
      </c>
      <c r="F945" s="29">
        <v>43515</v>
      </c>
      <c r="G945" s="30">
        <v>39.838888888888903</v>
      </c>
      <c r="H945" s="31" t="s">
        <v>33</v>
      </c>
      <c r="I945" s="27">
        <v>253.95</v>
      </c>
      <c r="J945" s="32">
        <v>4.7619047620000003</v>
      </c>
      <c r="K945" s="33">
        <v>5.3</v>
      </c>
      <c r="L945" s="31" t="str">
        <f>VLOOKUP(A945,'Customer-details'!$A$1:$C$1001,2,FALSE)</f>
        <v>Normal</v>
      </c>
      <c r="M945" s="31" t="str">
        <f>VLOOKUP(A945,'Customer-details'!$A$1:$C$1001,3,FALSE)</f>
        <v>Male</v>
      </c>
      <c r="N945" s="31" t="str">
        <f>VLOOKUP(A945,'Product-details'!$A$1:$B$1001,2,FALSE)</f>
        <v>Health and beauty</v>
      </c>
      <c r="O945" s="31" t="str">
        <f>VLOOKUP(A945,'City-details'!$A$1:$C$1001,3,FALSE)</f>
        <v>Yangon</v>
      </c>
      <c r="P945" s="31" t="str">
        <f>VLOOKUP(A945,'City-details'!$A$1:$C$1001,2,FALSE)</f>
        <v>A</v>
      </c>
      <c r="Q945" s="31" t="str">
        <f t="shared" si="42"/>
        <v>Feb</v>
      </c>
      <c r="R945" s="34" t="str">
        <f t="shared" si="43"/>
        <v>Tue</v>
      </c>
      <c r="S945">
        <f t="shared" si="44"/>
        <v>20</v>
      </c>
      <c r="T945" t="str" cm="1">
        <f t="array" ref="T945">_xlfn.IFS(S945&lt;=12,"Morning",S945&lt;=16,"Afternoon",S945&lt;=21,"Evening",S945&lt;=24,"Night")</f>
        <v>Evening</v>
      </c>
    </row>
    <row r="946" spans="1:20" x14ac:dyDescent="0.25">
      <c r="A946" s="23" t="s">
        <v>980</v>
      </c>
      <c r="B946" s="19">
        <v>10.08</v>
      </c>
      <c r="C946" s="20">
        <v>7</v>
      </c>
      <c r="D946" s="19">
        <v>3.528</v>
      </c>
      <c r="E946" s="19">
        <v>74.087999999999994</v>
      </c>
      <c r="F946" s="21">
        <v>43552</v>
      </c>
      <c r="G946" s="22">
        <v>39.880555555555603</v>
      </c>
      <c r="H946" s="23" t="s">
        <v>29</v>
      </c>
      <c r="I946" s="19">
        <v>70.56</v>
      </c>
      <c r="J946" s="24">
        <v>4.7619047620000003</v>
      </c>
      <c r="K946" s="25">
        <v>4.2</v>
      </c>
      <c r="L946" s="23" t="str">
        <f>VLOOKUP(A946,'Customer-details'!$A$1:$C$1001,2,FALSE)</f>
        <v>Member</v>
      </c>
      <c r="M946" s="23" t="str">
        <f>VLOOKUP(A946,'Customer-details'!$A$1:$C$1001,3,FALSE)</f>
        <v>Male</v>
      </c>
      <c r="N946" s="23" t="str">
        <f>VLOOKUP(A946,'Product-details'!$A$1:$B$1001,2,FALSE)</f>
        <v>Health and beauty</v>
      </c>
      <c r="O946" s="23" t="str">
        <f>VLOOKUP(A946,'City-details'!$A$1:$C$1001,3,FALSE)</f>
        <v>Yangon</v>
      </c>
      <c r="P946" s="23" t="str">
        <f>VLOOKUP(A946,'City-details'!$A$1:$C$1001,2,FALSE)</f>
        <v>A</v>
      </c>
      <c r="Q946" s="23" t="str">
        <f t="shared" si="42"/>
        <v>Mar</v>
      </c>
      <c r="R946" s="26" t="str">
        <f t="shared" si="43"/>
        <v>Thu</v>
      </c>
      <c r="S946">
        <f t="shared" si="44"/>
        <v>21</v>
      </c>
      <c r="T946" t="str" cm="1">
        <f t="array" ref="T946">_xlfn.IFS(S946&lt;=12,"Morning",S946&lt;=16,"Afternoon",S946&lt;=21,"Evening",S946&lt;=24,"Night")</f>
        <v>Evening</v>
      </c>
    </row>
    <row r="947" spans="1:20" x14ac:dyDescent="0.25">
      <c r="A947" s="31" t="s">
        <v>981</v>
      </c>
      <c r="B947" s="27">
        <v>93.88</v>
      </c>
      <c r="C947" s="28">
        <v>7</v>
      </c>
      <c r="D947" s="27">
        <v>32.857999999999997</v>
      </c>
      <c r="E947" s="27">
        <v>690.01800000000003</v>
      </c>
      <c r="F947" s="29">
        <v>43470</v>
      </c>
      <c r="G947" s="30">
        <v>39.922222222222203</v>
      </c>
      <c r="H947" s="31" t="s">
        <v>33</v>
      </c>
      <c r="I947" s="27">
        <v>657.16</v>
      </c>
      <c r="J947" s="32">
        <v>4.7619047620000003</v>
      </c>
      <c r="K947" s="33">
        <v>7.3</v>
      </c>
      <c r="L947" s="31" t="str">
        <f>VLOOKUP(A947,'Customer-details'!$A$1:$C$1001,2,FALSE)</f>
        <v>Normal</v>
      </c>
      <c r="M947" s="31" t="str">
        <f>VLOOKUP(A947,'Customer-details'!$A$1:$C$1001,3,FALSE)</f>
        <v>Female</v>
      </c>
      <c r="N947" s="31" t="str">
        <f>VLOOKUP(A947,'Product-details'!$A$1:$B$1001,2,FALSE)</f>
        <v>Electronic accessories</v>
      </c>
      <c r="O947" s="31" t="str">
        <f>VLOOKUP(A947,'City-details'!$A$1:$C$1001,3,FALSE)</f>
        <v>Yangon</v>
      </c>
      <c r="P947" s="31" t="str">
        <f>VLOOKUP(A947,'City-details'!$A$1:$C$1001,2,FALSE)</f>
        <v>A</v>
      </c>
      <c r="Q947" s="31" t="str">
        <f t="shared" si="42"/>
        <v>Jan</v>
      </c>
      <c r="R947" s="34" t="str">
        <f t="shared" si="43"/>
        <v>Sat</v>
      </c>
      <c r="S947">
        <f t="shared" si="44"/>
        <v>22</v>
      </c>
      <c r="T947" t="str" cm="1">
        <f t="array" ref="T947">_xlfn.IFS(S947&lt;=12,"Morning",S947&lt;=16,"Afternoon",S947&lt;=21,"Evening",S947&lt;=24,"Night")</f>
        <v>Night</v>
      </c>
    </row>
    <row r="948" spans="1:20" x14ac:dyDescent="0.25">
      <c r="A948" s="23" t="s">
        <v>982</v>
      </c>
      <c r="B948" s="19">
        <v>84.25</v>
      </c>
      <c r="C948" s="20">
        <v>2</v>
      </c>
      <c r="D948" s="19">
        <v>8.4250000000000007</v>
      </c>
      <c r="E948" s="19">
        <v>176.92500000000001</v>
      </c>
      <c r="F948" s="21">
        <v>43550</v>
      </c>
      <c r="G948" s="22">
        <v>39.963888888888903</v>
      </c>
      <c r="H948" s="23" t="s">
        <v>33</v>
      </c>
      <c r="I948" s="19">
        <v>168.5</v>
      </c>
      <c r="J948" s="24">
        <v>4.7619047620000003</v>
      </c>
      <c r="K948" s="25">
        <v>5.3</v>
      </c>
      <c r="L948" s="23" t="str">
        <f>VLOOKUP(A948,'Customer-details'!$A$1:$C$1001,2,FALSE)</f>
        <v>Member</v>
      </c>
      <c r="M948" s="23" t="str">
        <f>VLOOKUP(A948,'Customer-details'!$A$1:$C$1001,3,FALSE)</f>
        <v>Male</v>
      </c>
      <c r="N948" s="23" t="str">
        <f>VLOOKUP(A948,'Product-details'!$A$1:$B$1001,2,FALSE)</f>
        <v>Electronic accessories</v>
      </c>
      <c r="O948" s="23" t="str">
        <f>VLOOKUP(A948,'City-details'!$A$1:$C$1001,3,FALSE)</f>
        <v>Naypyitaw</v>
      </c>
      <c r="P948" s="23" t="str">
        <f>VLOOKUP(A948,'City-details'!$A$1:$C$1001,2,FALSE)</f>
        <v>C</v>
      </c>
      <c r="Q948" s="23" t="str">
        <f t="shared" si="42"/>
        <v>Mar</v>
      </c>
      <c r="R948" s="26" t="str">
        <f t="shared" si="43"/>
        <v>Tue</v>
      </c>
      <c r="S948">
        <f t="shared" si="44"/>
        <v>23</v>
      </c>
      <c r="T948" t="str" cm="1">
        <f t="array" ref="T948">_xlfn.IFS(S948&lt;=12,"Morning",S948&lt;=16,"Afternoon",S948&lt;=21,"Evening",S948&lt;=24,"Night")</f>
        <v>Night</v>
      </c>
    </row>
    <row r="949" spans="1:20" x14ac:dyDescent="0.25">
      <c r="A949" s="31" t="s">
        <v>983</v>
      </c>
      <c r="B949" s="27">
        <v>53.78</v>
      </c>
      <c r="C949" s="28">
        <v>1</v>
      </c>
      <c r="D949" s="27">
        <v>2.6890000000000001</v>
      </c>
      <c r="E949" s="27">
        <v>56.469000000000001</v>
      </c>
      <c r="F949" s="29">
        <v>43499</v>
      </c>
      <c r="G949" s="30">
        <v>40.005555555555603</v>
      </c>
      <c r="H949" s="31" t="s">
        <v>23</v>
      </c>
      <c r="I949" s="27">
        <v>53.78</v>
      </c>
      <c r="J949" s="32">
        <v>4.7619047620000003</v>
      </c>
      <c r="K949" s="33">
        <v>4.7</v>
      </c>
      <c r="L949" s="31" t="str">
        <f>VLOOKUP(A949,'Customer-details'!$A$1:$C$1001,2,FALSE)</f>
        <v>Member</v>
      </c>
      <c r="M949" s="31" t="str">
        <f>VLOOKUP(A949,'Customer-details'!$A$1:$C$1001,3,FALSE)</f>
        <v>Male</v>
      </c>
      <c r="N949" s="31" t="str">
        <f>VLOOKUP(A949,'Product-details'!$A$1:$B$1001,2,FALSE)</f>
        <v>Fashion accessories</v>
      </c>
      <c r="O949" s="31" t="str">
        <f>VLOOKUP(A949,'City-details'!$A$1:$C$1001,3,FALSE)</f>
        <v>Mandalay</v>
      </c>
      <c r="P949" s="31" t="str">
        <f>VLOOKUP(A949,'City-details'!$A$1:$C$1001,2,FALSE)</f>
        <v>B</v>
      </c>
      <c r="Q949" s="31" t="str">
        <f t="shared" si="42"/>
        <v>Feb</v>
      </c>
      <c r="R949" s="34" t="str">
        <f t="shared" si="43"/>
        <v>Sun</v>
      </c>
      <c r="S949">
        <f t="shared" si="44"/>
        <v>0</v>
      </c>
      <c r="T949" t="str" cm="1">
        <f t="array" ref="T949">_xlfn.IFS(S949&lt;=12,"Morning",S949&lt;=16,"Afternoon",S949&lt;=21,"Evening",S949&lt;=24,"Night")</f>
        <v>Morning</v>
      </c>
    </row>
    <row r="950" spans="1:20" x14ac:dyDescent="0.25">
      <c r="A950" s="23" t="s">
        <v>984</v>
      </c>
      <c r="B950" s="19">
        <v>35.81</v>
      </c>
      <c r="C950" s="20">
        <v>5</v>
      </c>
      <c r="D950" s="19">
        <v>8.9525000000000006</v>
      </c>
      <c r="E950" s="19">
        <v>188.0025</v>
      </c>
      <c r="F950" s="21">
        <v>43502</v>
      </c>
      <c r="G950" s="22">
        <v>40.047222222222203</v>
      </c>
      <c r="H950" s="23" t="s">
        <v>23</v>
      </c>
      <c r="I950" s="19">
        <v>179.05</v>
      </c>
      <c r="J950" s="24">
        <v>4.7619047620000003</v>
      </c>
      <c r="K950" s="25">
        <v>7.9</v>
      </c>
      <c r="L950" s="23" t="str">
        <f>VLOOKUP(A950,'Customer-details'!$A$1:$C$1001,2,FALSE)</f>
        <v>Member</v>
      </c>
      <c r="M950" s="23" t="str">
        <f>VLOOKUP(A950,'Customer-details'!$A$1:$C$1001,3,FALSE)</f>
        <v>Male</v>
      </c>
      <c r="N950" s="23" t="str">
        <f>VLOOKUP(A950,'Product-details'!$A$1:$B$1001,2,FALSE)</f>
        <v>Home and lifestyle</v>
      </c>
      <c r="O950" s="23" t="str">
        <f>VLOOKUP(A950,'City-details'!$A$1:$C$1001,3,FALSE)</f>
        <v>Naypyitaw</v>
      </c>
      <c r="P950" s="23" t="str">
        <f>VLOOKUP(A950,'City-details'!$A$1:$C$1001,2,FALSE)</f>
        <v>C</v>
      </c>
      <c r="Q950" s="23" t="str">
        <f t="shared" si="42"/>
        <v>Feb</v>
      </c>
      <c r="R950" s="26" t="str">
        <f t="shared" si="43"/>
        <v>Wed</v>
      </c>
      <c r="S950">
        <f t="shared" si="44"/>
        <v>1</v>
      </c>
      <c r="T950" t="str" cm="1">
        <f t="array" ref="T950">_xlfn.IFS(S950&lt;=12,"Morning",S950&lt;=16,"Afternoon",S950&lt;=21,"Evening",S950&lt;=24,"Night")</f>
        <v>Morning</v>
      </c>
    </row>
    <row r="951" spans="1:20" x14ac:dyDescent="0.25">
      <c r="A951" s="31" t="s">
        <v>985</v>
      </c>
      <c r="B951" s="27">
        <v>26.43</v>
      </c>
      <c r="C951" s="28">
        <v>8</v>
      </c>
      <c r="D951" s="27">
        <v>10.571999999999999</v>
      </c>
      <c r="E951" s="27">
        <v>222.012</v>
      </c>
      <c r="F951" s="29">
        <v>43520</v>
      </c>
      <c r="G951" s="30">
        <v>40.088888888888903</v>
      </c>
      <c r="H951" s="31" t="s">
        <v>23</v>
      </c>
      <c r="I951" s="27">
        <v>211.44</v>
      </c>
      <c r="J951" s="32">
        <v>4.7619047620000003</v>
      </c>
      <c r="K951" s="33">
        <v>8.9</v>
      </c>
      <c r="L951" s="31" t="str">
        <f>VLOOKUP(A951,'Customer-details'!$A$1:$C$1001,2,FALSE)</f>
        <v>Normal</v>
      </c>
      <c r="M951" s="31" t="str">
        <f>VLOOKUP(A951,'Customer-details'!$A$1:$C$1001,3,FALSE)</f>
        <v>Female</v>
      </c>
      <c r="N951" s="31" t="str">
        <f>VLOOKUP(A951,'Product-details'!$A$1:$B$1001,2,FALSE)</f>
        <v>Food and beverages</v>
      </c>
      <c r="O951" s="31" t="str">
        <f>VLOOKUP(A951,'City-details'!$A$1:$C$1001,3,FALSE)</f>
        <v>Mandalay</v>
      </c>
      <c r="P951" s="31" t="str">
        <f>VLOOKUP(A951,'City-details'!$A$1:$C$1001,2,FALSE)</f>
        <v>B</v>
      </c>
      <c r="Q951" s="31" t="str">
        <f t="shared" si="42"/>
        <v>Feb</v>
      </c>
      <c r="R951" s="34" t="str">
        <f t="shared" si="43"/>
        <v>Sun</v>
      </c>
      <c r="S951">
        <f t="shared" si="44"/>
        <v>2</v>
      </c>
      <c r="T951" t="str" cm="1">
        <f t="array" ref="T951">_xlfn.IFS(S951&lt;=12,"Morning",S951&lt;=16,"Afternoon",S951&lt;=21,"Evening",S951&lt;=24,"Night")</f>
        <v>Morning</v>
      </c>
    </row>
    <row r="952" spans="1:20" x14ac:dyDescent="0.25">
      <c r="A952" s="23" t="s">
        <v>986</v>
      </c>
      <c r="B952" s="19">
        <v>39.909999999999997</v>
      </c>
      <c r="C952" s="20">
        <v>3</v>
      </c>
      <c r="D952" s="19">
        <v>5.9865000000000004</v>
      </c>
      <c r="E952" s="19">
        <v>125.7165</v>
      </c>
      <c r="F952" s="21">
        <v>43517</v>
      </c>
      <c r="G952" s="22">
        <v>40.130555555555603</v>
      </c>
      <c r="H952" s="23" t="s">
        <v>23</v>
      </c>
      <c r="I952" s="19">
        <v>119.73</v>
      </c>
      <c r="J952" s="24">
        <v>4.7619047620000003</v>
      </c>
      <c r="K952" s="25">
        <v>9.3000000000000007</v>
      </c>
      <c r="L952" s="23" t="str">
        <f>VLOOKUP(A952,'Customer-details'!$A$1:$C$1001,2,FALSE)</f>
        <v>Member</v>
      </c>
      <c r="M952" s="23" t="str">
        <f>VLOOKUP(A952,'Customer-details'!$A$1:$C$1001,3,FALSE)</f>
        <v>Male</v>
      </c>
      <c r="N952" s="23" t="str">
        <f>VLOOKUP(A952,'Product-details'!$A$1:$B$1001,2,FALSE)</f>
        <v>Health and beauty</v>
      </c>
      <c r="O952" s="23" t="str">
        <f>VLOOKUP(A952,'City-details'!$A$1:$C$1001,3,FALSE)</f>
        <v>Mandalay</v>
      </c>
      <c r="P952" s="23" t="str">
        <f>VLOOKUP(A952,'City-details'!$A$1:$C$1001,2,FALSE)</f>
        <v>B</v>
      </c>
      <c r="Q952" s="23" t="str">
        <f t="shared" si="42"/>
        <v>Feb</v>
      </c>
      <c r="R952" s="26" t="str">
        <f t="shared" si="43"/>
        <v>Thu</v>
      </c>
      <c r="S952">
        <f t="shared" si="44"/>
        <v>3</v>
      </c>
      <c r="T952" t="str" cm="1">
        <f t="array" ref="T952">_xlfn.IFS(S952&lt;=12,"Morning",S952&lt;=16,"Afternoon",S952&lt;=21,"Evening",S952&lt;=24,"Night")</f>
        <v>Morning</v>
      </c>
    </row>
    <row r="953" spans="1:20" x14ac:dyDescent="0.25">
      <c r="A953" s="31" t="s">
        <v>987</v>
      </c>
      <c r="B953" s="27">
        <v>21.9</v>
      </c>
      <c r="C953" s="28">
        <v>3</v>
      </c>
      <c r="D953" s="27">
        <v>3.2850000000000001</v>
      </c>
      <c r="E953" s="27">
        <v>68.984999999999999</v>
      </c>
      <c r="F953" s="29">
        <v>43474</v>
      </c>
      <c r="G953" s="30">
        <v>40.172222222222203</v>
      </c>
      <c r="H953" s="31" t="s">
        <v>23</v>
      </c>
      <c r="I953" s="27">
        <v>65.7</v>
      </c>
      <c r="J953" s="32">
        <v>4.7619047620000003</v>
      </c>
      <c r="K953" s="33">
        <v>4.7</v>
      </c>
      <c r="L953" s="31" t="str">
        <f>VLOOKUP(A953,'Customer-details'!$A$1:$C$1001,2,FALSE)</f>
        <v>Member</v>
      </c>
      <c r="M953" s="31" t="str">
        <f>VLOOKUP(A953,'Customer-details'!$A$1:$C$1001,3,FALSE)</f>
        <v>Female</v>
      </c>
      <c r="N953" s="31" t="str">
        <f>VLOOKUP(A953,'Product-details'!$A$1:$B$1001,2,FALSE)</f>
        <v>Home and lifestyle</v>
      </c>
      <c r="O953" s="31" t="str">
        <f>VLOOKUP(A953,'City-details'!$A$1:$C$1001,3,FALSE)</f>
        <v>Mandalay</v>
      </c>
      <c r="P953" s="31" t="str">
        <f>VLOOKUP(A953,'City-details'!$A$1:$C$1001,2,FALSE)</f>
        <v>B</v>
      </c>
      <c r="Q953" s="31" t="str">
        <f t="shared" si="42"/>
        <v>Jan</v>
      </c>
      <c r="R953" s="34" t="str">
        <f t="shared" si="43"/>
        <v>Wed</v>
      </c>
      <c r="S953">
        <f t="shared" si="44"/>
        <v>4</v>
      </c>
      <c r="T953" t="str" cm="1">
        <f t="array" ref="T953">_xlfn.IFS(S953&lt;=12,"Morning",S953&lt;=16,"Afternoon",S953&lt;=21,"Evening",S953&lt;=24,"Night")</f>
        <v>Morning</v>
      </c>
    </row>
    <row r="954" spans="1:20" x14ac:dyDescent="0.25">
      <c r="A954" s="23" t="s">
        <v>988</v>
      </c>
      <c r="B954" s="19">
        <v>62.85</v>
      </c>
      <c r="C954" s="20">
        <v>4</v>
      </c>
      <c r="D954" s="19">
        <v>12.57</v>
      </c>
      <c r="E954" s="19">
        <v>263.97000000000003</v>
      </c>
      <c r="F954" s="21">
        <v>43521</v>
      </c>
      <c r="G954" s="22">
        <v>40.213888888888903</v>
      </c>
      <c r="H954" s="23" t="s">
        <v>23</v>
      </c>
      <c r="I954" s="19">
        <v>251.4</v>
      </c>
      <c r="J954" s="24">
        <v>4.7619047620000003</v>
      </c>
      <c r="K954" s="25">
        <v>8.6999999999999993</v>
      </c>
      <c r="L954" s="23" t="str">
        <f>VLOOKUP(A954,'Customer-details'!$A$1:$C$1001,2,FALSE)</f>
        <v>Member</v>
      </c>
      <c r="M954" s="23" t="str">
        <f>VLOOKUP(A954,'Customer-details'!$A$1:$C$1001,3,FALSE)</f>
        <v>Female</v>
      </c>
      <c r="N954" s="23" t="str">
        <f>VLOOKUP(A954,'Product-details'!$A$1:$B$1001,2,FALSE)</f>
        <v>Food and beverages</v>
      </c>
      <c r="O954" s="23" t="str">
        <f>VLOOKUP(A954,'City-details'!$A$1:$C$1001,3,FALSE)</f>
        <v>Mandalay</v>
      </c>
      <c r="P954" s="23" t="str">
        <f>VLOOKUP(A954,'City-details'!$A$1:$C$1001,2,FALSE)</f>
        <v>B</v>
      </c>
      <c r="Q954" s="23" t="str">
        <f t="shared" si="42"/>
        <v>Feb</v>
      </c>
      <c r="R954" s="26" t="str">
        <f t="shared" si="43"/>
        <v>Mon</v>
      </c>
      <c r="S954">
        <f t="shared" si="44"/>
        <v>5</v>
      </c>
      <c r="T954" t="str" cm="1">
        <f t="array" ref="T954">_xlfn.IFS(S954&lt;=12,"Morning",S954&lt;=16,"Afternoon",S954&lt;=21,"Evening",S954&lt;=24,"Night")</f>
        <v>Morning</v>
      </c>
    </row>
    <row r="955" spans="1:20" x14ac:dyDescent="0.25">
      <c r="A955" s="31" t="s">
        <v>989</v>
      </c>
      <c r="B955" s="27">
        <v>21.04</v>
      </c>
      <c r="C955" s="28">
        <v>4</v>
      </c>
      <c r="D955" s="27">
        <v>4.2080000000000002</v>
      </c>
      <c r="E955" s="27">
        <v>88.367999999999995</v>
      </c>
      <c r="F955" s="29">
        <v>43478</v>
      </c>
      <c r="G955" s="30">
        <v>40.255555555555603</v>
      </c>
      <c r="H955" s="31" t="s">
        <v>29</v>
      </c>
      <c r="I955" s="27">
        <v>84.16</v>
      </c>
      <c r="J955" s="32">
        <v>4.7619047620000003</v>
      </c>
      <c r="K955" s="33">
        <v>7.6</v>
      </c>
      <c r="L955" s="31" t="str">
        <f>VLOOKUP(A955,'Customer-details'!$A$1:$C$1001,2,FALSE)</f>
        <v>Member</v>
      </c>
      <c r="M955" s="31" t="str">
        <f>VLOOKUP(A955,'Customer-details'!$A$1:$C$1001,3,FALSE)</f>
        <v>Female</v>
      </c>
      <c r="N955" s="31" t="str">
        <f>VLOOKUP(A955,'Product-details'!$A$1:$B$1001,2,FALSE)</f>
        <v>Food and beverages</v>
      </c>
      <c r="O955" s="31" t="str">
        <f>VLOOKUP(A955,'City-details'!$A$1:$C$1001,3,FALSE)</f>
        <v>Naypyitaw</v>
      </c>
      <c r="P955" s="31" t="str">
        <f>VLOOKUP(A955,'City-details'!$A$1:$C$1001,2,FALSE)</f>
        <v>C</v>
      </c>
      <c r="Q955" s="31" t="str">
        <f t="shared" si="42"/>
        <v>Jan</v>
      </c>
      <c r="R955" s="34" t="str">
        <f t="shared" si="43"/>
        <v>Sun</v>
      </c>
      <c r="S955">
        <f t="shared" si="44"/>
        <v>6</v>
      </c>
      <c r="T955" t="str" cm="1">
        <f t="array" ref="T955">_xlfn.IFS(S955&lt;=12,"Morning",S955&lt;=16,"Afternoon",S955&lt;=21,"Evening",S955&lt;=24,"Night")</f>
        <v>Morning</v>
      </c>
    </row>
    <row r="956" spans="1:20" x14ac:dyDescent="0.25">
      <c r="A956" s="23" t="s">
        <v>990</v>
      </c>
      <c r="B956" s="19">
        <v>65.91</v>
      </c>
      <c r="C956" s="20">
        <v>6</v>
      </c>
      <c r="D956" s="19">
        <v>19.773</v>
      </c>
      <c r="E956" s="19">
        <v>415.233</v>
      </c>
      <c r="F956" s="21">
        <v>43505</v>
      </c>
      <c r="G956" s="22">
        <v>40.297222222222203</v>
      </c>
      <c r="H956" s="23" t="s">
        <v>29</v>
      </c>
      <c r="I956" s="19">
        <v>395.46</v>
      </c>
      <c r="J956" s="24">
        <v>4.7619047620000003</v>
      </c>
      <c r="K956" s="25">
        <v>5.7</v>
      </c>
      <c r="L956" s="23" t="str">
        <f>VLOOKUP(A956,'Customer-details'!$A$1:$C$1001,2,FALSE)</f>
        <v>Member</v>
      </c>
      <c r="M956" s="23" t="str">
        <f>VLOOKUP(A956,'Customer-details'!$A$1:$C$1001,3,FALSE)</f>
        <v>Male</v>
      </c>
      <c r="N956" s="23" t="str">
        <f>VLOOKUP(A956,'Product-details'!$A$1:$B$1001,2,FALSE)</f>
        <v>Home and lifestyle</v>
      </c>
      <c r="O956" s="23" t="str">
        <f>VLOOKUP(A956,'City-details'!$A$1:$C$1001,3,FALSE)</f>
        <v>Mandalay</v>
      </c>
      <c r="P956" s="23" t="str">
        <f>VLOOKUP(A956,'City-details'!$A$1:$C$1001,2,FALSE)</f>
        <v>B</v>
      </c>
      <c r="Q956" s="23" t="str">
        <f t="shared" si="42"/>
        <v>Feb</v>
      </c>
      <c r="R956" s="26" t="str">
        <f t="shared" si="43"/>
        <v>Sat</v>
      </c>
      <c r="S956">
        <f t="shared" si="44"/>
        <v>7</v>
      </c>
      <c r="T956" t="str" cm="1">
        <f t="array" ref="T956">_xlfn.IFS(S956&lt;=12,"Morning",S956&lt;=16,"Afternoon",S956&lt;=21,"Evening",S956&lt;=24,"Night")</f>
        <v>Morning</v>
      </c>
    </row>
    <row r="957" spans="1:20" x14ac:dyDescent="0.25">
      <c r="A957" s="31" t="s">
        <v>991</v>
      </c>
      <c r="B957" s="27">
        <v>42.57</v>
      </c>
      <c r="C957" s="28">
        <v>7</v>
      </c>
      <c r="D957" s="27">
        <v>14.8995</v>
      </c>
      <c r="E957" s="27">
        <v>312.8895</v>
      </c>
      <c r="F957" s="29">
        <v>43471</v>
      </c>
      <c r="G957" s="30">
        <v>40.338888888888903</v>
      </c>
      <c r="H957" s="31" t="s">
        <v>29</v>
      </c>
      <c r="I957" s="27">
        <v>297.99</v>
      </c>
      <c r="J957" s="32">
        <v>4.7619047620000003</v>
      </c>
      <c r="K957" s="33">
        <v>6.8</v>
      </c>
      <c r="L957" s="31" t="str">
        <f>VLOOKUP(A957,'Customer-details'!$A$1:$C$1001,2,FALSE)</f>
        <v>Normal</v>
      </c>
      <c r="M957" s="31" t="str">
        <f>VLOOKUP(A957,'Customer-details'!$A$1:$C$1001,3,FALSE)</f>
        <v>Female</v>
      </c>
      <c r="N957" s="31" t="str">
        <f>VLOOKUP(A957,'Product-details'!$A$1:$B$1001,2,FALSE)</f>
        <v>Fashion accessories</v>
      </c>
      <c r="O957" s="31" t="str">
        <f>VLOOKUP(A957,'City-details'!$A$1:$C$1001,3,FALSE)</f>
        <v>Yangon</v>
      </c>
      <c r="P957" s="31" t="str">
        <f>VLOOKUP(A957,'City-details'!$A$1:$C$1001,2,FALSE)</f>
        <v>A</v>
      </c>
      <c r="Q957" s="31" t="str">
        <f t="shared" si="42"/>
        <v>Jan</v>
      </c>
      <c r="R957" s="34" t="str">
        <f t="shared" si="43"/>
        <v>Sun</v>
      </c>
      <c r="S957">
        <f t="shared" si="44"/>
        <v>8</v>
      </c>
      <c r="T957" t="str" cm="1">
        <f t="array" ref="T957">_xlfn.IFS(S957&lt;=12,"Morning",S957&lt;=16,"Afternoon",S957&lt;=21,"Evening",S957&lt;=24,"Night")</f>
        <v>Morning</v>
      </c>
    </row>
    <row r="958" spans="1:20" x14ac:dyDescent="0.25">
      <c r="A958" s="23" t="s">
        <v>992</v>
      </c>
      <c r="B958" s="19">
        <v>50.49</v>
      </c>
      <c r="C958" s="20">
        <v>9</v>
      </c>
      <c r="D958" s="19">
        <v>22.720500000000001</v>
      </c>
      <c r="E958" s="19">
        <v>477.13049999999998</v>
      </c>
      <c r="F958" s="21">
        <v>43475</v>
      </c>
      <c r="G958" s="22">
        <v>40.380555555555603</v>
      </c>
      <c r="H958" s="23" t="s">
        <v>29</v>
      </c>
      <c r="I958" s="19">
        <v>454.41</v>
      </c>
      <c r="J958" s="24">
        <v>4.7619047620000003</v>
      </c>
      <c r="K958" s="25">
        <v>5.4</v>
      </c>
      <c r="L958" s="23" t="str">
        <f>VLOOKUP(A958,'Customer-details'!$A$1:$C$1001,2,FALSE)</f>
        <v>Member</v>
      </c>
      <c r="M958" s="23" t="str">
        <f>VLOOKUP(A958,'Customer-details'!$A$1:$C$1001,3,FALSE)</f>
        <v>Male</v>
      </c>
      <c r="N958" s="23" t="str">
        <f>VLOOKUP(A958,'Product-details'!$A$1:$B$1001,2,FALSE)</f>
        <v>Food and beverages</v>
      </c>
      <c r="O958" s="23" t="str">
        <f>VLOOKUP(A958,'City-details'!$A$1:$C$1001,3,FALSE)</f>
        <v>Naypyitaw</v>
      </c>
      <c r="P958" s="23" t="str">
        <f>VLOOKUP(A958,'City-details'!$A$1:$C$1001,2,FALSE)</f>
        <v>C</v>
      </c>
      <c r="Q958" s="23" t="str">
        <f t="shared" si="42"/>
        <v>Jan</v>
      </c>
      <c r="R958" s="26" t="str">
        <f t="shared" si="43"/>
        <v>Thu</v>
      </c>
      <c r="S958">
        <f t="shared" si="44"/>
        <v>9</v>
      </c>
      <c r="T958" t="str" cm="1">
        <f t="array" ref="T958">_xlfn.IFS(S958&lt;=12,"Morning",S958&lt;=16,"Afternoon",S958&lt;=21,"Evening",S958&lt;=24,"Night")</f>
        <v>Morning</v>
      </c>
    </row>
    <row r="959" spans="1:20" x14ac:dyDescent="0.25">
      <c r="A959" s="31" t="s">
        <v>993</v>
      </c>
      <c r="B959" s="27">
        <v>46.02</v>
      </c>
      <c r="C959" s="28">
        <v>6</v>
      </c>
      <c r="D959" s="27">
        <v>13.805999999999999</v>
      </c>
      <c r="E959" s="27">
        <v>289.92599999999999</v>
      </c>
      <c r="F959" s="29">
        <v>43503</v>
      </c>
      <c r="G959" s="30">
        <v>40.422222222222203</v>
      </c>
      <c r="H959" s="31" t="s">
        <v>29</v>
      </c>
      <c r="I959" s="27">
        <v>276.12</v>
      </c>
      <c r="J959" s="32">
        <v>4.7619047620000003</v>
      </c>
      <c r="K959" s="33">
        <v>7.1</v>
      </c>
      <c r="L959" s="31" t="str">
        <f>VLOOKUP(A959,'Customer-details'!$A$1:$C$1001,2,FALSE)</f>
        <v>Normal</v>
      </c>
      <c r="M959" s="31" t="str">
        <f>VLOOKUP(A959,'Customer-details'!$A$1:$C$1001,3,FALSE)</f>
        <v>Male</v>
      </c>
      <c r="N959" s="31" t="str">
        <f>VLOOKUP(A959,'Product-details'!$A$1:$B$1001,2,FALSE)</f>
        <v>Electronic accessories</v>
      </c>
      <c r="O959" s="31" t="str">
        <f>VLOOKUP(A959,'City-details'!$A$1:$C$1001,3,FALSE)</f>
        <v>Mandalay</v>
      </c>
      <c r="P959" s="31" t="str">
        <f>VLOOKUP(A959,'City-details'!$A$1:$C$1001,2,FALSE)</f>
        <v>B</v>
      </c>
      <c r="Q959" s="31" t="str">
        <f t="shared" si="42"/>
        <v>Feb</v>
      </c>
      <c r="R959" s="34" t="str">
        <f t="shared" si="43"/>
        <v>Thu</v>
      </c>
      <c r="S959">
        <f t="shared" si="44"/>
        <v>10</v>
      </c>
      <c r="T959" t="str" cm="1">
        <f t="array" ref="T959">_xlfn.IFS(S959&lt;=12,"Morning",S959&lt;=16,"Afternoon",S959&lt;=21,"Evening",S959&lt;=24,"Night")</f>
        <v>Morning</v>
      </c>
    </row>
    <row r="960" spans="1:20" x14ac:dyDescent="0.25">
      <c r="A960" s="23" t="s">
        <v>994</v>
      </c>
      <c r="B960" s="19">
        <v>15.8</v>
      </c>
      <c r="C960" s="20">
        <v>10</v>
      </c>
      <c r="D960" s="19">
        <v>7.9</v>
      </c>
      <c r="E960" s="19">
        <v>165.9</v>
      </c>
      <c r="F960" s="21">
        <v>43474</v>
      </c>
      <c r="G960" s="22">
        <v>40.463888888888903</v>
      </c>
      <c r="H960" s="23" t="s">
        <v>29</v>
      </c>
      <c r="I960" s="19">
        <v>158</v>
      </c>
      <c r="J960" s="24">
        <v>4.7619047620000003</v>
      </c>
      <c r="K960" s="25">
        <v>7.8</v>
      </c>
      <c r="L960" s="23" t="str">
        <f>VLOOKUP(A960,'Customer-details'!$A$1:$C$1001,2,FALSE)</f>
        <v>Normal</v>
      </c>
      <c r="M960" s="23" t="str">
        <f>VLOOKUP(A960,'Customer-details'!$A$1:$C$1001,3,FALSE)</f>
        <v>Female</v>
      </c>
      <c r="N960" s="23" t="str">
        <f>VLOOKUP(A960,'Product-details'!$A$1:$B$1001,2,FALSE)</f>
        <v>Home and lifestyle</v>
      </c>
      <c r="O960" s="23" t="str">
        <f>VLOOKUP(A960,'City-details'!$A$1:$C$1001,3,FALSE)</f>
        <v>Naypyitaw</v>
      </c>
      <c r="P960" s="23" t="str">
        <f>VLOOKUP(A960,'City-details'!$A$1:$C$1001,2,FALSE)</f>
        <v>C</v>
      </c>
      <c r="Q960" s="23" t="str">
        <f t="shared" si="42"/>
        <v>Jan</v>
      </c>
      <c r="R960" s="26" t="str">
        <f t="shared" si="43"/>
        <v>Wed</v>
      </c>
      <c r="S960">
        <f t="shared" si="44"/>
        <v>11</v>
      </c>
      <c r="T960" t="str" cm="1">
        <f t="array" ref="T960">_xlfn.IFS(S960&lt;=12,"Morning",S960&lt;=16,"Afternoon",S960&lt;=21,"Evening",S960&lt;=24,"Night")</f>
        <v>Morning</v>
      </c>
    </row>
    <row r="961" spans="1:20" x14ac:dyDescent="0.25">
      <c r="A961" s="31" t="s">
        <v>995</v>
      </c>
      <c r="B961" s="27">
        <v>98.66</v>
      </c>
      <c r="C961" s="28">
        <v>9</v>
      </c>
      <c r="D961" s="27">
        <v>44.396999999999998</v>
      </c>
      <c r="E961" s="27">
        <v>932.33699999999999</v>
      </c>
      <c r="F961" s="29">
        <v>43515</v>
      </c>
      <c r="G961" s="30">
        <v>40.505555555555603</v>
      </c>
      <c r="H961" s="31" t="s">
        <v>29</v>
      </c>
      <c r="I961" s="27">
        <v>887.94</v>
      </c>
      <c r="J961" s="32">
        <v>4.7619047620000003</v>
      </c>
      <c r="K961" s="33">
        <v>8.4</v>
      </c>
      <c r="L961" s="31" t="str">
        <f>VLOOKUP(A961,'Customer-details'!$A$1:$C$1001,2,FALSE)</f>
        <v>Member</v>
      </c>
      <c r="M961" s="31" t="str">
        <f>VLOOKUP(A961,'Customer-details'!$A$1:$C$1001,3,FALSE)</f>
        <v>Female</v>
      </c>
      <c r="N961" s="31" t="str">
        <f>VLOOKUP(A961,'Product-details'!$A$1:$B$1001,2,FALSE)</f>
        <v>Food and beverages</v>
      </c>
      <c r="O961" s="31" t="str">
        <f>VLOOKUP(A961,'City-details'!$A$1:$C$1001,3,FALSE)</f>
        <v>Yangon</v>
      </c>
      <c r="P961" s="31" t="str">
        <f>VLOOKUP(A961,'City-details'!$A$1:$C$1001,2,FALSE)</f>
        <v>A</v>
      </c>
      <c r="Q961" s="31" t="str">
        <f t="shared" si="42"/>
        <v>Feb</v>
      </c>
      <c r="R961" s="34" t="str">
        <f t="shared" si="43"/>
        <v>Tue</v>
      </c>
      <c r="S961">
        <f t="shared" si="44"/>
        <v>12</v>
      </c>
      <c r="T961" t="str" cm="1">
        <f t="array" ref="T961">_xlfn.IFS(S961&lt;=12,"Morning",S961&lt;=16,"Afternoon",S961&lt;=21,"Evening",S961&lt;=24,"Night")</f>
        <v>Morning</v>
      </c>
    </row>
    <row r="962" spans="1:20" x14ac:dyDescent="0.25">
      <c r="A962" s="23" t="s">
        <v>996</v>
      </c>
      <c r="B962" s="19">
        <v>91.98</v>
      </c>
      <c r="C962" s="20">
        <v>1</v>
      </c>
      <c r="D962" s="19">
        <v>4.5990000000000002</v>
      </c>
      <c r="E962" s="19">
        <v>96.578999999999994</v>
      </c>
      <c r="F962" s="21">
        <v>43542</v>
      </c>
      <c r="G962" s="22">
        <v>40.547222222222203</v>
      </c>
      <c r="H962" s="23" t="s">
        <v>29</v>
      </c>
      <c r="I962" s="19">
        <v>91.98</v>
      </c>
      <c r="J962" s="24">
        <v>4.7619047620000003</v>
      </c>
      <c r="K962" s="25">
        <v>9.8000000000000007</v>
      </c>
      <c r="L962" s="23" t="str">
        <f>VLOOKUP(A962,'Customer-details'!$A$1:$C$1001,2,FALSE)</f>
        <v>Member</v>
      </c>
      <c r="M962" s="23" t="str">
        <f>VLOOKUP(A962,'Customer-details'!$A$1:$C$1001,3,FALSE)</f>
        <v>Male</v>
      </c>
      <c r="N962" s="23" t="str">
        <f>VLOOKUP(A962,'Product-details'!$A$1:$B$1001,2,FALSE)</f>
        <v>Fashion accessories</v>
      </c>
      <c r="O962" s="23" t="str">
        <f>VLOOKUP(A962,'City-details'!$A$1:$C$1001,3,FALSE)</f>
        <v>Naypyitaw</v>
      </c>
      <c r="P962" s="23" t="str">
        <f>VLOOKUP(A962,'City-details'!$A$1:$C$1001,2,FALSE)</f>
        <v>C</v>
      </c>
      <c r="Q962" s="23" t="str">
        <f t="shared" si="42"/>
        <v>Mar</v>
      </c>
      <c r="R962" s="26" t="str">
        <f t="shared" si="43"/>
        <v>Mon</v>
      </c>
      <c r="S962">
        <f t="shared" si="44"/>
        <v>13</v>
      </c>
      <c r="T962" t="str" cm="1">
        <f t="array" ref="T962">_xlfn.IFS(S962&lt;=12,"Morning",S962&lt;=16,"Afternoon",S962&lt;=21,"Evening",S962&lt;=24,"Night")</f>
        <v>Afternoon</v>
      </c>
    </row>
    <row r="963" spans="1:20" x14ac:dyDescent="0.25">
      <c r="A963" s="31" t="s">
        <v>997</v>
      </c>
      <c r="B963" s="27">
        <v>20.89</v>
      </c>
      <c r="C963" s="28">
        <v>2</v>
      </c>
      <c r="D963" s="27">
        <v>2.089</v>
      </c>
      <c r="E963" s="27">
        <v>43.869</v>
      </c>
      <c r="F963" s="29">
        <v>43501</v>
      </c>
      <c r="G963" s="30">
        <v>40.588888888888903</v>
      </c>
      <c r="H963" s="31" t="s">
        <v>29</v>
      </c>
      <c r="I963" s="27">
        <v>41.78</v>
      </c>
      <c r="J963" s="32">
        <v>4.7619047620000003</v>
      </c>
      <c r="K963" s="33">
        <v>9.8000000000000007</v>
      </c>
      <c r="L963" s="31" t="str">
        <f>VLOOKUP(A963,'Customer-details'!$A$1:$C$1001,2,FALSE)</f>
        <v>Member</v>
      </c>
      <c r="M963" s="31" t="str">
        <f>VLOOKUP(A963,'Customer-details'!$A$1:$C$1001,3,FALSE)</f>
        <v>Male</v>
      </c>
      <c r="N963" s="31" t="str">
        <f>VLOOKUP(A963,'Product-details'!$A$1:$B$1001,2,FALSE)</f>
        <v>Electronic accessories</v>
      </c>
      <c r="O963" s="31" t="str">
        <f>VLOOKUP(A963,'City-details'!$A$1:$C$1001,3,FALSE)</f>
        <v>Yangon</v>
      </c>
      <c r="P963" s="31" t="str">
        <f>VLOOKUP(A963,'City-details'!$A$1:$C$1001,2,FALSE)</f>
        <v>A</v>
      </c>
      <c r="Q963" s="31" t="str">
        <f t="shared" ref="Q963:Q1001" si="45">TEXT(F963,"mmm")</f>
        <v>Feb</v>
      </c>
      <c r="R963" s="34" t="str">
        <f t="shared" ref="R963:R1001" si="46">TEXT(F963,"ddd")</f>
        <v>Tue</v>
      </c>
      <c r="S963">
        <f t="shared" ref="S963:S1001" si="47">HOUR(G963)</f>
        <v>14</v>
      </c>
      <c r="T963" t="str" cm="1">
        <f t="array" ref="T963">_xlfn.IFS(S963&lt;=12,"Morning",S963&lt;=16,"Afternoon",S963&lt;=21,"Evening",S963&lt;=24,"Night")</f>
        <v>Afternoon</v>
      </c>
    </row>
    <row r="964" spans="1:20" x14ac:dyDescent="0.25">
      <c r="A964" s="23" t="s">
        <v>998</v>
      </c>
      <c r="B964" s="19">
        <v>15.5</v>
      </c>
      <c r="C964" s="20">
        <v>1</v>
      </c>
      <c r="D964" s="19">
        <v>0.77500000000000002</v>
      </c>
      <c r="E964" s="19">
        <v>16.274999999999999</v>
      </c>
      <c r="F964" s="21">
        <v>43543</v>
      </c>
      <c r="G964" s="22">
        <v>40.630555555555603</v>
      </c>
      <c r="H964" s="23" t="s">
        <v>33</v>
      </c>
      <c r="I964" s="19">
        <v>15.5</v>
      </c>
      <c r="J964" s="24">
        <v>4.7619047620000003</v>
      </c>
      <c r="K964" s="25">
        <v>7.4</v>
      </c>
      <c r="L964" s="23" t="str">
        <f>VLOOKUP(A964,'Customer-details'!$A$1:$C$1001,2,FALSE)</f>
        <v>Normal</v>
      </c>
      <c r="M964" s="23" t="str">
        <f>VLOOKUP(A964,'Customer-details'!$A$1:$C$1001,3,FALSE)</f>
        <v>Female</v>
      </c>
      <c r="N964" s="23" t="str">
        <f>VLOOKUP(A964,'Product-details'!$A$1:$B$1001,2,FALSE)</f>
        <v>Fashion accessories</v>
      </c>
      <c r="O964" s="23" t="str">
        <f>VLOOKUP(A964,'City-details'!$A$1:$C$1001,3,FALSE)</f>
        <v>Yangon</v>
      </c>
      <c r="P964" s="23" t="str">
        <f>VLOOKUP(A964,'City-details'!$A$1:$C$1001,2,FALSE)</f>
        <v>A</v>
      </c>
      <c r="Q964" s="23" t="str">
        <f t="shared" si="45"/>
        <v>Mar</v>
      </c>
      <c r="R964" s="26" t="str">
        <f t="shared" si="46"/>
        <v>Tue</v>
      </c>
      <c r="S964">
        <f t="shared" si="47"/>
        <v>15</v>
      </c>
      <c r="T964" t="str" cm="1">
        <f t="array" ref="T964">_xlfn.IFS(S964&lt;=12,"Morning",S964&lt;=16,"Afternoon",S964&lt;=21,"Evening",S964&lt;=24,"Night")</f>
        <v>Afternoon</v>
      </c>
    </row>
    <row r="965" spans="1:20" x14ac:dyDescent="0.25">
      <c r="A965" s="31" t="s">
        <v>999</v>
      </c>
      <c r="B965" s="27">
        <v>96.82</v>
      </c>
      <c r="C965" s="28">
        <v>3</v>
      </c>
      <c r="D965" s="27">
        <v>14.523</v>
      </c>
      <c r="E965" s="27">
        <v>304.983</v>
      </c>
      <c r="F965" s="29">
        <v>43554</v>
      </c>
      <c r="G965" s="30">
        <v>40.672222222222203</v>
      </c>
      <c r="H965" s="31" t="s">
        <v>29</v>
      </c>
      <c r="I965" s="27">
        <v>290.45999999999998</v>
      </c>
      <c r="J965" s="32">
        <v>4.7619047620000003</v>
      </c>
      <c r="K965" s="33">
        <v>6.7</v>
      </c>
      <c r="L965" s="31" t="str">
        <f>VLOOKUP(A965,'Customer-details'!$A$1:$C$1001,2,FALSE)</f>
        <v>Member</v>
      </c>
      <c r="M965" s="31" t="str">
        <f>VLOOKUP(A965,'Customer-details'!$A$1:$C$1001,3,FALSE)</f>
        <v>Male</v>
      </c>
      <c r="N965" s="31" t="str">
        <f>VLOOKUP(A965,'Product-details'!$A$1:$B$1001,2,FALSE)</f>
        <v>Electronic accessories</v>
      </c>
      <c r="O965" s="31" t="str">
        <f>VLOOKUP(A965,'City-details'!$A$1:$C$1001,3,FALSE)</f>
        <v>Naypyitaw</v>
      </c>
      <c r="P965" s="31" t="str">
        <f>VLOOKUP(A965,'City-details'!$A$1:$C$1001,2,FALSE)</f>
        <v>C</v>
      </c>
      <c r="Q965" s="31" t="str">
        <f t="shared" si="45"/>
        <v>Mar</v>
      </c>
      <c r="R965" s="34" t="str">
        <f t="shared" si="46"/>
        <v>Sat</v>
      </c>
      <c r="S965">
        <f t="shared" si="47"/>
        <v>16</v>
      </c>
      <c r="T965" t="str" cm="1">
        <f t="array" ref="T965">_xlfn.IFS(S965&lt;=12,"Morning",S965&lt;=16,"Afternoon",S965&lt;=21,"Evening",S965&lt;=24,"Night")</f>
        <v>Afternoon</v>
      </c>
    </row>
    <row r="966" spans="1:20" x14ac:dyDescent="0.25">
      <c r="A966" s="23" t="s">
        <v>1000</v>
      </c>
      <c r="B966" s="19">
        <v>33.33</v>
      </c>
      <c r="C966" s="20">
        <v>2</v>
      </c>
      <c r="D966" s="19">
        <v>3.3330000000000002</v>
      </c>
      <c r="E966" s="19">
        <v>69.992999999999995</v>
      </c>
      <c r="F966" s="21">
        <v>43491</v>
      </c>
      <c r="G966" s="22">
        <v>40.713888888888903</v>
      </c>
      <c r="H966" s="23" t="s">
        <v>33</v>
      </c>
      <c r="I966" s="19">
        <v>66.66</v>
      </c>
      <c r="J966" s="24">
        <v>4.7619047620000003</v>
      </c>
      <c r="K966" s="25">
        <v>6.4</v>
      </c>
      <c r="L966" s="23" t="str">
        <f>VLOOKUP(A966,'Customer-details'!$A$1:$C$1001,2,FALSE)</f>
        <v>Normal</v>
      </c>
      <c r="M966" s="23" t="str">
        <f>VLOOKUP(A966,'Customer-details'!$A$1:$C$1001,3,FALSE)</f>
        <v>Male</v>
      </c>
      <c r="N966" s="23" t="str">
        <f>VLOOKUP(A966,'Product-details'!$A$1:$B$1001,2,FALSE)</f>
        <v>Food and beverages</v>
      </c>
      <c r="O966" s="23" t="str">
        <f>VLOOKUP(A966,'City-details'!$A$1:$C$1001,3,FALSE)</f>
        <v>Mandalay</v>
      </c>
      <c r="P966" s="23" t="str">
        <f>VLOOKUP(A966,'City-details'!$A$1:$C$1001,2,FALSE)</f>
        <v>B</v>
      </c>
      <c r="Q966" s="23" t="str">
        <f t="shared" si="45"/>
        <v>Jan</v>
      </c>
      <c r="R966" s="26" t="str">
        <f t="shared" si="46"/>
        <v>Sat</v>
      </c>
      <c r="S966">
        <f t="shared" si="47"/>
        <v>17</v>
      </c>
      <c r="T966" t="str" cm="1">
        <f t="array" ref="T966">_xlfn.IFS(S966&lt;=12,"Morning",S966&lt;=16,"Afternoon",S966&lt;=21,"Evening",S966&lt;=24,"Night")</f>
        <v>Evening</v>
      </c>
    </row>
    <row r="967" spans="1:20" x14ac:dyDescent="0.25">
      <c r="A967" s="31" t="s">
        <v>1001</v>
      </c>
      <c r="B967" s="27">
        <v>38.270000000000003</v>
      </c>
      <c r="C967" s="28">
        <v>2</v>
      </c>
      <c r="D967" s="27">
        <v>3.827</v>
      </c>
      <c r="E967" s="27">
        <v>80.367000000000004</v>
      </c>
      <c r="F967" s="29">
        <v>43526</v>
      </c>
      <c r="G967" s="30">
        <v>40.755555555555603</v>
      </c>
      <c r="H967" s="31" t="s">
        <v>33</v>
      </c>
      <c r="I967" s="27">
        <v>76.540000000000006</v>
      </c>
      <c r="J967" s="32">
        <v>4.7619047620000003</v>
      </c>
      <c r="K967" s="33">
        <v>5.8</v>
      </c>
      <c r="L967" s="31" t="str">
        <f>VLOOKUP(A967,'Customer-details'!$A$1:$C$1001,2,FALSE)</f>
        <v>Normal</v>
      </c>
      <c r="M967" s="31" t="str">
        <f>VLOOKUP(A967,'Customer-details'!$A$1:$C$1001,3,FALSE)</f>
        <v>Female</v>
      </c>
      <c r="N967" s="31" t="str">
        <f>VLOOKUP(A967,'Product-details'!$A$1:$B$1001,2,FALSE)</f>
        <v>Electronic accessories</v>
      </c>
      <c r="O967" s="31" t="str">
        <f>VLOOKUP(A967,'City-details'!$A$1:$C$1001,3,FALSE)</f>
        <v>Mandalay</v>
      </c>
      <c r="P967" s="31" t="str">
        <f>VLOOKUP(A967,'City-details'!$A$1:$C$1001,2,FALSE)</f>
        <v>B</v>
      </c>
      <c r="Q967" s="31" t="str">
        <f t="shared" si="45"/>
        <v>Mar</v>
      </c>
      <c r="R967" s="34" t="str">
        <f t="shared" si="46"/>
        <v>Sat</v>
      </c>
      <c r="S967">
        <f t="shared" si="47"/>
        <v>18</v>
      </c>
      <c r="T967" t="str" cm="1">
        <f t="array" ref="T967">_xlfn.IFS(S967&lt;=12,"Morning",S967&lt;=16,"Afternoon",S967&lt;=21,"Evening",S967&lt;=24,"Night")</f>
        <v>Evening</v>
      </c>
    </row>
    <row r="968" spans="1:20" x14ac:dyDescent="0.25">
      <c r="A968" s="23" t="s">
        <v>1002</v>
      </c>
      <c r="B968" s="19">
        <v>33.299999999999997</v>
      </c>
      <c r="C968" s="20">
        <v>9</v>
      </c>
      <c r="D968" s="19">
        <v>14.984999999999999</v>
      </c>
      <c r="E968" s="19">
        <v>314.685</v>
      </c>
      <c r="F968" s="21">
        <v>43528</v>
      </c>
      <c r="G968" s="22">
        <v>40.797222222222203</v>
      </c>
      <c r="H968" s="23" t="s">
        <v>23</v>
      </c>
      <c r="I968" s="19">
        <v>299.7</v>
      </c>
      <c r="J968" s="24">
        <v>4.7619047620000003</v>
      </c>
      <c r="K968" s="25">
        <v>7.2</v>
      </c>
      <c r="L968" s="23" t="str">
        <f>VLOOKUP(A968,'Customer-details'!$A$1:$C$1001,2,FALSE)</f>
        <v>Normal</v>
      </c>
      <c r="M968" s="23" t="str">
        <f>VLOOKUP(A968,'Customer-details'!$A$1:$C$1001,3,FALSE)</f>
        <v>Female</v>
      </c>
      <c r="N968" s="23" t="str">
        <f>VLOOKUP(A968,'Product-details'!$A$1:$B$1001,2,FALSE)</f>
        <v>Home and lifestyle</v>
      </c>
      <c r="O968" s="23" t="str">
        <f>VLOOKUP(A968,'City-details'!$A$1:$C$1001,3,FALSE)</f>
        <v>Yangon</v>
      </c>
      <c r="P968" s="23" t="str">
        <f>VLOOKUP(A968,'City-details'!$A$1:$C$1001,2,FALSE)</f>
        <v>A</v>
      </c>
      <c r="Q968" s="23" t="str">
        <f t="shared" si="45"/>
        <v>Mar</v>
      </c>
      <c r="R968" s="26" t="str">
        <f t="shared" si="46"/>
        <v>Mon</v>
      </c>
      <c r="S968">
        <f t="shared" si="47"/>
        <v>19</v>
      </c>
      <c r="T968" t="str" cm="1">
        <f t="array" ref="T968">_xlfn.IFS(S968&lt;=12,"Morning",S968&lt;=16,"Afternoon",S968&lt;=21,"Evening",S968&lt;=24,"Night")</f>
        <v>Evening</v>
      </c>
    </row>
    <row r="969" spans="1:20" x14ac:dyDescent="0.25">
      <c r="A969" s="31" t="s">
        <v>1003</v>
      </c>
      <c r="B969" s="27">
        <v>81.010000000000005</v>
      </c>
      <c r="C969" s="28">
        <v>3</v>
      </c>
      <c r="D969" s="27">
        <v>12.1515</v>
      </c>
      <c r="E969" s="27">
        <v>255.1815</v>
      </c>
      <c r="F969" s="29">
        <v>43478</v>
      </c>
      <c r="G969" s="30">
        <v>40.838888888888903</v>
      </c>
      <c r="H969" s="31" t="s">
        <v>33</v>
      </c>
      <c r="I969" s="27">
        <v>243.03</v>
      </c>
      <c r="J969" s="32">
        <v>4.7619047620000003</v>
      </c>
      <c r="K969" s="33">
        <v>9.3000000000000007</v>
      </c>
      <c r="L969" s="31" t="str">
        <f>VLOOKUP(A969,'Customer-details'!$A$1:$C$1001,2,FALSE)</f>
        <v>Member</v>
      </c>
      <c r="M969" s="31" t="str">
        <f>VLOOKUP(A969,'Customer-details'!$A$1:$C$1001,3,FALSE)</f>
        <v>Male</v>
      </c>
      <c r="N969" s="31" t="str">
        <f>VLOOKUP(A969,'Product-details'!$A$1:$B$1001,2,FALSE)</f>
        <v>Home and lifestyle</v>
      </c>
      <c r="O969" s="31" t="str">
        <f>VLOOKUP(A969,'City-details'!$A$1:$C$1001,3,FALSE)</f>
        <v>Yangon</v>
      </c>
      <c r="P969" s="31" t="str">
        <f>VLOOKUP(A969,'City-details'!$A$1:$C$1001,2,FALSE)</f>
        <v>A</v>
      </c>
      <c r="Q969" s="31" t="str">
        <f t="shared" si="45"/>
        <v>Jan</v>
      </c>
      <c r="R969" s="34" t="str">
        <f t="shared" si="46"/>
        <v>Sun</v>
      </c>
      <c r="S969">
        <f t="shared" si="47"/>
        <v>20</v>
      </c>
      <c r="T969" t="str" cm="1">
        <f t="array" ref="T969">_xlfn.IFS(S969&lt;=12,"Morning",S969&lt;=16,"Afternoon",S969&lt;=21,"Evening",S969&lt;=24,"Night")</f>
        <v>Evening</v>
      </c>
    </row>
    <row r="970" spans="1:20" x14ac:dyDescent="0.25">
      <c r="A970" s="23" t="s">
        <v>1004</v>
      </c>
      <c r="B970" s="19">
        <v>15.8</v>
      </c>
      <c r="C970" s="20">
        <v>3</v>
      </c>
      <c r="D970" s="19">
        <v>2.37</v>
      </c>
      <c r="E970" s="19">
        <v>49.77</v>
      </c>
      <c r="F970" s="21">
        <v>43549</v>
      </c>
      <c r="G970" s="22">
        <v>40.880555555555603</v>
      </c>
      <c r="H970" s="23" t="s">
        <v>29</v>
      </c>
      <c r="I970" s="19">
        <v>47.4</v>
      </c>
      <c r="J970" s="24">
        <v>4.7619047620000003</v>
      </c>
      <c r="K970" s="25">
        <v>9.5</v>
      </c>
      <c r="L970" s="23" t="str">
        <f>VLOOKUP(A970,'Customer-details'!$A$1:$C$1001,2,FALSE)</f>
        <v>Normal</v>
      </c>
      <c r="M970" s="23" t="str">
        <f>VLOOKUP(A970,'Customer-details'!$A$1:$C$1001,3,FALSE)</f>
        <v>Female</v>
      </c>
      <c r="N970" s="23" t="str">
        <f>VLOOKUP(A970,'Product-details'!$A$1:$B$1001,2,FALSE)</f>
        <v>Health and beauty</v>
      </c>
      <c r="O970" s="23" t="str">
        <f>VLOOKUP(A970,'City-details'!$A$1:$C$1001,3,FALSE)</f>
        <v>Yangon</v>
      </c>
      <c r="P970" s="23" t="str">
        <f>VLOOKUP(A970,'City-details'!$A$1:$C$1001,2,FALSE)</f>
        <v>A</v>
      </c>
      <c r="Q970" s="23" t="str">
        <f t="shared" si="45"/>
        <v>Mar</v>
      </c>
      <c r="R970" s="26" t="str">
        <f t="shared" si="46"/>
        <v>Mon</v>
      </c>
      <c r="S970">
        <f t="shared" si="47"/>
        <v>21</v>
      </c>
      <c r="T970" t="str" cm="1">
        <f t="array" ref="T970">_xlfn.IFS(S970&lt;=12,"Morning",S970&lt;=16,"Afternoon",S970&lt;=21,"Evening",S970&lt;=24,"Night")</f>
        <v>Evening</v>
      </c>
    </row>
    <row r="971" spans="1:20" x14ac:dyDescent="0.25">
      <c r="A971" s="31" t="s">
        <v>1005</v>
      </c>
      <c r="B971" s="27">
        <v>34.49</v>
      </c>
      <c r="C971" s="28">
        <v>5</v>
      </c>
      <c r="D971" s="27">
        <v>8.6225000000000005</v>
      </c>
      <c r="E971" s="27">
        <v>181.07249999999999</v>
      </c>
      <c r="F971" s="29">
        <v>43535</v>
      </c>
      <c r="G971" s="30">
        <v>40.922222222222203</v>
      </c>
      <c r="H971" s="31" t="s">
        <v>33</v>
      </c>
      <c r="I971" s="27">
        <v>172.45</v>
      </c>
      <c r="J971" s="32">
        <v>4.7619047620000003</v>
      </c>
      <c r="K971" s="33">
        <v>9</v>
      </c>
      <c r="L971" s="31" t="str">
        <f>VLOOKUP(A971,'Customer-details'!$A$1:$C$1001,2,FALSE)</f>
        <v>Member</v>
      </c>
      <c r="M971" s="31" t="str">
        <f>VLOOKUP(A971,'Customer-details'!$A$1:$C$1001,3,FALSE)</f>
        <v>Female</v>
      </c>
      <c r="N971" s="31" t="str">
        <f>VLOOKUP(A971,'Product-details'!$A$1:$B$1001,2,FALSE)</f>
        <v>Electronic accessories</v>
      </c>
      <c r="O971" s="31" t="str">
        <f>VLOOKUP(A971,'City-details'!$A$1:$C$1001,3,FALSE)</f>
        <v>Mandalay</v>
      </c>
      <c r="P971" s="31" t="str">
        <f>VLOOKUP(A971,'City-details'!$A$1:$C$1001,2,FALSE)</f>
        <v>B</v>
      </c>
      <c r="Q971" s="31" t="str">
        <f t="shared" si="45"/>
        <v>Mar</v>
      </c>
      <c r="R971" s="34" t="str">
        <f t="shared" si="46"/>
        <v>Mon</v>
      </c>
      <c r="S971">
        <f t="shared" si="47"/>
        <v>22</v>
      </c>
      <c r="T971" t="str" cm="1">
        <f t="array" ref="T971">_xlfn.IFS(S971&lt;=12,"Morning",S971&lt;=16,"Afternoon",S971&lt;=21,"Evening",S971&lt;=24,"Night")</f>
        <v>Night</v>
      </c>
    </row>
    <row r="972" spans="1:20" x14ac:dyDescent="0.25">
      <c r="A972" s="23" t="s">
        <v>1006</v>
      </c>
      <c r="B972" s="19">
        <v>84.63</v>
      </c>
      <c r="C972" s="20">
        <v>10</v>
      </c>
      <c r="D972" s="19">
        <v>42.314999999999998</v>
      </c>
      <c r="E972" s="19">
        <v>888.61500000000001</v>
      </c>
      <c r="F972" s="21">
        <v>43466</v>
      </c>
      <c r="G972" s="22">
        <v>40.963888888888903</v>
      </c>
      <c r="H972" s="23" t="s">
        <v>33</v>
      </c>
      <c r="I972" s="19">
        <v>846.3</v>
      </c>
      <c r="J972" s="24">
        <v>4.7619047620000003</v>
      </c>
      <c r="K972" s="25">
        <v>9</v>
      </c>
      <c r="L972" s="23" t="str">
        <f>VLOOKUP(A972,'Customer-details'!$A$1:$C$1001,2,FALSE)</f>
        <v>Member</v>
      </c>
      <c r="M972" s="23" t="str">
        <f>VLOOKUP(A972,'Customer-details'!$A$1:$C$1001,3,FALSE)</f>
        <v>Female</v>
      </c>
      <c r="N972" s="23" t="str">
        <f>VLOOKUP(A972,'Product-details'!$A$1:$B$1001,2,FALSE)</f>
        <v>Food and beverages</v>
      </c>
      <c r="O972" s="23" t="str">
        <f>VLOOKUP(A972,'City-details'!$A$1:$C$1001,3,FALSE)</f>
        <v>Mandalay</v>
      </c>
      <c r="P972" s="23" t="str">
        <f>VLOOKUP(A972,'City-details'!$A$1:$C$1001,2,FALSE)</f>
        <v>B</v>
      </c>
      <c r="Q972" s="23" t="str">
        <f t="shared" si="45"/>
        <v>Jan</v>
      </c>
      <c r="R972" s="26" t="str">
        <f t="shared" si="46"/>
        <v>Tue</v>
      </c>
      <c r="S972">
        <f t="shared" si="47"/>
        <v>23</v>
      </c>
      <c r="T972" t="str" cm="1">
        <f t="array" ref="T972">_xlfn.IFS(S972&lt;=12,"Morning",S972&lt;=16,"Afternoon",S972&lt;=21,"Evening",S972&lt;=24,"Night")</f>
        <v>Night</v>
      </c>
    </row>
    <row r="973" spans="1:20" x14ac:dyDescent="0.25">
      <c r="A973" s="31" t="s">
        <v>1007</v>
      </c>
      <c r="B973" s="27">
        <v>36.909999999999997</v>
      </c>
      <c r="C973" s="28">
        <v>7</v>
      </c>
      <c r="D973" s="27">
        <v>12.9185</v>
      </c>
      <c r="E973" s="27">
        <v>271.2885</v>
      </c>
      <c r="F973" s="29">
        <v>43506</v>
      </c>
      <c r="G973" s="30">
        <v>41.005555555555603</v>
      </c>
      <c r="H973" s="31" t="s">
        <v>23</v>
      </c>
      <c r="I973" s="27">
        <v>258.37</v>
      </c>
      <c r="J973" s="32">
        <v>4.7619047620000003</v>
      </c>
      <c r="K973" s="33">
        <v>6.7</v>
      </c>
      <c r="L973" s="31" t="str">
        <f>VLOOKUP(A973,'Customer-details'!$A$1:$C$1001,2,FALSE)</f>
        <v>Member</v>
      </c>
      <c r="M973" s="31" t="str">
        <f>VLOOKUP(A973,'Customer-details'!$A$1:$C$1001,3,FALSE)</f>
        <v>Male</v>
      </c>
      <c r="N973" s="31" t="str">
        <f>VLOOKUP(A973,'Product-details'!$A$1:$B$1001,2,FALSE)</f>
        <v>Home and lifestyle</v>
      </c>
      <c r="O973" s="31" t="str">
        <f>VLOOKUP(A973,'City-details'!$A$1:$C$1001,3,FALSE)</f>
        <v>Mandalay</v>
      </c>
      <c r="P973" s="31" t="str">
        <f>VLOOKUP(A973,'City-details'!$A$1:$C$1001,2,FALSE)</f>
        <v>B</v>
      </c>
      <c r="Q973" s="31" t="str">
        <f t="shared" si="45"/>
        <v>Feb</v>
      </c>
      <c r="R973" s="34" t="str">
        <f t="shared" si="46"/>
        <v>Sun</v>
      </c>
      <c r="S973">
        <f t="shared" si="47"/>
        <v>0</v>
      </c>
      <c r="T973" t="str" cm="1">
        <f t="array" ref="T973">_xlfn.IFS(S973&lt;=12,"Morning",S973&lt;=16,"Afternoon",S973&lt;=21,"Evening",S973&lt;=24,"Night")</f>
        <v>Morning</v>
      </c>
    </row>
    <row r="974" spans="1:20" x14ac:dyDescent="0.25">
      <c r="A974" s="23" t="s">
        <v>1008</v>
      </c>
      <c r="B974" s="19">
        <v>87.08</v>
      </c>
      <c r="C974" s="20">
        <v>7</v>
      </c>
      <c r="D974" s="19">
        <v>30.478000000000002</v>
      </c>
      <c r="E974" s="19">
        <v>640.03800000000001</v>
      </c>
      <c r="F974" s="21">
        <v>43491</v>
      </c>
      <c r="G974" s="22">
        <v>41.047222222222203</v>
      </c>
      <c r="H974" s="23" t="s">
        <v>29</v>
      </c>
      <c r="I974" s="19">
        <v>609.55999999999995</v>
      </c>
      <c r="J974" s="24">
        <v>4.7619047620000003</v>
      </c>
      <c r="K974" s="25">
        <v>5.5</v>
      </c>
      <c r="L974" s="23" t="str">
        <f>VLOOKUP(A974,'Customer-details'!$A$1:$C$1001,2,FALSE)</f>
        <v>Normal</v>
      </c>
      <c r="M974" s="23" t="str">
        <f>VLOOKUP(A974,'Customer-details'!$A$1:$C$1001,3,FALSE)</f>
        <v>Male</v>
      </c>
      <c r="N974" s="23" t="str">
        <f>VLOOKUP(A974,'Product-details'!$A$1:$B$1001,2,FALSE)</f>
        <v>Electronic accessories</v>
      </c>
      <c r="O974" s="23" t="str">
        <f>VLOOKUP(A974,'City-details'!$A$1:$C$1001,3,FALSE)</f>
        <v>Mandalay</v>
      </c>
      <c r="P974" s="23" t="str">
        <f>VLOOKUP(A974,'City-details'!$A$1:$C$1001,2,FALSE)</f>
        <v>B</v>
      </c>
      <c r="Q974" s="23" t="str">
        <f t="shared" si="45"/>
        <v>Jan</v>
      </c>
      <c r="R974" s="26" t="str">
        <f t="shared" si="46"/>
        <v>Sat</v>
      </c>
      <c r="S974">
        <f t="shared" si="47"/>
        <v>1</v>
      </c>
      <c r="T974" t="str" cm="1">
        <f t="array" ref="T974">_xlfn.IFS(S974&lt;=12,"Morning",S974&lt;=16,"Afternoon",S974&lt;=21,"Evening",S974&lt;=24,"Night")</f>
        <v>Morning</v>
      </c>
    </row>
    <row r="975" spans="1:20" x14ac:dyDescent="0.25">
      <c r="A975" s="31" t="s">
        <v>1009</v>
      </c>
      <c r="B975" s="27">
        <v>80.08</v>
      </c>
      <c r="C975" s="28">
        <v>3</v>
      </c>
      <c r="D975" s="27">
        <v>12.012</v>
      </c>
      <c r="E975" s="27">
        <v>252.25200000000001</v>
      </c>
      <c r="F975" s="29">
        <v>43507</v>
      </c>
      <c r="G975" s="30">
        <v>41.088888888888903</v>
      </c>
      <c r="H975" s="31" t="s">
        <v>29</v>
      </c>
      <c r="I975" s="27">
        <v>240.24</v>
      </c>
      <c r="J975" s="32">
        <v>4.7619047620000003</v>
      </c>
      <c r="K975" s="33">
        <v>5.4</v>
      </c>
      <c r="L975" s="31" t="str">
        <f>VLOOKUP(A975,'Customer-details'!$A$1:$C$1001,2,FALSE)</f>
        <v>Normal</v>
      </c>
      <c r="M975" s="31" t="str">
        <f>VLOOKUP(A975,'Customer-details'!$A$1:$C$1001,3,FALSE)</f>
        <v>Male</v>
      </c>
      <c r="N975" s="31" t="str">
        <f>VLOOKUP(A975,'Product-details'!$A$1:$B$1001,2,FALSE)</f>
        <v>Home and lifestyle</v>
      </c>
      <c r="O975" s="31" t="str">
        <f>VLOOKUP(A975,'City-details'!$A$1:$C$1001,3,FALSE)</f>
        <v>Yangon</v>
      </c>
      <c r="P975" s="31" t="str">
        <f>VLOOKUP(A975,'City-details'!$A$1:$C$1001,2,FALSE)</f>
        <v>A</v>
      </c>
      <c r="Q975" s="31" t="str">
        <f t="shared" si="45"/>
        <v>Feb</v>
      </c>
      <c r="R975" s="34" t="str">
        <f t="shared" si="46"/>
        <v>Mon</v>
      </c>
      <c r="S975">
        <f t="shared" si="47"/>
        <v>2</v>
      </c>
      <c r="T975" t="str" cm="1">
        <f t="array" ref="T975">_xlfn.IFS(S975&lt;=12,"Morning",S975&lt;=16,"Afternoon",S975&lt;=21,"Evening",S975&lt;=24,"Night")</f>
        <v>Morning</v>
      </c>
    </row>
    <row r="976" spans="1:20" x14ac:dyDescent="0.25">
      <c r="A976" s="23" t="s">
        <v>1010</v>
      </c>
      <c r="B976" s="19">
        <v>86.13</v>
      </c>
      <c r="C976" s="20">
        <v>2</v>
      </c>
      <c r="D976" s="19">
        <v>8.6129999999999995</v>
      </c>
      <c r="E976" s="19">
        <v>180.87299999999999</v>
      </c>
      <c r="F976" s="21">
        <v>43503</v>
      </c>
      <c r="G976" s="22">
        <v>41.130555555555603</v>
      </c>
      <c r="H976" s="23" t="s">
        <v>29</v>
      </c>
      <c r="I976" s="19">
        <v>172.26</v>
      </c>
      <c r="J976" s="24">
        <v>4.7619047620000003</v>
      </c>
      <c r="K976" s="25">
        <v>8.1999999999999993</v>
      </c>
      <c r="L976" s="23" t="str">
        <f>VLOOKUP(A976,'Customer-details'!$A$1:$C$1001,2,FALSE)</f>
        <v>Normal</v>
      </c>
      <c r="M976" s="23" t="str">
        <f>VLOOKUP(A976,'Customer-details'!$A$1:$C$1001,3,FALSE)</f>
        <v>Male</v>
      </c>
      <c r="N976" s="23" t="str">
        <f>VLOOKUP(A976,'Product-details'!$A$1:$B$1001,2,FALSE)</f>
        <v>Fashion accessories</v>
      </c>
      <c r="O976" s="23" t="str">
        <f>VLOOKUP(A976,'City-details'!$A$1:$C$1001,3,FALSE)</f>
        <v>Naypyitaw</v>
      </c>
      <c r="P976" s="23" t="str">
        <f>VLOOKUP(A976,'City-details'!$A$1:$C$1001,2,FALSE)</f>
        <v>C</v>
      </c>
      <c r="Q976" s="23" t="str">
        <f t="shared" si="45"/>
        <v>Feb</v>
      </c>
      <c r="R976" s="26" t="str">
        <f t="shared" si="46"/>
        <v>Thu</v>
      </c>
      <c r="S976">
        <f t="shared" si="47"/>
        <v>3</v>
      </c>
      <c r="T976" t="str" cm="1">
        <f t="array" ref="T976">_xlfn.IFS(S976&lt;=12,"Morning",S976&lt;=16,"Afternoon",S976&lt;=21,"Evening",S976&lt;=24,"Night")</f>
        <v>Morning</v>
      </c>
    </row>
    <row r="977" spans="1:20" x14ac:dyDescent="0.25">
      <c r="A977" s="31" t="s">
        <v>1011</v>
      </c>
      <c r="B977" s="27">
        <v>49.92</v>
      </c>
      <c r="C977" s="28">
        <v>2</v>
      </c>
      <c r="D977" s="27">
        <v>4.992</v>
      </c>
      <c r="E977" s="27">
        <v>104.83199999999999</v>
      </c>
      <c r="F977" s="29">
        <v>43530</v>
      </c>
      <c r="G977" s="30">
        <v>41.172222222222203</v>
      </c>
      <c r="H977" s="31" t="s">
        <v>33</v>
      </c>
      <c r="I977" s="27">
        <v>99.84</v>
      </c>
      <c r="J977" s="32">
        <v>4.7619047620000003</v>
      </c>
      <c r="K977" s="33">
        <v>7</v>
      </c>
      <c r="L977" s="31" t="str">
        <f>VLOOKUP(A977,'Customer-details'!$A$1:$C$1001,2,FALSE)</f>
        <v>Member</v>
      </c>
      <c r="M977" s="31" t="str">
        <f>VLOOKUP(A977,'Customer-details'!$A$1:$C$1001,3,FALSE)</f>
        <v>Male</v>
      </c>
      <c r="N977" s="31" t="str">
        <f>VLOOKUP(A977,'Product-details'!$A$1:$B$1001,2,FALSE)</f>
        <v>Fashion accessories</v>
      </c>
      <c r="O977" s="31" t="str">
        <f>VLOOKUP(A977,'City-details'!$A$1:$C$1001,3,FALSE)</f>
        <v>Mandalay</v>
      </c>
      <c r="P977" s="31" t="str">
        <f>VLOOKUP(A977,'City-details'!$A$1:$C$1001,2,FALSE)</f>
        <v>B</v>
      </c>
      <c r="Q977" s="31" t="str">
        <f t="shared" si="45"/>
        <v>Mar</v>
      </c>
      <c r="R977" s="34" t="str">
        <f t="shared" si="46"/>
        <v>Wed</v>
      </c>
      <c r="S977">
        <f t="shared" si="47"/>
        <v>4</v>
      </c>
      <c r="T977" t="str" cm="1">
        <f t="array" ref="T977">_xlfn.IFS(S977&lt;=12,"Morning",S977&lt;=16,"Afternoon",S977&lt;=21,"Evening",S977&lt;=24,"Night")</f>
        <v>Morning</v>
      </c>
    </row>
    <row r="978" spans="1:20" x14ac:dyDescent="0.25">
      <c r="A978" s="23" t="s">
        <v>1012</v>
      </c>
      <c r="B978" s="19">
        <v>74.66</v>
      </c>
      <c r="C978" s="20">
        <v>4</v>
      </c>
      <c r="D978" s="19">
        <v>14.932</v>
      </c>
      <c r="E978" s="19">
        <v>313.572</v>
      </c>
      <c r="F978" s="21">
        <v>43528</v>
      </c>
      <c r="G978" s="22">
        <v>41.213888888888903</v>
      </c>
      <c r="H978" s="23" t="s">
        <v>29</v>
      </c>
      <c r="I978" s="19">
        <v>298.64</v>
      </c>
      <c r="J978" s="24">
        <v>4.7619047620000003</v>
      </c>
      <c r="K978" s="25">
        <v>8.5</v>
      </c>
      <c r="L978" s="23" t="str">
        <f>VLOOKUP(A978,'Customer-details'!$A$1:$C$1001,2,FALSE)</f>
        <v>Normal</v>
      </c>
      <c r="M978" s="23" t="str">
        <f>VLOOKUP(A978,'Customer-details'!$A$1:$C$1001,3,FALSE)</f>
        <v>Female</v>
      </c>
      <c r="N978" s="23" t="str">
        <f>VLOOKUP(A978,'Product-details'!$A$1:$B$1001,2,FALSE)</f>
        <v>Food and beverages</v>
      </c>
      <c r="O978" s="23" t="str">
        <f>VLOOKUP(A978,'City-details'!$A$1:$C$1001,3,FALSE)</f>
        <v>Yangon</v>
      </c>
      <c r="P978" s="23" t="str">
        <f>VLOOKUP(A978,'City-details'!$A$1:$C$1001,2,FALSE)</f>
        <v>A</v>
      </c>
      <c r="Q978" s="23" t="str">
        <f t="shared" si="45"/>
        <v>Mar</v>
      </c>
      <c r="R978" s="26" t="str">
        <f t="shared" si="46"/>
        <v>Mon</v>
      </c>
      <c r="S978">
        <f t="shared" si="47"/>
        <v>5</v>
      </c>
      <c r="T978" t="str" cm="1">
        <f t="array" ref="T978">_xlfn.IFS(S978&lt;=12,"Morning",S978&lt;=16,"Afternoon",S978&lt;=21,"Evening",S978&lt;=24,"Night")</f>
        <v>Morning</v>
      </c>
    </row>
    <row r="979" spans="1:20" x14ac:dyDescent="0.25">
      <c r="A979" s="31" t="s">
        <v>1013</v>
      </c>
      <c r="B979" s="27">
        <v>26.6</v>
      </c>
      <c r="C979" s="28">
        <v>6</v>
      </c>
      <c r="D979" s="27">
        <v>7.98</v>
      </c>
      <c r="E979" s="27">
        <v>167.58</v>
      </c>
      <c r="F979" s="29">
        <v>43522</v>
      </c>
      <c r="G979" s="30">
        <v>41.255555555555603</v>
      </c>
      <c r="H979" s="31" t="s">
        <v>23</v>
      </c>
      <c r="I979" s="27">
        <v>159.6</v>
      </c>
      <c r="J979" s="32">
        <v>4.7619047620000003</v>
      </c>
      <c r="K979" s="33">
        <v>4.9000000000000004</v>
      </c>
      <c r="L979" s="31" t="str">
        <f>VLOOKUP(A979,'Customer-details'!$A$1:$C$1001,2,FALSE)</f>
        <v>Member</v>
      </c>
      <c r="M979" s="31" t="str">
        <f>VLOOKUP(A979,'Customer-details'!$A$1:$C$1001,3,FALSE)</f>
        <v>Male</v>
      </c>
      <c r="N979" s="31" t="str">
        <f>VLOOKUP(A979,'Product-details'!$A$1:$B$1001,2,FALSE)</f>
        <v>Food and beverages</v>
      </c>
      <c r="O979" s="31" t="str">
        <f>VLOOKUP(A979,'City-details'!$A$1:$C$1001,3,FALSE)</f>
        <v>Mandalay</v>
      </c>
      <c r="P979" s="31" t="str">
        <f>VLOOKUP(A979,'City-details'!$A$1:$C$1001,2,FALSE)</f>
        <v>B</v>
      </c>
      <c r="Q979" s="31" t="str">
        <f t="shared" si="45"/>
        <v>Feb</v>
      </c>
      <c r="R979" s="34" t="str">
        <f t="shared" si="46"/>
        <v>Tue</v>
      </c>
      <c r="S979">
        <f t="shared" si="47"/>
        <v>6</v>
      </c>
      <c r="T979" t="str" cm="1">
        <f t="array" ref="T979">_xlfn.IFS(S979&lt;=12,"Morning",S979&lt;=16,"Afternoon",S979&lt;=21,"Evening",S979&lt;=24,"Night")</f>
        <v>Morning</v>
      </c>
    </row>
    <row r="980" spans="1:20" x14ac:dyDescent="0.25">
      <c r="A980" s="23" t="s">
        <v>1014</v>
      </c>
      <c r="B980" s="19">
        <v>25.45</v>
      </c>
      <c r="C980" s="20">
        <v>1</v>
      </c>
      <c r="D980" s="19">
        <v>1.2725</v>
      </c>
      <c r="E980" s="19">
        <v>26.7225</v>
      </c>
      <c r="F980" s="21">
        <v>43534</v>
      </c>
      <c r="G980" s="22">
        <v>41.297222222222203</v>
      </c>
      <c r="H980" s="23" t="s">
        <v>33</v>
      </c>
      <c r="I980" s="19">
        <v>25.45</v>
      </c>
      <c r="J980" s="24">
        <v>4.7619047620000003</v>
      </c>
      <c r="K980" s="25">
        <v>5.0999999999999996</v>
      </c>
      <c r="L980" s="23" t="str">
        <f>VLOOKUP(A980,'Customer-details'!$A$1:$C$1001,2,FALSE)</f>
        <v>Normal</v>
      </c>
      <c r="M980" s="23" t="str">
        <f>VLOOKUP(A980,'Customer-details'!$A$1:$C$1001,3,FALSE)</f>
        <v>Female</v>
      </c>
      <c r="N980" s="23" t="str">
        <f>VLOOKUP(A980,'Product-details'!$A$1:$B$1001,2,FALSE)</f>
        <v>Electronic accessories</v>
      </c>
      <c r="O980" s="23" t="str">
        <f>VLOOKUP(A980,'City-details'!$A$1:$C$1001,3,FALSE)</f>
        <v>Mandalay</v>
      </c>
      <c r="P980" s="23" t="str">
        <f>VLOOKUP(A980,'City-details'!$A$1:$C$1001,2,FALSE)</f>
        <v>B</v>
      </c>
      <c r="Q980" s="23" t="str">
        <f t="shared" si="45"/>
        <v>Mar</v>
      </c>
      <c r="R980" s="26" t="str">
        <f t="shared" si="46"/>
        <v>Sun</v>
      </c>
      <c r="S980">
        <f t="shared" si="47"/>
        <v>7</v>
      </c>
      <c r="T980" t="str" cm="1">
        <f t="array" ref="T980">_xlfn.IFS(S980&lt;=12,"Morning",S980&lt;=16,"Afternoon",S980&lt;=21,"Evening",S980&lt;=24,"Night")</f>
        <v>Morning</v>
      </c>
    </row>
    <row r="981" spans="1:20" x14ac:dyDescent="0.25">
      <c r="A981" s="31" t="s">
        <v>1015</v>
      </c>
      <c r="B981" s="27">
        <v>67.77</v>
      </c>
      <c r="C981" s="28">
        <v>1</v>
      </c>
      <c r="D981" s="27">
        <v>3.3885000000000001</v>
      </c>
      <c r="E981" s="27">
        <v>71.158500000000004</v>
      </c>
      <c r="F981" s="29">
        <v>43500</v>
      </c>
      <c r="G981" s="30">
        <v>41.338888888888903</v>
      </c>
      <c r="H981" s="31" t="s">
        <v>33</v>
      </c>
      <c r="I981" s="27">
        <v>67.77</v>
      </c>
      <c r="J981" s="32">
        <v>4.7619047620000003</v>
      </c>
      <c r="K981" s="33">
        <v>6.5</v>
      </c>
      <c r="L981" s="31" t="str">
        <f>VLOOKUP(A981,'Customer-details'!$A$1:$C$1001,2,FALSE)</f>
        <v>Normal</v>
      </c>
      <c r="M981" s="31" t="str">
        <f>VLOOKUP(A981,'Customer-details'!$A$1:$C$1001,3,FALSE)</f>
        <v>Female</v>
      </c>
      <c r="N981" s="31" t="str">
        <f>VLOOKUP(A981,'Product-details'!$A$1:$B$1001,2,FALSE)</f>
        <v>Food and beverages</v>
      </c>
      <c r="O981" s="31" t="str">
        <f>VLOOKUP(A981,'City-details'!$A$1:$C$1001,3,FALSE)</f>
        <v>Mandalay</v>
      </c>
      <c r="P981" s="31" t="str">
        <f>VLOOKUP(A981,'City-details'!$A$1:$C$1001,2,FALSE)</f>
        <v>B</v>
      </c>
      <c r="Q981" s="31" t="str">
        <f t="shared" si="45"/>
        <v>Feb</v>
      </c>
      <c r="R981" s="34" t="str">
        <f t="shared" si="46"/>
        <v>Mon</v>
      </c>
      <c r="S981">
        <f t="shared" si="47"/>
        <v>8</v>
      </c>
      <c r="T981" t="str" cm="1">
        <f t="array" ref="T981">_xlfn.IFS(S981&lt;=12,"Morning",S981&lt;=16,"Afternoon",S981&lt;=21,"Evening",S981&lt;=24,"Night")</f>
        <v>Morning</v>
      </c>
    </row>
    <row r="982" spans="1:20" x14ac:dyDescent="0.25">
      <c r="A982" s="23" t="s">
        <v>1016</v>
      </c>
      <c r="B982" s="19">
        <v>59.59</v>
      </c>
      <c r="C982" s="20">
        <v>4</v>
      </c>
      <c r="D982" s="19">
        <v>11.917999999999999</v>
      </c>
      <c r="E982" s="19">
        <v>250.27799999999999</v>
      </c>
      <c r="F982" s="21">
        <v>43484</v>
      </c>
      <c r="G982" s="22">
        <v>41.380555555555603</v>
      </c>
      <c r="H982" s="23" t="s">
        <v>29</v>
      </c>
      <c r="I982" s="19">
        <v>238.36</v>
      </c>
      <c r="J982" s="24">
        <v>4.7619047620000003</v>
      </c>
      <c r="K982" s="25">
        <v>9.8000000000000007</v>
      </c>
      <c r="L982" s="23" t="str">
        <f>VLOOKUP(A982,'Customer-details'!$A$1:$C$1001,2,FALSE)</f>
        <v>Member</v>
      </c>
      <c r="M982" s="23" t="str">
        <f>VLOOKUP(A982,'Customer-details'!$A$1:$C$1001,3,FALSE)</f>
        <v>Male</v>
      </c>
      <c r="N982" s="23" t="str">
        <f>VLOOKUP(A982,'Product-details'!$A$1:$B$1001,2,FALSE)</f>
        <v>Food and beverages</v>
      </c>
      <c r="O982" s="23" t="str">
        <f>VLOOKUP(A982,'City-details'!$A$1:$C$1001,3,FALSE)</f>
        <v>Naypyitaw</v>
      </c>
      <c r="P982" s="23" t="str">
        <f>VLOOKUP(A982,'City-details'!$A$1:$C$1001,2,FALSE)</f>
        <v>C</v>
      </c>
      <c r="Q982" s="23" t="str">
        <f t="shared" si="45"/>
        <v>Jan</v>
      </c>
      <c r="R982" s="26" t="str">
        <f t="shared" si="46"/>
        <v>Sat</v>
      </c>
      <c r="S982">
        <f t="shared" si="47"/>
        <v>9</v>
      </c>
      <c r="T982" t="str" cm="1">
        <f t="array" ref="T982">_xlfn.IFS(S982&lt;=12,"Morning",S982&lt;=16,"Afternoon",S982&lt;=21,"Evening",S982&lt;=24,"Night")</f>
        <v>Morning</v>
      </c>
    </row>
    <row r="983" spans="1:20" x14ac:dyDescent="0.25">
      <c r="A983" s="31" t="s">
        <v>1017</v>
      </c>
      <c r="B983" s="27">
        <v>58.15</v>
      </c>
      <c r="C983" s="28">
        <v>4</v>
      </c>
      <c r="D983" s="27">
        <v>11.63</v>
      </c>
      <c r="E983" s="27">
        <v>244.23</v>
      </c>
      <c r="F983" s="29">
        <v>43488</v>
      </c>
      <c r="G983" s="30">
        <v>41.422222222222203</v>
      </c>
      <c r="H983" s="31" t="s">
        <v>29</v>
      </c>
      <c r="I983" s="27">
        <v>232.6</v>
      </c>
      <c r="J983" s="32">
        <v>4.7619047620000003</v>
      </c>
      <c r="K983" s="33">
        <v>8.4</v>
      </c>
      <c r="L983" s="31" t="str">
        <f>VLOOKUP(A983,'Customer-details'!$A$1:$C$1001,2,FALSE)</f>
        <v>Normal</v>
      </c>
      <c r="M983" s="31" t="str">
        <f>VLOOKUP(A983,'Customer-details'!$A$1:$C$1001,3,FALSE)</f>
        <v>Male</v>
      </c>
      <c r="N983" s="31" t="str">
        <f>VLOOKUP(A983,'Product-details'!$A$1:$B$1001,2,FALSE)</f>
        <v>Health and beauty</v>
      </c>
      <c r="O983" s="31" t="str">
        <f>VLOOKUP(A983,'City-details'!$A$1:$C$1001,3,FALSE)</f>
        <v>Yangon</v>
      </c>
      <c r="P983" s="31" t="str">
        <f>VLOOKUP(A983,'City-details'!$A$1:$C$1001,2,FALSE)</f>
        <v>A</v>
      </c>
      <c r="Q983" s="31" t="str">
        <f t="shared" si="45"/>
        <v>Jan</v>
      </c>
      <c r="R983" s="34" t="str">
        <f t="shared" si="46"/>
        <v>Wed</v>
      </c>
      <c r="S983">
        <f t="shared" si="47"/>
        <v>10</v>
      </c>
      <c r="T983" t="str" cm="1">
        <f t="array" ref="T983">_xlfn.IFS(S983&lt;=12,"Morning",S983&lt;=16,"Afternoon",S983&lt;=21,"Evening",S983&lt;=24,"Night")</f>
        <v>Morning</v>
      </c>
    </row>
    <row r="984" spans="1:20" x14ac:dyDescent="0.25">
      <c r="A984" s="23" t="s">
        <v>1018</v>
      </c>
      <c r="B984" s="19">
        <v>97.48</v>
      </c>
      <c r="C984" s="20">
        <v>9</v>
      </c>
      <c r="D984" s="19">
        <v>43.866</v>
      </c>
      <c r="E984" s="19">
        <v>921.18600000000004</v>
      </c>
      <c r="F984" s="21">
        <v>43538</v>
      </c>
      <c r="G984" s="22">
        <v>41.463888888888903</v>
      </c>
      <c r="H984" s="23" t="s">
        <v>23</v>
      </c>
      <c r="I984" s="19">
        <v>877.32</v>
      </c>
      <c r="J984" s="24">
        <v>4.7619047620000003</v>
      </c>
      <c r="K984" s="25">
        <v>7.4</v>
      </c>
      <c r="L984" s="23" t="str">
        <f>VLOOKUP(A984,'Customer-details'!$A$1:$C$1001,2,FALSE)</f>
        <v>Member</v>
      </c>
      <c r="M984" s="23" t="str">
        <f>VLOOKUP(A984,'Customer-details'!$A$1:$C$1001,3,FALSE)</f>
        <v>Female</v>
      </c>
      <c r="N984" s="23" t="str">
        <f>VLOOKUP(A984,'Product-details'!$A$1:$B$1001,2,FALSE)</f>
        <v>Sports and travel</v>
      </c>
      <c r="O984" s="23" t="str">
        <f>VLOOKUP(A984,'City-details'!$A$1:$C$1001,3,FALSE)</f>
        <v>Yangon</v>
      </c>
      <c r="P984" s="23" t="str">
        <f>VLOOKUP(A984,'City-details'!$A$1:$C$1001,2,FALSE)</f>
        <v>A</v>
      </c>
      <c r="Q984" s="23" t="str">
        <f t="shared" si="45"/>
        <v>Mar</v>
      </c>
      <c r="R984" s="26" t="str">
        <f t="shared" si="46"/>
        <v>Thu</v>
      </c>
      <c r="S984">
        <f t="shared" si="47"/>
        <v>11</v>
      </c>
      <c r="T984" t="str" cm="1">
        <f t="array" ref="T984">_xlfn.IFS(S984&lt;=12,"Morning",S984&lt;=16,"Afternoon",S984&lt;=21,"Evening",S984&lt;=24,"Night")</f>
        <v>Morning</v>
      </c>
    </row>
    <row r="985" spans="1:20" x14ac:dyDescent="0.25">
      <c r="A985" s="31" t="s">
        <v>1019</v>
      </c>
      <c r="B985" s="27">
        <v>99.96</v>
      </c>
      <c r="C985" s="28">
        <v>7</v>
      </c>
      <c r="D985" s="27">
        <v>34.985999999999997</v>
      </c>
      <c r="E985" s="27">
        <v>734.70600000000002</v>
      </c>
      <c r="F985" s="29">
        <v>43488</v>
      </c>
      <c r="G985" s="30">
        <v>41.505555555555603</v>
      </c>
      <c r="H985" s="31" t="s">
        <v>29</v>
      </c>
      <c r="I985" s="27">
        <v>699.72</v>
      </c>
      <c r="J985" s="32">
        <v>4.7619047620000003</v>
      </c>
      <c r="K985" s="33">
        <v>6.1</v>
      </c>
      <c r="L985" s="31" t="str">
        <f>VLOOKUP(A985,'Customer-details'!$A$1:$C$1001,2,FALSE)</f>
        <v>Normal</v>
      </c>
      <c r="M985" s="31" t="str">
        <f>VLOOKUP(A985,'Customer-details'!$A$1:$C$1001,3,FALSE)</f>
        <v>Male</v>
      </c>
      <c r="N985" s="31" t="str">
        <f>VLOOKUP(A985,'Product-details'!$A$1:$B$1001,2,FALSE)</f>
        <v>Health and beauty</v>
      </c>
      <c r="O985" s="31" t="str">
        <f>VLOOKUP(A985,'City-details'!$A$1:$C$1001,3,FALSE)</f>
        <v>Naypyitaw</v>
      </c>
      <c r="P985" s="31" t="str">
        <f>VLOOKUP(A985,'City-details'!$A$1:$C$1001,2,FALSE)</f>
        <v>C</v>
      </c>
      <c r="Q985" s="31" t="str">
        <f t="shared" si="45"/>
        <v>Jan</v>
      </c>
      <c r="R985" s="34" t="str">
        <f t="shared" si="46"/>
        <v>Wed</v>
      </c>
      <c r="S985">
        <f t="shared" si="47"/>
        <v>12</v>
      </c>
      <c r="T985" t="str" cm="1">
        <f t="array" ref="T985">_xlfn.IFS(S985&lt;=12,"Morning",S985&lt;=16,"Afternoon",S985&lt;=21,"Evening",S985&lt;=24,"Night")</f>
        <v>Morning</v>
      </c>
    </row>
    <row r="986" spans="1:20" x14ac:dyDescent="0.25">
      <c r="A986" s="23" t="s">
        <v>1020</v>
      </c>
      <c r="B986" s="19">
        <v>96.37</v>
      </c>
      <c r="C986" s="20">
        <v>7</v>
      </c>
      <c r="D986" s="19">
        <v>33.729500000000002</v>
      </c>
      <c r="E986" s="19">
        <v>708.31949999999995</v>
      </c>
      <c r="F986" s="21">
        <v>43474</v>
      </c>
      <c r="G986" s="22">
        <v>41.547222222222203</v>
      </c>
      <c r="H986" s="23" t="s">
        <v>29</v>
      </c>
      <c r="I986" s="19">
        <v>674.59</v>
      </c>
      <c r="J986" s="24">
        <v>4.7619047620000003</v>
      </c>
      <c r="K986" s="25">
        <v>6</v>
      </c>
      <c r="L986" s="23" t="str">
        <f>VLOOKUP(A986,'Customer-details'!$A$1:$C$1001,2,FALSE)</f>
        <v>Normal</v>
      </c>
      <c r="M986" s="23" t="str">
        <f>VLOOKUP(A986,'Customer-details'!$A$1:$C$1001,3,FALSE)</f>
        <v>Male</v>
      </c>
      <c r="N986" s="23" t="str">
        <f>VLOOKUP(A986,'Product-details'!$A$1:$B$1001,2,FALSE)</f>
        <v>Electronic accessories</v>
      </c>
      <c r="O986" s="23" t="str">
        <f>VLOOKUP(A986,'City-details'!$A$1:$C$1001,3,FALSE)</f>
        <v>Naypyitaw</v>
      </c>
      <c r="P986" s="23" t="str">
        <f>VLOOKUP(A986,'City-details'!$A$1:$C$1001,2,FALSE)</f>
        <v>C</v>
      </c>
      <c r="Q986" s="23" t="str">
        <f t="shared" si="45"/>
        <v>Jan</v>
      </c>
      <c r="R986" s="26" t="str">
        <f t="shared" si="46"/>
        <v>Wed</v>
      </c>
      <c r="S986">
        <f t="shared" si="47"/>
        <v>13</v>
      </c>
      <c r="T986" t="str" cm="1">
        <f t="array" ref="T986">_xlfn.IFS(S986&lt;=12,"Morning",S986&lt;=16,"Afternoon",S986&lt;=21,"Evening",S986&lt;=24,"Night")</f>
        <v>Afternoon</v>
      </c>
    </row>
    <row r="987" spans="1:20" x14ac:dyDescent="0.25">
      <c r="A987" s="31" t="s">
        <v>1021</v>
      </c>
      <c r="B987" s="27">
        <v>63.71</v>
      </c>
      <c r="C987" s="28">
        <v>5</v>
      </c>
      <c r="D987" s="27">
        <v>15.9275</v>
      </c>
      <c r="E987" s="27">
        <v>334.47750000000002</v>
      </c>
      <c r="F987" s="29">
        <v>43503</v>
      </c>
      <c r="G987" s="30">
        <v>41.588888888888903</v>
      </c>
      <c r="H987" s="31" t="s">
        <v>23</v>
      </c>
      <c r="I987" s="27">
        <v>318.55</v>
      </c>
      <c r="J987" s="32">
        <v>4.7619047620000003</v>
      </c>
      <c r="K987" s="33">
        <v>8.5</v>
      </c>
      <c r="L987" s="31" t="str">
        <f>VLOOKUP(A987,'Customer-details'!$A$1:$C$1001,2,FALSE)</f>
        <v>Normal</v>
      </c>
      <c r="M987" s="31" t="str">
        <f>VLOOKUP(A987,'Customer-details'!$A$1:$C$1001,3,FALSE)</f>
        <v>Female</v>
      </c>
      <c r="N987" s="31" t="str">
        <f>VLOOKUP(A987,'Product-details'!$A$1:$B$1001,2,FALSE)</f>
        <v>Fashion accessories</v>
      </c>
      <c r="O987" s="31" t="str">
        <f>VLOOKUP(A987,'City-details'!$A$1:$C$1001,3,FALSE)</f>
        <v>Mandalay</v>
      </c>
      <c r="P987" s="31" t="str">
        <f>VLOOKUP(A987,'City-details'!$A$1:$C$1001,2,FALSE)</f>
        <v>B</v>
      </c>
      <c r="Q987" s="31" t="str">
        <f t="shared" si="45"/>
        <v>Feb</v>
      </c>
      <c r="R987" s="34" t="str">
        <f t="shared" si="46"/>
        <v>Thu</v>
      </c>
      <c r="S987">
        <f t="shared" si="47"/>
        <v>14</v>
      </c>
      <c r="T987" t="str" cm="1">
        <f t="array" ref="T987">_xlfn.IFS(S987&lt;=12,"Morning",S987&lt;=16,"Afternoon",S987&lt;=21,"Evening",S987&lt;=24,"Night")</f>
        <v>Afternoon</v>
      </c>
    </row>
    <row r="988" spans="1:20" x14ac:dyDescent="0.25">
      <c r="A988" s="23" t="s">
        <v>1022</v>
      </c>
      <c r="B988" s="19">
        <v>14.76</v>
      </c>
      <c r="C988" s="20">
        <v>2</v>
      </c>
      <c r="D988" s="19">
        <v>1.476</v>
      </c>
      <c r="E988" s="19">
        <v>30.995999999999999</v>
      </c>
      <c r="F988" s="21">
        <v>43514</v>
      </c>
      <c r="G988" s="22">
        <v>41.630555555555603</v>
      </c>
      <c r="H988" s="23" t="s">
        <v>23</v>
      </c>
      <c r="I988" s="19">
        <v>29.52</v>
      </c>
      <c r="J988" s="24">
        <v>4.7619047620000003</v>
      </c>
      <c r="K988" s="25">
        <v>4.3</v>
      </c>
      <c r="L988" s="23" t="str">
        <f>VLOOKUP(A988,'Customer-details'!$A$1:$C$1001,2,FALSE)</f>
        <v>Normal</v>
      </c>
      <c r="M988" s="23" t="str">
        <f>VLOOKUP(A988,'Customer-details'!$A$1:$C$1001,3,FALSE)</f>
        <v>Female</v>
      </c>
      <c r="N988" s="23" t="str">
        <f>VLOOKUP(A988,'Product-details'!$A$1:$B$1001,2,FALSE)</f>
        <v>Health and beauty</v>
      </c>
      <c r="O988" s="23" t="str">
        <f>VLOOKUP(A988,'City-details'!$A$1:$C$1001,3,FALSE)</f>
        <v>Mandalay</v>
      </c>
      <c r="P988" s="23" t="str">
        <f>VLOOKUP(A988,'City-details'!$A$1:$C$1001,2,FALSE)</f>
        <v>B</v>
      </c>
      <c r="Q988" s="23" t="str">
        <f t="shared" si="45"/>
        <v>Feb</v>
      </c>
      <c r="R988" s="26" t="str">
        <f t="shared" si="46"/>
        <v>Mon</v>
      </c>
      <c r="S988">
        <f t="shared" si="47"/>
        <v>15</v>
      </c>
      <c r="T988" t="str" cm="1">
        <f t="array" ref="T988">_xlfn.IFS(S988&lt;=12,"Morning",S988&lt;=16,"Afternoon",S988&lt;=21,"Evening",S988&lt;=24,"Night")</f>
        <v>Afternoon</v>
      </c>
    </row>
    <row r="989" spans="1:20" x14ac:dyDescent="0.25">
      <c r="A989" s="31" t="s">
        <v>1023</v>
      </c>
      <c r="B989" s="27">
        <v>62</v>
      </c>
      <c r="C989" s="28">
        <v>8</v>
      </c>
      <c r="D989" s="27">
        <v>24.8</v>
      </c>
      <c r="E989" s="27">
        <v>520.79999999999995</v>
      </c>
      <c r="F989" s="29">
        <v>43468</v>
      </c>
      <c r="G989" s="30">
        <v>41.672222222222203</v>
      </c>
      <c r="H989" s="31" t="s">
        <v>33</v>
      </c>
      <c r="I989" s="27">
        <v>496</v>
      </c>
      <c r="J989" s="32">
        <v>4.7619047620000003</v>
      </c>
      <c r="K989" s="33">
        <v>6.2</v>
      </c>
      <c r="L989" s="31" t="str">
        <f>VLOOKUP(A989,'Customer-details'!$A$1:$C$1001,2,FALSE)</f>
        <v>Member</v>
      </c>
      <c r="M989" s="31" t="str">
        <f>VLOOKUP(A989,'Customer-details'!$A$1:$C$1001,3,FALSE)</f>
        <v>Male</v>
      </c>
      <c r="N989" s="31" t="str">
        <f>VLOOKUP(A989,'Product-details'!$A$1:$B$1001,2,FALSE)</f>
        <v>Health and beauty</v>
      </c>
      <c r="O989" s="31" t="str">
        <f>VLOOKUP(A989,'City-details'!$A$1:$C$1001,3,FALSE)</f>
        <v>Mandalay</v>
      </c>
      <c r="P989" s="31" t="str">
        <f>VLOOKUP(A989,'City-details'!$A$1:$C$1001,2,FALSE)</f>
        <v>B</v>
      </c>
      <c r="Q989" s="31" t="str">
        <f t="shared" si="45"/>
        <v>Jan</v>
      </c>
      <c r="R989" s="34" t="str">
        <f t="shared" si="46"/>
        <v>Thu</v>
      </c>
      <c r="S989">
        <f t="shared" si="47"/>
        <v>16</v>
      </c>
      <c r="T989" t="str" cm="1">
        <f t="array" ref="T989">_xlfn.IFS(S989&lt;=12,"Morning",S989&lt;=16,"Afternoon",S989&lt;=21,"Evening",S989&lt;=24,"Night")</f>
        <v>Afternoon</v>
      </c>
    </row>
    <row r="990" spans="1:20" x14ac:dyDescent="0.25">
      <c r="A990" s="23" t="s">
        <v>1024</v>
      </c>
      <c r="B990" s="19">
        <v>82.34</v>
      </c>
      <c r="C990" s="20">
        <v>10</v>
      </c>
      <c r="D990" s="19">
        <v>41.17</v>
      </c>
      <c r="E990" s="19">
        <v>864.57</v>
      </c>
      <c r="F990" s="21">
        <v>43553</v>
      </c>
      <c r="G990" s="22">
        <v>41.713888888888903</v>
      </c>
      <c r="H990" s="23" t="s">
        <v>23</v>
      </c>
      <c r="I990" s="19">
        <v>823.4</v>
      </c>
      <c r="J990" s="24">
        <v>4.7619047620000003</v>
      </c>
      <c r="K990" s="25">
        <v>4.3</v>
      </c>
      <c r="L990" s="23" t="str">
        <f>VLOOKUP(A990,'Customer-details'!$A$1:$C$1001,2,FALSE)</f>
        <v>Member</v>
      </c>
      <c r="M990" s="23" t="str">
        <f>VLOOKUP(A990,'Customer-details'!$A$1:$C$1001,3,FALSE)</f>
        <v>Male</v>
      </c>
      <c r="N990" s="23" t="str">
        <f>VLOOKUP(A990,'Product-details'!$A$1:$B$1001,2,FALSE)</f>
        <v>Electronic accessories</v>
      </c>
      <c r="O990" s="23" t="str">
        <f>VLOOKUP(A990,'City-details'!$A$1:$C$1001,3,FALSE)</f>
        <v>Naypyitaw</v>
      </c>
      <c r="P990" s="23" t="str">
        <f>VLOOKUP(A990,'City-details'!$A$1:$C$1001,2,FALSE)</f>
        <v>C</v>
      </c>
      <c r="Q990" s="23" t="str">
        <f t="shared" si="45"/>
        <v>Mar</v>
      </c>
      <c r="R990" s="26" t="str">
        <f t="shared" si="46"/>
        <v>Fri</v>
      </c>
      <c r="S990">
        <f t="shared" si="47"/>
        <v>17</v>
      </c>
      <c r="T990" t="str" cm="1">
        <f t="array" ref="T990">_xlfn.IFS(S990&lt;=12,"Morning",S990&lt;=16,"Afternoon",S990&lt;=21,"Evening",S990&lt;=24,"Night")</f>
        <v>Evening</v>
      </c>
    </row>
    <row r="991" spans="1:20" x14ac:dyDescent="0.25">
      <c r="A991" s="31" t="s">
        <v>1025</v>
      </c>
      <c r="B991" s="27">
        <v>75.37</v>
      </c>
      <c r="C991" s="28">
        <v>8</v>
      </c>
      <c r="D991" s="27">
        <v>30.148</v>
      </c>
      <c r="E991" s="27">
        <v>633.10799999999995</v>
      </c>
      <c r="F991" s="29">
        <v>43493</v>
      </c>
      <c r="G991" s="30">
        <v>41.755555555555603</v>
      </c>
      <c r="H991" s="31" t="s">
        <v>33</v>
      </c>
      <c r="I991" s="27">
        <v>602.96</v>
      </c>
      <c r="J991" s="32">
        <v>4.7619047620000003</v>
      </c>
      <c r="K991" s="33">
        <v>8.4</v>
      </c>
      <c r="L991" s="31" t="str">
        <f>VLOOKUP(A991,'Customer-details'!$A$1:$C$1001,2,FALSE)</f>
        <v>Member</v>
      </c>
      <c r="M991" s="31" t="str">
        <f>VLOOKUP(A991,'Customer-details'!$A$1:$C$1001,3,FALSE)</f>
        <v>Male</v>
      </c>
      <c r="N991" s="31" t="str">
        <f>VLOOKUP(A991,'Product-details'!$A$1:$B$1001,2,FALSE)</f>
        <v>Health and beauty</v>
      </c>
      <c r="O991" s="31" t="str">
        <f>VLOOKUP(A991,'City-details'!$A$1:$C$1001,3,FALSE)</f>
        <v>Mandalay</v>
      </c>
      <c r="P991" s="31" t="str">
        <f>VLOOKUP(A991,'City-details'!$A$1:$C$1001,2,FALSE)</f>
        <v>B</v>
      </c>
      <c r="Q991" s="31" t="str">
        <f t="shared" si="45"/>
        <v>Jan</v>
      </c>
      <c r="R991" s="34" t="str">
        <f t="shared" si="46"/>
        <v>Mon</v>
      </c>
      <c r="S991">
        <f t="shared" si="47"/>
        <v>18</v>
      </c>
      <c r="T991" t="str" cm="1">
        <f t="array" ref="T991">_xlfn.IFS(S991&lt;=12,"Morning",S991&lt;=16,"Afternoon",S991&lt;=21,"Evening",S991&lt;=24,"Night")</f>
        <v>Evening</v>
      </c>
    </row>
    <row r="992" spans="1:20" x14ac:dyDescent="0.25">
      <c r="A992" s="23" t="s">
        <v>1026</v>
      </c>
      <c r="B992" s="19">
        <v>56.56</v>
      </c>
      <c r="C992" s="20">
        <v>5</v>
      </c>
      <c r="D992" s="19">
        <v>14.14</v>
      </c>
      <c r="E992" s="19">
        <v>296.94</v>
      </c>
      <c r="F992" s="21">
        <v>43546</v>
      </c>
      <c r="G992" s="22">
        <v>41.797222222222203</v>
      </c>
      <c r="H992" s="23" t="s">
        <v>33</v>
      </c>
      <c r="I992" s="19">
        <v>282.8</v>
      </c>
      <c r="J992" s="24">
        <v>4.7619047620000003</v>
      </c>
      <c r="K992" s="25">
        <v>4.5</v>
      </c>
      <c r="L992" s="23" t="str">
        <f>VLOOKUP(A992,'Customer-details'!$A$1:$C$1001,2,FALSE)</f>
        <v>Normal</v>
      </c>
      <c r="M992" s="23" t="str">
        <f>VLOOKUP(A992,'Customer-details'!$A$1:$C$1001,3,FALSE)</f>
        <v>Female</v>
      </c>
      <c r="N992" s="23" t="str">
        <f>VLOOKUP(A992,'Product-details'!$A$1:$B$1001,2,FALSE)</f>
        <v>Food and beverages</v>
      </c>
      <c r="O992" s="23" t="str">
        <f>VLOOKUP(A992,'City-details'!$A$1:$C$1001,3,FALSE)</f>
        <v>Yangon</v>
      </c>
      <c r="P992" s="23" t="str">
        <f>VLOOKUP(A992,'City-details'!$A$1:$C$1001,2,FALSE)</f>
        <v>A</v>
      </c>
      <c r="Q992" s="23" t="str">
        <f t="shared" si="45"/>
        <v>Mar</v>
      </c>
      <c r="R992" s="26" t="str">
        <f t="shared" si="46"/>
        <v>Fri</v>
      </c>
      <c r="S992">
        <f t="shared" si="47"/>
        <v>19</v>
      </c>
      <c r="T992" t="str" cm="1">
        <f t="array" ref="T992">_xlfn.IFS(S992&lt;=12,"Morning",S992&lt;=16,"Afternoon",S992&lt;=21,"Evening",S992&lt;=24,"Night")</f>
        <v>Evening</v>
      </c>
    </row>
    <row r="993" spans="1:20" x14ac:dyDescent="0.25">
      <c r="A993" s="31" t="s">
        <v>1027</v>
      </c>
      <c r="B993" s="27">
        <v>76.599999999999994</v>
      </c>
      <c r="C993" s="28">
        <v>10</v>
      </c>
      <c r="D993" s="27">
        <v>38.299999999999997</v>
      </c>
      <c r="E993" s="27">
        <v>804.3</v>
      </c>
      <c r="F993" s="29">
        <v>43489</v>
      </c>
      <c r="G993" s="30">
        <v>41.838888888888903</v>
      </c>
      <c r="H993" s="31" t="s">
        <v>23</v>
      </c>
      <c r="I993" s="27">
        <v>766</v>
      </c>
      <c r="J993" s="32">
        <v>4.7619047620000003</v>
      </c>
      <c r="K993" s="33">
        <v>6</v>
      </c>
      <c r="L993" s="31" t="str">
        <f>VLOOKUP(A993,'Customer-details'!$A$1:$C$1001,2,FALSE)</f>
        <v>Normal</v>
      </c>
      <c r="M993" s="31" t="str">
        <f>VLOOKUP(A993,'Customer-details'!$A$1:$C$1001,3,FALSE)</f>
        <v>Female</v>
      </c>
      <c r="N993" s="31" t="str">
        <f>VLOOKUP(A993,'Product-details'!$A$1:$B$1001,2,FALSE)</f>
        <v>Sports and travel</v>
      </c>
      <c r="O993" s="31" t="str">
        <f>VLOOKUP(A993,'City-details'!$A$1:$C$1001,3,FALSE)</f>
        <v>Mandalay</v>
      </c>
      <c r="P993" s="31" t="str">
        <f>VLOOKUP(A993,'City-details'!$A$1:$C$1001,2,FALSE)</f>
        <v>B</v>
      </c>
      <c r="Q993" s="31" t="str">
        <f t="shared" si="45"/>
        <v>Jan</v>
      </c>
      <c r="R993" s="34" t="str">
        <f t="shared" si="46"/>
        <v>Thu</v>
      </c>
      <c r="S993">
        <f t="shared" si="47"/>
        <v>20</v>
      </c>
      <c r="T993" t="str" cm="1">
        <f t="array" ref="T993">_xlfn.IFS(S993&lt;=12,"Morning",S993&lt;=16,"Afternoon",S993&lt;=21,"Evening",S993&lt;=24,"Night")</f>
        <v>Evening</v>
      </c>
    </row>
    <row r="994" spans="1:20" x14ac:dyDescent="0.25">
      <c r="A994" s="23" t="s">
        <v>1028</v>
      </c>
      <c r="B994" s="19">
        <v>58.03</v>
      </c>
      <c r="C994" s="20">
        <v>2</v>
      </c>
      <c r="D994" s="19">
        <v>5.8029999999999999</v>
      </c>
      <c r="E994" s="19">
        <v>121.863</v>
      </c>
      <c r="F994" s="21">
        <v>43534</v>
      </c>
      <c r="G994" s="22">
        <v>41.880555555555603</v>
      </c>
      <c r="H994" s="23" t="s">
        <v>23</v>
      </c>
      <c r="I994" s="19">
        <v>116.06</v>
      </c>
      <c r="J994" s="24">
        <v>4.7619047620000003</v>
      </c>
      <c r="K994" s="25">
        <v>8.8000000000000007</v>
      </c>
      <c r="L994" s="23" t="str">
        <f>VLOOKUP(A994,'Customer-details'!$A$1:$C$1001,2,FALSE)</f>
        <v>Normal</v>
      </c>
      <c r="M994" s="23" t="str">
        <f>VLOOKUP(A994,'Customer-details'!$A$1:$C$1001,3,FALSE)</f>
        <v>Male</v>
      </c>
      <c r="N994" s="23" t="str">
        <f>VLOOKUP(A994,'Product-details'!$A$1:$B$1001,2,FALSE)</f>
        <v>Electronic accessories</v>
      </c>
      <c r="O994" s="23" t="str">
        <f>VLOOKUP(A994,'City-details'!$A$1:$C$1001,3,FALSE)</f>
        <v>Yangon</v>
      </c>
      <c r="P994" s="23" t="str">
        <f>VLOOKUP(A994,'City-details'!$A$1:$C$1001,2,FALSE)</f>
        <v>A</v>
      </c>
      <c r="Q994" s="23" t="str">
        <f t="shared" si="45"/>
        <v>Mar</v>
      </c>
      <c r="R994" s="26" t="str">
        <f t="shared" si="46"/>
        <v>Sun</v>
      </c>
      <c r="S994">
        <f t="shared" si="47"/>
        <v>21</v>
      </c>
      <c r="T994" t="str" cm="1">
        <f t="array" ref="T994">_xlfn.IFS(S994&lt;=12,"Morning",S994&lt;=16,"Afternoon",S994&lt;=21,"Evening",S994&lt;=24,"Night")</f>
        <v>Evening</v>
      </c>
    </row>
    <row r="995" spans="1:20" x14ac:dyDescent="0.25">
      <c r="A995" s="31" t="s">
        <v>1029</v>
      </c>
      <c r="B995" s="27">
        <v>17.489999999999998</v>
      </c>
      <c r="C995" s="28">
        <v>10</v>
      </c>
      <c r="D995" s="27">
        <v>8.7449999999999992</v>
      </c>
      <c r="E995" s="27">
        <v>183.64500000000001</v>
      </c>
      <c r="F995" s="29">
        <v>43518</v>
      </c>
      <c r="G995" s="30">
        <v>41.922222222222203</v>
      </c>
      <c r="H995" s="31" t="s">
        <v>23</v>
      </c>
      <c r="I995" s="27">
        <v>174.9</v>
      </c>
      <c r="J995" s="32">
        <v>4.7619047620000003</v>
      </c>
      <c r="K995" s="33">
        <v>6.6</v>
      </c>
      <c r="L995" s="31" t="str">
        <f>VLOOKUP(A995,'Customer-details'!$A$1:$C$1001,2,FALSE)</f>
        <v>Normal</v>
      </c>
      <c r="M995" s="31" t="str">
        <f>VLOOKUP(A995,'Customer-details'!$A$1:$C$1001,3,FALSE)</f>
        <v>Male</v>
      </c>
      <c r="N995" s="31" t="str">
        <f>VLOOKUP(A995,'Product-details'!$A$1:$B$1001,2,FALSE)</f>
        <v>Fashion accessories</v>
      </c>
      <c r="O995" s="31" t="str">
        <f>VLOOKUP(A995,'City-details'!$A$1:$C$1001,3,FALSE)</f>
        <v>Mandalay</v>
      </c>
      <c r="P995" s="31" t="str">
        <f>VLOOKUP(A995,'City-details'!$A$1:$C$1001,2,FALSE)</f>
        <v>B</v>
      </c>
      <c r="Q995" s="31" t="str">
        <f t="shared" si="45"/>
        <v>Feb</v>
      </c>
      <c r="R995" s="34" t="str">
        <f t="shared" si="46"/>
        <v>Fri</v>
      </c>
      <c r="S995">
        <f t="shared" si="47"/>
        <v>22</v>
      </c>
      <c r="T995" t="str" cm="1">
        <f t="array" ref="T995">_xlfn.IFS(S995&lt;=12,"Morning",S995&lt;=16,"Afternoon",S995&lt;=21,"Evening",S995&lt;=24,"Night")</f>
        <v>Night</v>
      </c>
    </row>
    <row r="996" spans="1:20" x14ac:dyDescent="0.25">
      <c r="A996" s="23" t="s">
        <v>1030</v>
      </c>
      <c r="B996" s="19">
        <v>60.95</v>
      </c>
      <c r="C996" s="20">
        <v>1</v>
      </c>
      <c r="D996" s="19">
        <v>3.0474999999999999</v>
      </c>
      <c r="E996" s="19">
        <v>63.997500000000002</v>
      </c>
      <c r="F996" s="21">
        <v>43514</v>
      </c>
      <c r="G996" s="22">
        <v>41.963888888888903</v>
      </c>
      <c r="H996" s="23" t="s">
        <v>23</v>
      </c>
      <c r="I996" s="19">
        <v>60.95</v>
      </c>
      <c r="J996" s="24">
        <v>4.7619047620000003</v>
      </c>
      <c r="K996" s="25">
        <v>5.9</v>
      </c>
      <c r="L996" s="23" t="str">
        <f>VLOOKUP(A996,'Customer-details'!$A$1:$C$1001,2,FALSE)</f>
        <v>Member</v>
      </c>
      <c r="M996" s="23" t="str">
        <f>VLOOKUP(A996,'Customer-details'!$A$1:$C$1001,3,FALSE)</f>
        <v>Female</v>
      </c>
      <c r="N996" s="23" t="str">
        <f>VLOOKUP(A996,'Product-details'!$A$1:$B$1001,2,FALSE)</f>
        <v>Electronic accessories</v>
      </c>
      <c r="O996" s="23" t="str">
        <f>VLOOKUP(A996,'City-details'!$A$1:$C$1001,3,FALSE)</f>
        <v>Naypyitaw</v>
      </c>
      <c r="P996" s="23" t="str">
        <f>VLOOKUP(A996,'City-details'!$A$1:$C$1001,2,FALSE)</f>
        <v>C</v>
      </c>
      <c r="Q996" s="23" t="str">
        <f t="shared" si="45"/>
        <v>Feb</v>
      </c>
      <c r="R996" s="26" t="str">
        <f t="shared" si="46"/>
        <v>Mon</v>
      </c>
      <c r="S996">
        <f t="shared" si="47"/>
        <v>23</v>
      </c>
      <c r="T996" t="str" cm="1">
        <f t="array" ref="T996">_xlfn.IFS(S996&lt;=12,"Morning",S996&lt;=16,"Afternoon",S996&lt;=21,"Evening",S996&lt;=24,"Night")</f>
        <v>Night</v>
      </c>
    </row>
    <row r="997" spans="1:20" x14ac:dyDescent="0.25">
      <c r="A997" s="31" t="s">
        <v>1031</v>
      </c>
      <c r="B997" s="27">
        <v>40.35</v>
      </c>
      <c r="C997" s="28">
        <v>1</v>
      </c>
      <c r="D997" s="27">
        <v>2.0175000000000001</v>
      </c>
      <c r="E997" s="27">
        <v>42.3675</v>
      </c>
      <c r="F997" s="29">
        <v>43494</v>
      </c>
      <c r="G997" s="30">
        <v>42.005555555555603</v>
      </c>
      <c r="H997" s="31" t="s">
        <v>23</v>
      </c>
      <c r="I997" s="27">
        <v>40.35</v>
      </c>
      <c r="J997" s="32">
        <v>4.7619047620000003</v>
      </c>
      <c r="K997" s="33">
        <v>6.2</v>
      </c>
      <c r="L997" s="31" t="str">
        <f>VLOOKUP(A997,'Customer-details'!$A$1:$C$1001,2,FALSE)</f>
        <v>Normal</v>
      </c>
      <c r="M997" s="31" t="str">
        <f>VLOOKUP(A997,'Customer-details'!$A$1:$C$1001,3,FALSE)</f>
        <v>Male</v>
      </c>
      <c r="N997" s="31" t="str">
        <f>VLOOKUP(A997,'Product-details'!$A$1:$B$1001,2,FALSE)</f>
        <v>Health and beauty</v>
      </c>
      <c r="O997" s="31" t="str">
        <f>VLOOKUP(A997,'City-details'!$A$1:$C$1001,3,FALSE)</f>
        <v>Naypyitaw</v>
      </c>
      <c r="P997" s="31" t="str">
        <f>VLOOKUP(A997,'City-details'!$A$1:$C$1001,2,FALSE)</f>
        <v>C</v>
      </c>
      <c r="Q997" s="31" t="str">
        <f t="shared" si="45"/>
        <v>Jan</v>
      </c>
      <c r="R997" s="34" t="str">
        <f t="shared" si="46"/>
        <v>Tue</v>
      </c>
      <c r="S997">
        <f t="shared" si="47"/>
        <v>0</v>
      </c>
      <c r="T997" t="str" cm="1">
        <f t="array" ref="T997">_xlfn.IFS(S997&lt;=12,"Morning",S997&lt;=16,"Afternoon",S997&lt;=21,"Evening",S997&lt;=24,"Night")</f>
        <v>Morning</v>
      </c>
    </row>
    <row r="998" spans="1:20" x14ac:dyDescent="0.25">
      <c r="A998" s="23" t="s">
        <v>1032</v>
      </c>
      <c r="B998" s="19">
        <v>97.38</v>
      </c>
      <c r="C998" s="20">
        <v>10</v>
      </c>
      <c r="D998" s="19">
        <v>48.69</v>
      </c>
      <c r="E998" s="19">
        <v>1022.49</v>
      </c>
      <c r="F998" s="21">
        <v>43526</v>
      </c>
      <c r="G998" s="22">
        <v>42.047222222222203</v>
      </c>
      <c r="H998" s="23" t="s">
        <v>23</v>
      </c>
      <c r="I998" s="19">
        <v>973.8</v>
      </c>
      <c r="J998" s="24">
        <v>4.7619047620000003</v>
      </c>
      <c r="K998" s="25">
        <v>4.4000000000000004</v>
      </c>
      <c r="L998" s="23" t="str">
        <f>VLOOKUP(A998,'Customer-details'!$A$1:$C$1001,2,FALSE)</f>
        <v>Normal</v>
      </c>
      <c r="M998" s="23" t="str">
        <f>VLOOKUP(A998,'Customer-details'!$A$1:$C$1001,3,FALSE)</f>
        <v>Female</v>
      </c>
      <c r="N998" s="23" t="str">
        <f>VLOOKUP(A998,'Product-details'!$A$1:$B$1001,2,FALSE)</f>
        <v>Home and lifestyle</v>
      </c>
      <c r="O998" s="23" t="str">
        <f>VLOOKUP(A998,'City-details'!$A$1:$C$1001,3,FALSE)</f>
        <v>Mandalay</v>
      </c>
      <c r="P998" s="23" t="str">
        <f>VLOOKUP(A998,'City-details'!$A$1:$C$1001,2,FALSE)</f>
        <v>B</v>
      </c>
      <c r="Q998" s="23" t="str">
        <f t="shared" si="45"/>
        <v>Mar</v>
      </c>
      <c r="R998" s="26" t="str">
        <f t="shared" si="46"/>
        <v>Sat</v>
      </c>
      <c r="S998">
        <f t="shared" si="47"/>
        <v>1</v>
      </c>
      <c r="T998" t="str" cm="1">
        <f t="array" ref="T998">_xlfn.IFS(S998&lt;=12,"Morning",S998&lt;=16,"Afternoon",S998&lt;=21,"Evening",S998&lt;=24,"Night")</f>
        <v>Morning</v>
      </c>
    </row>
    <row r="999" spans="1:20" x14ac:dyDescent="0.25">
      <c r="A999" s="31" t="s">
        <v>1033</v>
      </c>
      <c r="B999" s="27">
        <v>31.84</v>
      </c>
      <c r="C999" s="28">
        <v>1</v>
      </c>
      <c r="D999" s="27">
        <v>1.5920000000000001</v>
      </c>
      <c r="E999" s="27">
        <v>33.432000000000002</v>
      </c>
      <c r="F999" s="29">
        <v>43505</v>
      </c>
      <c r="G999" s="30">
        <v>42.088888888888903</v>
      </c>
      <c r="H999" s="31" t="s">
        <v>29</v>
      </c>
      <c r="I999" s="27">
        <v>31.84</v>
      </c>
      <c r="J999" s="32">
        <v>4.7619047620000003</v>
      </c>
      <c r="K999" s="33">
        <v>7.7</v>
      </c>
      <c r="L999" s="31" t="str">
        <f>VLOOKUP(A999,'Customer-details'!$A$1:$C$1001,2,FALSE)</f>
        <v>Member</v>
      </c>
      <c r="M999" s="31" t="str">
        <f>VLOOKUP(A999,'Customer-details'!$A$1:$C$1001,3,FALSE)</f>
        <v>Male</v>
      </c>
      <c r="N999" s="31" t="str">
        <f>VLOOKUP(A999,'Product-details'!$A$1:$B$1001,2,FALSE)</f>
        <v>Food and beverages</v>
      </c>
      <c r="O999" s="31" t="str">
        <f>VLOOKUP(A999,'City-details'!$A$1:$C$1001,3,FALSE)</f>
        <v>Yangon</v>
      </c>
      <c r="P999" s="31" t="str">
        <f>VLOOKUP(A999,'City-details'!$A$1:$C$1001,2,FALSE)</f>
        <v>A</v>
      </c>
      <c r="Q999" s="31" t="str">
        <f t="shared" si="45"/>
        <v>Feb</v>
      </c>
      <c r="R999" s="34" t="str">
        <f t="shared" si="46"/>
        <v>Sat</v>
      </c>
      <c r="S999">
        <f t="shared" si="47"/>
        <v>2</v>
      </c>
      <c r="T999" t="str" cm="1">
        <f t="array" ref="T999">_xlfn.IFS(S999&lt;=12,"Morning",S999&lt;=16,"Afternoon",S999&lt;=21,"Evening",S999&lt;=24,"Night")</f>
        <v>Morning</v>
      </c>
    </row>
    <row r="1000" spans="1:20" x14ac:dyDescent="0.25">
      <c r="A1000" s="23" t="s">
        <v>1034</v>
      </c>
      <c r="B1000" s="19">
        <v>65.819999999999993</v>
      </c>
      <c r="C1000" s="20">
        <v>1</v>
      </c>
      <c r="D1000" s="19">
        <v>3.2909999999999999</v>
      </c>
      <c r="E1000" s="19">
        <v>69.111000000000004</v>
      </c>
      <c r="F1000" s="21">
        <v>43518</v>
      </c>
      <c r="G1000" s="22">
        <v>42.130555555555603</v>
      </c>
      <c r="H1000" s="23" t="s">
        <v>29</v>
      </c>
      <c r="I1000" s="19">
        <v>65.819999999999993</v>
      </c>
      <c r="J1000" s="24">
        <v>4.7619047620000003</v>
      </c>
      <c r="K1000" s="25">
        <v>4.0999999999999996</v>
      </c>
      <c r="L1000" s="23" t="str">
        <f>VLOOKUP(A1000,'Customer-details'!$A$1:$C$1001,2,FALSE)</f>
        <v>Normal</v>
      </c>
      <c r="M1000" s="23" t="str">
        <f>VLOOKUP(A1000,'Customer-details'!$A$1:$C$1001,3,FALSE)</f>
        <v>Male</v>
      </c>
      <c r="N1000" s="23" t="str">
        <f>VLOOKUP(A1000,'Product-details'!$A$1:$B$1001,2,FALSE)</f>
        <v>Home and lifestyle</v>
      </c>
      <c r="O1000" s="23" t="str">
        <f>VLOOKUP(A1000,'City-details'!$A$1:$C$1001,3,FALSE)</f>
        <v>Yangon</v>
      </c>
      <c r="P1000" s="23" t="str">
        <f>VLOOKUP(A1000,'City-details'!$A$1:$C$1001,2,FALSE)</f>
        <v>A</v>
      </c>
      <c r="Q1000" s="23" t="str">
        <f t="shared" si="45"/>
        <v>Feb</v>
      </c>
      <c r="R1000" s="26" t="str">
        <f t="shared" si="46"/>
        <v>Fri</v>
      </c>
      <c r="S1000">
        <f t="shared" si="47"/>
        <v>3</v>
      </c>
      <c r="T1000" t="str" cm="1">
        <f t="array" ref="T1000">_xlfn.IFS(S1000&lt;=12,"Morning",S1000&lt;=16,"Afternoon",S1000&lt;=21,"Evening",S1000&lt;=24,"Night")</f>
        <v>Morning</v>
      </c>
    </row>
    <row r="1001" spans="1:20" x14ac:dyDescent="0.25">
      <c r="A1001" s="9" t="s">
        <v>1035</v>
      </c>
      <c r="B1001" s="35">
        <v>88.34</v>
      </c>
      <c r="C1001" s="36">
        <v>7</v>
      </c>
      <c r="D1001" s="35">
        <v>30.919</v>
      </c>
      <c r="E1001" s="35">
        <v>649.29899999999998</v>
      </c>
      <c r="F1001" s="37">
        <v>43514</v>
      </c>
      <c r="G1001" s="38">
        <v>42.172222222222203</v>
      </c>
      <c r="H1001" s="9" t="s">
        <v>29</v>
      </c>
      <c r="I1001" s="35">
        <v>618.38</v>
      </c>
      <c r="J1001" s="39">
        <v>4.7619047620000003</v>
      </c>
      <c r="K1001" s="40">
        <v>6.6</v>
      </c>
      <c r="L1001" s="9" t="str">
        <f>VLOOKUP(A1001,'Customer-details'!$A$1:$C$1001,2,FALSE)</f>
        <v>Member</v>
      </c>
      <c r="M1001" s="9" t="str">
        <f>VLOOKUP(A1001,'Customer-details'!$A$1:$C$1001,3,FALSE)</f>
        <v>Female</v>
      </c>
      <c r="N1001" s="9" t="str">
        <f>VLOOKUP(A1001,'Product-details'!$A$1:$B$1001,2,FALSE)</f>
        <v>Fashion accessories</v>
      </c>
      <c r="O1001" s="9" t="str">
        <f>VLOOKUP(A1001,'City-details'!$A$1:$C$1001,3,FALSE)</f>
        <v>Yangon</v>
      </c>
      <c r="P1001" s="9" t="str">
        <f>VLOOKUP(A1001,'City-details'!$A$1:$C$1001,2,FALSE)</f>
        <v>A</v>
      </c>
      <c r="Q1001" s="9" t="str">
        <f t="shared" si="45"/>
        <v>Feb</v>
      </c>
      <c r="R1001" s="10" t="str">
        <f t="shared" si="46"/>
        <v>Mon</v>
      </c>
      <c r="S1001">
        <f t="shared" si="47"/>
        <v>4</v>
      </c>
      <c r="T1001" t="str" cm="1">
        <f t="array" ref="T1001">_xlfn.IFS(S1001&lt;=12,"Morning",S1001&lt;=16,"Afternoon",S1001&lt;=21,"Evening",S1001&lt;=24,"Night")</f>
        <v>Morning</v>
      </c>
    </row>
  </sheetData>
  <pageMargins left="0.7" right="0.7" top="0.75" bottom="0.75" header="0.3" footer="0.3"/>
  <pageSetup orientation="portrait" r:id="rId1"/>
  <tableParts count="1">
    <tablePart r:id="rId2"/>
  </tableParts>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1E6FC0B-7911-40FA-B3A9-B3E0847870DA}">
  <dimension ref="J37"/>
  <sheetViews>
    <sheetView showGridLines="0" tabSelected="1" zoomScale="89" zoomScaleNormal="89" workbookViewId="0">
      <pane ySplit="1" topLeftCell="A2" activePane="bottomLeft" state="frozen"/>
      <selection pane="bottomLeft" activeCell="Z27" sqref="Z27"/>
    </sheetView>
  </sheetViews>
  <sheetFormatPr defaultRowHeight="15" x14ac:dyDescent="0.25"/>
  <cols>
    <col min="1" max="16384" width="9.140625" style="44"/>
  </cols>
  <sheetData>
    <row r="37" spans="10:10" x14ac:dyDescent="0.25">
      <c r="J37" s="49"/>
    </row>
  </sheetData>
  <pageMargins left="0.7" right="0.7" top="0.75" bottom="0.75" header="0.3" footer="0.3"/>
  <drawing r:id="rId1"/>
  <legacyDrawing r:id="rId2"/>
  <extLst>
    <ext xmlns:x14="http://schemas.microsoft.com/office/spreadsheetml/2009/9/main" uri="{A8765BA9-456A-4dab-B4F3-ACF838C121DE}">
      <x14:slicerList>
        <x14:slicer r:id="rId3"/>
      </x14:slicerList>
    </ext>
  </extLs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8</vt:i4>
      </vt:variant>
    </vt:vector>
  </HeadingPairs>
  <TitlesOfParts>
    <vt:vector size="8" baseType="lpstr">
      <vt:lpstr>Supermarket Sales</vt:lpstr>
      <vt:lpstr>Customer-details</vt:lpstr>
      <vt:lpstr>Product-details</vt:lpstr>
      <vt:lpstr>City-details</vt:lpstr>
      <vt:lpstr>Analysis</vt:lpstr>
      <vt:lpstr>hitmap</vt:lpstr>
      <vt:lpstr>Working data</vt:lpstr>
      <vt:lpstr>Dashboard</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Top Buzz</dc:creator>
  <cp:lastModifiedBy>olawale esho</cp:lastModifiedBy>
  <dcterms:created xsi:type="dcterms:W3CDTF">2023-07-21T13:27:17Z</dcterms:created>
  <dcterms:modified xsi:type="dcterms:W3CDTF">2025-11-18T16:53:51Z</dcterms:modified>
</cp:coreProperties>
</file>